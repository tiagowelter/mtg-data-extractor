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 xmlns:r="http://schemas.openxmlformats.org/officeDocument/2006/relationships" name="CMDMagda" sheetId="5" state="visible" r:id="rId5"/>
  </sheets>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4">
    <font>
      <name val="Arial"/>
      <color rgb="FF000000"/>
      <sz val="10"/>
      <scheme val="minor"/>
    </font>
    <font>
      <name val="Arial"/>
      <b val="1"/>
      <color theme="1"/>
      <scheme val="minor"/>
    </font>
    <font>
      <name val="Arial"/>
      <color theme="1"/>
      <scheme val="minor"/>
    </font>
    <font>
      <name val="Arial"/>
      <color theme="1"/>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21">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3" fillId="0" borderId="0" applyAlignment="1" pivotButton="0" quotePrefix="0" xfId="0">
      <alignment vertical="bottom"/>
    </xf>
    <xf numFmtId="0" fontId="3" fillId="0" borderId="0" applyAlignment="1" pivotButton="0" quotePrefix="0" xfId="0">
      <alignment horizontal="right" vertical="bottom"/>
    </xf>
    <xf numFmtId="0"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5060"/>
  <sheetViews>
    <sheetView workbookViewId="0">
      <pane ySplit="1" topLeftCell="A2" activePane="bottomLeft" state="frozen"/>
      <selection pane="bottomLeft" activeCell="B3" sqref="B3"/>
    </sheetView>
  </sheetViews>
  <sheetFormatPr baseColWidth="8" defaultColWidth="12.63" defaultRowHeight="15.75" customHeight="1"/>
  <cols>
    <col width="32.63" customWidth="1" style="20" min="1" max="1"/>
    <col width="16.75" customWidth="1" style="20" min="2" max="2"/>
    <col width="8.130000000000001" customWidth="1" style="20" min="3" max="3"/>
    <col width="14.25" customWidth="1" style="20" min="4" max="4"/>
    <col width="11.13" customWidth="1" style="20" min="5" max="5"/>
    <col width="15.13" customWidth="1" style="20" min="6" max="6"/>
    <col width="12" customWidth="1" style="20" min="7" max="7"/>
    <col width="40" customWidth="1" style="20" min="8" max="8"/>
    <col width="6.13" customWidth="1" style="20" min="9" max="9"/>
    <col width="4.75" customWidth="1" style="20" min="10" max="10"/>
    <col width="5.75" customWidth="1" style="20" min="11" max="11"/>
    <col width="3.88" customWidth="1" style="20" min="12" max="12"/>
    <col width="7.75" customWidth="1" style="20" min="13" max="13"/>
    <col width="10.13" customWidth="1" style="20" min="14" max="14"/>
    <col width="4.75" customWidth="1" style="20" min="15" max="15"/>
    <col width="8.75" customWidth="1" style="20"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3" t="inlineStr">
        <is>
          <t>A Canção do Banho / Bath Song</t>
        </is>
      </c>
      <c r="B2" s="13" t="inlineStr">
        <is>
          <t>Encantamento — Saga</t>
        </is>
      </c>
      <c r="C2" s="13" t="inlineStr">
        <is>
          <t>Incomum</t>
        </is>
      </c>
      <c r="D2" s="13" t="inlineStr">
        <is>
          <t>(Conforme esta Saga entra e após sua etapa de compra, adicione um marcador de conhecimento. Sacrifique-a após III.) I, II: Compre dois cards e depois descarte um card. III: Embaralhe qualquer número de cards alvo de seu cemitério em seu grimório. Adicione {U}{U}.</t>
        </is>
      </c>
      <c r="E2" s="13" t="inlineStr">
        <is>
          <t>3{U}</t>
        </is>
      </c>
      <c r="F2" s="13" t="inlineStr">
        <is>
          <t>Azul</t>
        </is>
      </c>
      <c r="G2" s="8" t="n">
        <v>0.25</v>
      </c>
      <c r="H2" s="13" t="inlineStr">
        <is>
          <t>The Lord of the Rings: Tales of Middle-earth (LTR)</t>
        </is>
      </c>
      <c r="I2" s="13" t="inlineStr">
        <is>
          <t>Não</t>
        </is>
      </c>
      <c r="J2" s="13" t="n">
        <v>2023</v>
      </c>
      <c r="L2" s="13" t="n">
        <v>2</v>
      </c>
      <c r="M2" s="8">
        <f>L2*G2</f>
        <v/>
      </c>
      <c r="P2" s="9" t="n"/>
    </row>
    <row r="3">
      <c r="A3" s="13" t="inlineStr">
        <is>
          <t>A.I.M. Synthoids / Sintóides da I.E.A.</t>
        </is>
      </c>
      <c r="B3" s="13" t="inlineStr">
        <is>
          <t>Criatura Artefato — Robô Vilão</t>
        </is>
      </c>
      <c r="C3" s="13" t="inlineStr">
        <is>
          <t>Comum</t>
        </is>
      </c>
      <c r="D3" s="13" t="inlineStr">
        <is>
          <t>Quando esta criatura entrar, vigie 2. (Olhe os dois cards do topo de seu grimório, depois coloque qualquer número deles em seu cemitério e o restante no topo de seu grimório em qualquer ordem.)</t>
        </is>
      </c>
      <c r="E3" s="13" t="inlineStr">
        <is>
          <t>{2}</t>
        </is>
      </c>
      <c r="F3" s="13" t="inlineStr">
        <is>
          <t>Incolor</t>
        </is>
      </c>
      <c r="G3" s="8" t="n">
        <v>0.13</v>
      </c>
      <c r="H3" s="13" t="inlineStr">
        <is>
          <t>Marvel</t>
        </is>
      </c>
      <c r="I3" s="13" t="inlineStr">
        <is>
          <t>Não</t>
        </is>
      </c>
      <c r="J3" s="13" t="n">
        <v>2026</v>
      </c>
      <c r="K3" s="10" t="n">
        <v>46082</v>
      </c>
      <c r="L3" s="13" t="n">
        <v>1</v>
      </c>
      <c r="M3" s="8">
        <f>L3*G3</f>
        <v/>
      </c>
      <c r="P3" s="9" t="n"/>
    </row>
    <row r="4">
      <c r="A4" s="13" t="inlineStr">
        <is>
          <t>Aang, at the Crossroads // Aang, Destined Savior</t>
        </is>
      </c>
      <c r="B4" s="13" t="inlineStr">
        <is>
          <t>Legendary Creature — Human Avatar Ally // Legendary Creature — Avatar Ally</t>
        </is>
      </c>
      <c r="C4" s="13" t="inlineStr">
        <is>
          <t>Rare / Rara</t>
        </is>
      </c>
      <c r="D4" s="13"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4" s="13" t="inlineStr">
        <is>
          <t>{2}{G}{W}{U}</t>
        </is>
      </c>
      <c r="F4" s="13" t="inlineStr">
        <is>
          <t>Verde, Azul, Branco</t>
        </is>
      </c>
      <c r="G4" s="8" t="n">
        <v>4.5</v>
      </c>
      <c r="H4" s="13" t="inlineStr">
        <is>
          <t>Avatar: The Last Airbender (TLA)</t>
        </is>
      </c>
      <c r="I4" s="13" t="inlineStr">
        <is>
          <t>Não</t>
        </is>
      </c>
      <c r="J4" s="13" t="n">
        <v>2025</v>
      </c>
      <c r="K4" s="10" t="n">
        <v>46084</v>
      </c>
      <c r="L4" s="13" t="n">
        <v>1</v>
      </c>
      <c r="M4" s="8">
        <f>L4*G4</f>
        <v/>
      </c>
      <c r="P4" s="9" t="n"/>
    </row>
    <row r="5">
      <c r="A5" s="13" t="inlineStr">
        <is>
          <t>Aang, the Last Airbender</t>
        </is>
      </c>
      <c r="B5" s="13" t="inlineStr">
        <is>
          <t>Legendary Creature — Human Avatar Ally</t>
        </is>
      </c>
      <c r="C5" s="13" t="inlineStr">
        <is>
          <t>Uncommon / Incomum</t>
        </is>
      </c>
      <c r="D5" s="13" t="inlineStr">
        <is>
          <t>Flying When Aang enters, airbend up to one other target nonland permanent. (Exile it. While it's exiled, its owner may cast it for {2} rather than its mana cost.) Whenever you cast a Lesson spell, Aang gains lifelink until end of turn.</t>
        </is>
      </c>
      <c r="E5" s="13" t="inlineStr">
        <is>
          <t>{3}{W}</t>
        </is>
      </c>
      <c r="F5" s="13" t="inlineStr">
        <is>
          <t>Branco</t>
        </is>
      </c>
      <c r="G5" s="8" t="n">
        <v>0.15</v>
      </c>
      <c r="H5" s="13" t="inlineStr">
        <is>
          <t>Avatar: The Last Airbender (TLA)</t>
        </is>
      </c>
      <c r="I5" s="13" t="inlineStr">
        <is>
          <t>Não</t>
        </is>
      </c>
      <c r="J5" s="13" t="n">
        <v>2025</v>
      </c>
      <c r="K5" s="10" t="n">
        <v>46056</v>
      </c>
      <c r="L5" s="13" t="n">
        <v>1</v>
      </c>
      <c r="M5" s="8">
        <f>L5*G5</f>
        <v/>
      </c>
      <c r="P5" s="9" t="n"/>
    </row>
    <row r="6">
      <c r="A6" s="13" t="inlineStr">
        <is>
          <t>Aang's Journey</t>
        </is>
      </c>
      <c r="B6" s="13" t="inlineStr">
        <is>
          <t>Sorcery — Lesson</t>
        </is>
      </c>
      <c r="C6" s="13" t="inlineStr">
        <is>
          <t>Common / Comum</t>
        </is>
      </c>
      <c r="D6" s="13"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6" s="13" t="inlineStr">
        <is>
          <t>{2}</t>
        </is>
      </c>
      <c r="F6" s="13" t="inlineStr">
        <is>
          <t>Incolor</t>
        </is>
      </c>
      <c r="G6" s="8" t="n">
        <v>0.17</v>
      </c>
      <c r="H6" s="13" t="inlineStr">
        <is>
          <t>Avatar: The Last Airbender (TLA)</t>
        </is>
      </c>
      <c r="I6" s="13" t="inlineStr">
        <is>
          <t>Não</t>
        </is>
      </c>
      <c r="J6" s="13" t="n">
        <v>2025</v>
      </c>
      <c r="L6" s="13" t="n">
        <v>1</v>
      </c>
      <c r="M6" s="8">
        <f>L6*G6</f>
        <v/>
      </c>
      <c r="P6" s="9" t="n"/>
    </row>
    <row r="7">
      <c r="A7" s="13" t="inlineStr">
        <is>
          <t>Aang's Journey</t>
        </is>
      </c>
      <c r="B7" s="13" t="inlineStr">
        <is>
          <t>Sorcery — Lesson</t>
        </is>
      </c>
      <c r="C7" s="13" t="inlineStr">
        <is>
          <t>Common / Comum</t>
        </is>
      </c>
      <c r="D7" s="13"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7" s="13" t="inlineStr">
        <is>
          <t>{2}</t>
        </is>
      </c>
      <c r="F7" s="13" t="inlineStr">
        <is>
          <t>Incolor</t>
        </is>
      </c>
      <c r="G7" s="8" t="n">
        <v>0.4</v>
      </c>
      <c r="H7" s="13" t="inlineStr">
        <is>
          <t>Avatar: The Last Airbender (TLA)</t>
        </is>
      </c>
      <c r="I7" s="13" t="inlineStr">
        <is>
          <t>Sim</t>
        </is>
      </c>
      <c r="J7" s="13" t="n">
        <v>2025</v>
      </c>
      <c r="L7" s="13" t="n">
        <v>1</v>
      </c>
      <c r="M7" s="8">
        <f>L7*G7</f>
        <v/>
      </c>
      <c r="P7" s="9" t="n"/>
    </row>
    <row r="8">
      <c r="A8" s="13" t="inlineStr">
        <is>
          <t>Abandon Attachments</t>
        </is>
      </c>
      <c r="B8" s="13" t="inlineStr">
        <is>
          <t>Instant — Lesson</t>
        </is>
      </c>
      <c r="C8" s="13" t="inlineStr">
        <is>
          <t>Common / Comum</t>
        </is>
      </c>
      <c r="D8" s="13" t="inlineStr">
        <is>
          <t>You may discard a card. If you do, draw two cards.</t>
        </is>
      </c>
      <c r="E8" s="13" t="inlineStr">
        <is>
          <t>{1}{U/R}</t>
        </is>
      </c>
      <c r="F8" s="13" t="inlineStr">
        <is>
          <t>Vermelho, Azul</t>
        </is>
      </c>
      <c r="G8" s="8" t="n">
        <v>6.27</v>
      </c>
      <c r="H8" s="13" t="inlineStr">
        <is>
          <t>Avatar: The Last Airbender (TLA)</t>
        </is>
      </c>
      <c r="I8" s="13" t="inlineStr">
        <is>
          <t>Não</t>
        </is>
      </c>
      <c r="J8" s="13" t="n">
        <v>2025</v>
      </c>
      <c r="L8" s="13" t="n">
        <v>2</v>
      </c>
      <c r="M8" s="8">
        <f>L8*G8</f>
        <v/>
      </c>
      <c r="P8" s="9" t="n"/>
    </row>
    <row r="9">
      <c r="A9" s="13" t="inlineStr">
        <is>
          <t>Abandoned Air Temple</t>
        </is>
      </c>
      <c r="B9" s="13" t="inlineStr">
        <is>
          <t>Land</t>
        </is>
      </c>
      <c r="C9" s="13" t="inlineStr">
        <is>
          <t>Rare / Rara</t>
        </is>
      </c>
      <c r="D9" s="13" t="inlineStr">
        <is>
          <t>This land enters tapped unless you control a basic land. {T}: Add {W}. {3}{W}, {T}: Put a +1/+1 counter on each creature you control.</t>
        </is>
      </c>
      <c r="F9" s="13" t="inlineStr">
        <is>
          <t>Branco</t>
        </is>
      </c>
      <c r="G9" s="8" t="n">
        <v>40</v>
      </c>
      <c r="H9" s="13" t="inlineStr">
        <is>
          <t>Avatar: The Last Airbender (TLA)</t>
        </is>
      </c>
      <c r="I9" s="13" t="inlineStr">
        <is>
          <t>Não</t>
        </is>
      </c>
      <c r="J9" s="13" t="n">
        <v>2025</v>
      </c>
      <c r="L9" s="13" t="n">
        <v>1</v>
      </c>
      <c r="M9" s="8">
        <f>L9*G9</f>
        <v/>
      </c>
      <c r="P9" s="9" t="n"/>
    </row>
    <row r="10">
      <c r="A10" s="13" t="inlineStr">
        <is>
          <t>Abbey Matron / Matrona da Abadia</t>
        </is>
      </c>
      <c r="B10" s="13" t="inlineStr">
        <is>
          <t>Creature — Cleric / Criatura — Clérigo</t>
        </is>
      </c>
      <c r="C10" s="13" t="inlineStr">
        <is>
          <t>Common / Comum</t>
        </is>
      </c>
      <c r="D10" s="13" t="inlineStr">
        <is>
          <t>{W}, {T}: +0/+3 until end of turn. / {W}, {T}: +0/+3 até o final do turno.</t>
        </is>
      </c>
      <c r="E10" s="13" t="inlineStr">
        <is>
          <t>{2}{W}</t>
        </is>
      </c>
      <c r="F10" s="13" t="inlineStr">
        <is>
          <t>Branco</t>
        </is>
      </c>
      <c r="G10" s="8" t="n">
        <v>0.1</v>
      </c>
      <c r="H10" s="13" t="inlineStr">
        <is>
          <t>Homelands (HML)</t>
        </is>
      </c>
      <c r="I10" s="13" t="inlineStr">
        <is>
          <t>No</t>
        </is>
      </c>
      <c r="J10" s="13" t="n">
        <v>1995</v>
      </c>
      <c r="K10" s="10" t="n">
        <v>46082</v>
      </c>
      <c r="L10" s="13" t="n">
        <v>1</v>
      </c>
      <c r="M10" s="8">
        <f>L10*G10</f>
        <v/>
      </c>
      <c r="P10" s="9" t="n"/>
    </row>
    <row r="11">
      <c r="A11" s="13" t="inlineStr">
        <is>
          <t>Aberração Consumidora / Consuming Aberration</t>
        </is>
      </c>
      <c r="B11" s="13" t="inlineStr">
        <is>
          <t>Criatura — Horror / Creature — Horror</t>
        </is>
      </c>
      <c r="C11" s="13" t="inlineStr">
        <is>
          <t>Rara / Rare</t>
        </is>
      </c>
      <c r="D11" s="13"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1" s="13" t="inlineStr">
        <is>
          <t>{3}{U}{B}</t>
        </is>
      </c>
      <c r="F11" s="13" t="inlineStr">
        <is>
          <t>Azul e Preto / Blue and Black</t>
        </is>
      </c>
      <c r="G11" s="8" t="n">
        <v>0.3</v>
      </c>
      <c r="H11" s="13" t="inlineStr">
        <is>
          <t>Gatecrash (GTC)</t>
        </is>
      </c>
      <c r="I11" s="13" t="inlineStr">
        <is>
          <t>Não</t>
        </is>
      </c>
      <c r="J11" s="13" t="n">
        <v>2013</v>
      </c>
      <c r="K11" s="13" t="inlineStr">
        <is>
          <t>*/*</t>
        </is>
      </c>
      <c r="L11" s="13" t="n">
        <v>1</v>
      </c>
      <c r="M11" s="8">
        <f>L11*G11</f>
        <v/>
      </c>
      <c r="P11" s="9" t="n"/>
    </row>
    <row r="12">
      <c r="A12" s="13" t="inlineStr">
        <is>
          <t>Abigale, Poet Laureate // Heroic Stanza</t>
        </is>
      </c>
      <c r="B12" s="13" t="inlineStr">
        <is>
          <t>Legendary Creature — Bird Bard // Sorcery</t>
        </is>
      </c>
      <c r="C12" s="13" t="inlineStr">
        <is>
          <t>Uncommon / Incomum</t>
        </is>
      </c>
      <c r="D12" s="13" t="inlineStr">
        <is>
          <t>Abigale, Poet Laureate: Flying Whenever you cast a creature spell, Abigale becomes prepared. (While it's prepared, you may cast a copy of its spell. Doing so unprepares it.) // Heroic Stanza: Put a +1/+1 counter on target creature.</t>
        </is>
      </c>
      <c r="E12" s="13" t="inlineStr">
        <is>
          <t>{1}{W}{B} // {1}{W/B}</t>
        </is>
      </c>
      <c r="F12" s="13" t="inlineStr">
        <is>
          <t>Preto, Branco</t>
        </is>
      </c>
      <c r="G12" s="8" t="n">
        <v>0.29</v>
      </c>
      <c r="H12" s="13" t="inlineStr">
        <is>
          <t>Secrets of Strixhaven (SOS)</t>
        </is>
      </c>
      <c r="I12" s="13" t="inlineStr">
        <is>
          <t>Não</t>
        </is>
      </c>
      <c r="J12" s="13" t="n">
        <v>2026</v>
      </c>
      <c r="K12" s="10" t="n">
        <v>46083</v>
      </c>
      <c r="L12" s="13" t="n">
        <v>1</v>
      </c>
      <c r="M12" s="8">
        <f>L12*G12</f>
        <v/>
      </c>
      <c r="P12" s="9" t="n"/>
    </row>
    <row r="13">
      <c r="A13" s="13" t="inlineStr">
        <is>
          <t>Abnormal Endurance / Resistência Anormal</t>
        </is>
      </c>
      <c r="B13" s="13" t="inlineStr">
        <is>
          <t>Instant / Mágica Instantânea</t>
        </is>
      </c>
      <c r="C13" s="13" t="inlineStr">
        <is>
          <t>Common / Comum</t>
        </is>
      </c>
      <c r="D13" s="13"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3" s="13" t="inlineStr">
        <is>
          <t>{1}{B}</t>
        </is>
      </c>
      <c r="F13" s="13" t="inlineStr">
        <is>
          <t>Preto</t>
        </is>
      </c>
      <c r="G13" s="8" t="n">
        <v>0.03</v>
      </c>
      <c r="H13" s="13" t="inlineStr">
        <is>
          <t>Core Set 2019 (M19)</t>
        </is>
      </c>
      <c r="I13" s="13" t="inlineStr">
        <is>
          <t>Não</t>
        </is>
      </c>
      <c r="J13" s="13" t="n">
        <v>2018</v>
      </c>
      <c r="L13" s="13" t="n">
        <v>1</v>
      </c>
      <c r="M13" s="8">
        <f>L13*G13</f>
        <v/>
      </c>
      <c r="P13" s="9" t="n"/>
    </row>
    <row r="14">
      <c r="A14" s="13" t="inlineStr">
        <is>
          <t>Abomination / Abominação</t>
        </is>
      </c>
      <c r="B14" s="13" t="inlineStr">
        <is>
          <t>Creature — Horror</t>
        </is>
      </c>
      <c r="C14" s="13" t="inlineStr">
        <is>
          <t>Uncommon / Incomum</t>
        </is>
      </c>
      <c r="D14" s="13" t="inlineStr">
        <is>
          <t>Whenever this creature blocks or becomes blocked by a green or white creature, destroy that creature at end of combat.</t>
        </is>
      </c>
      <c r="E14" s="13" t="inlineStr">
        <is>
          <t>{3}{B}{B}</t>
        </is>
      </c>
      <c r="F14" s="13" t="inlineStr">
        <is>
          <t>Preto</t>
        </is>
      </c>
      <c r="G14" s="8" t="n">
        <v>0.2</v>
      </c>
      <c r="H14" s="13" t="inlineStr">
        <is>
          <t>Quarta Edição</t>
        </is>
      </c>
      <c r="I14" s="13" t="inlineStr">
        <is>
          <t>Não</t>
        </is>
      </c>
      <c r="J14" s="13" t="n">
        <v>1995</v>
      </c>
      <c r="K14" s="10" t="n">
        <v>46175</v>
      </c>
      <c r="L14" s="13" t="n">
        <v>1</v>
      </c>
      <c r="M14" s="8">
        <f>L14*G14</f>
        <v/>
      </c>
      <c r="P14" s="9" t="n"/>
    </row>
    <row r="15">
      <c r="A15" s="13" t="inlineStr">
        <is>
          <t>Abrade / Abrasão</t>
        </is>
      </c>
      <c r="B15" s="13" t="inlineStr">
        <is>
          <t>Instant / Mágica Instantânea</t>
        </is>
      </c>
      <c r="C15" s="13" t="inlineStr">
        <is>
          <t>Uncommon / Incomum</t>
        </is>
      </c>
      <c r="D15" s="13" t="inlineStr">
        <is>
          <t>Choose one — • Abrade deals 3 damage to target creature. • Destroy target artifact. / Escolha um — • Abrasão causa 3 pontos de dano à criatura alvo. • Destrua o artefato alvo.</t>
        </is>
      </c>
      <c r="E15" s="13" t="inlineStr">
        <is>
          <t>{1}{R}</t>
        </is>
      </c>
      <c r="F15" s="13" t="inlineStr">
        <is>
          <t>Vermelho</t>
        </is>
      </c>
      <c r="G15" s="8" t="n">
        <v>0.3</v>
      </c>
      <c r="H15" s="13" t="inlineStr">
        <is>
          <t>Foundations (FDN)</t>
        </is>
      </c>
      <c r="I15" s="13" t="inlineStr">
        <is>
          <t>Não</t>
        </is>
      </c>
      <c r="J15" s="13" t="n">
        <v>2024</v>
      </c>
      <c r="L15" s="13" t="n">
        <v>1</v>
      </c>
      <c r="M15" s="8">
        <f>L15*G15</f>
        <v/>
      </c>
      <c r="P15" s="9" t="n"/>
    </row>
    <row r="16">
      <c r="A16" s="13" t="inlineStr">
        <is>
          <t>Abrade / Abrasão</t>
        </is>
      </c>
      <c r="B16" s="13" t="inlineStr">
        <is>
          <t>Instant / Mágica Instantânea</t>
        </is>
      </c>
      <c r="C16" s="13" t="inlineStr">
        <is>
          <t>Common / Comum</t>
        </is>
      </c>
      <c r="D16" s="13" t="inlineStr">
        <is>
          <t>Choose one — • Abrade deals 3 damage to target creature. • Destroy target artifact. / Escolha um — • Abrasão causa 3 pontos de dano à criatura alvo. • Destrua o artefato alvo.</t>
        </is>
      </c>
      <c r="E16" s="13" t="inlineStr">
        <is>
          <t>{1}{R}</t>
        </is>
      </c>
      <c r="F16" s="13" t="inlineStr">
        <is>
          <t>Vermelho</t>
        </is>
      </c>
      <c r="G16" s="8" t="n">
        <v>0.3</v>
      </c>
      <c r="H16" s="13" t="inlineStr">
        <is>
          <t>Innistrad: Crimson Vow (VOW)</t>
        </is>
      </c>
      <c r="I16" s="13" t="inlineStr">
        <is>
          <t>Não</t>
        </is>
      </c>
      <c r="J16" s="13" t="n">
        <v>2021</v>
      </c>
      <c r="L16" s="13" t="n">
        <v>3</v>
      </c>
      <c r="M16" s="8">
        <f>L16*G16</f>
        <v/>
      </c>
      <c r="P16" s="9" t="n"/>
    </row>
    <row r="17">
      <c r="A17" s="13" t="inlineStr">
        <is>
          <t>Abrade / Abrasão</t>
        </is>
      </c>
      <c r="B17" s="13" t="inlineStr">
        <is>
          <t>Instant / Mágica Instantânea</t>
        </is>
      </c>
      <c r="C17" s="13" t="inlineStr">
        <is>
          <t>Common / Comum</t>
        </is>
      </c>
      <c r="D17" s="13" t="inlineStr">
        <is>
          <t>Choose one — • Abrade deals 3 damage to target creature. • Destroy target artifact. / Escolha um — • Abrasão causa 3 pontos de dano à criatura alvo. • Destrua o artefato alvo.</t>
        </is>
      </c>
      <c r="E17" s="13" t="inlineStr">
        <is>
          <t>{1}{R}</t>
        </is>
      </c>
      <c r="F17" s="13" t="inlineStr">
        <is>
          <t>Vermelho</t>
        </is>
      </c>
      <c r="G17" s="8" t="n">
        <v>0.25</v>
      </c>
      <c r="H17" s="13" t="inlineStr">
        <is>
          <t>Innistrad: Crimson Vow (VOW)</t>
        </is>
      </c>
      <c r="I17" s="13" t="inlineStr">
        <is>
          <t>Não</t>
        </is>
      </c>
      <c r="J17" s="13" t="n">
        <v>2021</v>
      </c>
      <c r="L17" s="13" t="n">
        <v>1</v>
      </c>
      <c r="M17" s="8">
        <f>L17*G17</f>
        <v/>
      </c>
      <c r="P17" s="9" t="n"/>
    </row>
    <row r="18">
      <c r="A18" s="13" t="inlineStr">
        <is>
          <t>Abyssal Specter / Espectro Abissal</t>
        </is>
      </c>
      <c r="B18" s="13" t="inlineStr">
        <is>
          <t>Creature — Specter / Criatura — Espectro</t>
        </is>
      </c>
      <c r="C18" s="13" t="inlineStr">
        <is>
          <t>Uncommon / Incomum</t>
        </is>
      </c>
      <c r="D18" s="13"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18" s="13" t="inlineStr">
        <is>
          <t>{2}{B}{B}</t>
        </is>
      </c>
      <c r="F18" s="13" t="inlineStr">
        <is>
          <t>Preto</t>
        </is>
      </c>
      <c r="G18" s="8" t="n">
        <v>0.15</v>
      </c>
      <c r="H18" s="13" t="inlineStr">
        <is>
          <t>Era Glacial</t>
        </is>
      </c>
      <c r="I18" s="13" t="inlineStr">
        <is>
          <t>Não</t>
        </is>
      </c>
      <c r="J18" s="13" t="n">
        <v>1996</v>
      </c>
      <c r="K18" s="10" t="n">
        <v>46083</v>
      </c>
      <c r="L18" s="13" t="n">
        <v>1</v>
      </c>
      <c r="M18" s="8">
        <f>L18*G18</f>
        <v/>
      </c>
      <c r="P18" s="9" t="n"/>
    </row>
    <row r="19">
      <c r="A19" s="13" t="inlineStr">
        <is>
          <t>Academy Wall / Muralha da Academia</t>
        </is>
      </c>
      <c r="B19" s="13" t="inlineStr">
        <is>
          <t>Creature — Wall / Criatura — Barreira</t>
        </is>
      </c>
      <c r="C19" s="13" t="inlineStr">
        <is>
          <t>Common / Comum</t>
        </is>
      </c>
      <c r="D19" s="13"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9" s="13" t="inlineStr">
        <is>
          <t>{2}{U}</t>
        </is>
      </c>
      <c r="F19" s="13" t="inlineStr">
        <is>
          <t>Azul</t>
        </is>
      </c>
      <c r="G19" s="8" t="n">
        <v>0.2</v>
      </c>
      <c r="H19" s="13" t="inlineStr">
        <is>
          <t>Dominaria United (DMU)</t>
        </is>
      </c>
      <c r="I19" s="13" t="inlineStr">
        <is>
          <t>Sim</t>
        </is>
      </c>
      <c r="J19" s="13" t="n">
        <v>2022</v>
      </c>
      <c r="K19" s="13" t="inlineStr">
        <is>
          <t>0/5</t>
        </is>
      </c>
      <c r="L19" s="13" t="n">
        <v>1</v>
      </c>
      <c r="M19" s="8">
        <f>L19*G19</f>
        <v/>
      </c>
      <c r="P19" s="9" t="n"/>
    </row>
    <row r="20">
      <c r="A20" s="13" t="inlineStr">
        <is>
          <t>Acclaimed Contender / Competidora Aclamada</t>
        </is>
      </c>
      <c r="B20" s="13" t="inlineStr">
        <is>
          <t>Creature — Human Knight / Criatura — Humano Cavaleiro</t>
        </is>
      </c>
      <c r="C20" s="13" t="inlineStr">
        <is>
          <t>Rare / Rara</t>
        </is>
      </c>
      <c r="D20" s="13"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20" s="13" t="inlineStr">
        <is>
          <t>{2}{W}</t>
        </is>
      </c>
      <c r="F20" s="13" t="inlineStr">
        <is>
          <t>Branco</t>
        </is>
      </c>
      <c r="G20" s="8" t="n">
        <v>0.65</v>
      </c>
      <c r="H20" s="13" t="inlineStr">
        <is>
          <t>Throne of Eldraine (ELD)</t>
        </is>
      </c>
      <c r="I20" s="13" t="inlineStr">
        <is>
          <t>Sim</t>
        </is>
      </c>
      <c r="J20" s="13" t="n">
        <v>2019</v>
      </c>
      <c r="K20" s="10" t="n">
        <v>46084</v>
      </c>
      <c r="L20" s="13" t="n">
        <v>1</v>
      </c>
      <c r="M20" s="8">
        <f>L20*G20</f>
        <v/>
      </c>
      <c r="P20" s="9" t="n"/>
    </row>
    <row r="21">
      <c r="A21" s="13" t="inlineStr">
        <is>
          <t>Accumulate Wisdom</t>
        </is>
      </c>
      <c r="B21" s="13" t="inlineStr">
        <is>
          <t>Instant — Lesson</t>
        </is>
      </c>
      <c r="C21" s="13" t="inlineStr">
        <is>
          <t>Uncommon / Incomum</t>
        </is>
      </c>
      <c r="D21" s="13" t="inlineStr">
        <is>
          <t>Look at the top three cards of your library. Put one of those cards into your hand and the rest on the bottom of your library in any order. Put each of those cards into your hand instead if there are three or more Lesson cards in your graveyard.</t>
        </is>
      </c>
      <c r="E21" s="13" t="inlineStr">
        <is>
          <t>{1}{U}</t>
        </is>
      </c>
      <c r="F21" s="13" t="inlineStr">
        <is>
          <t>Azul</t>
        </is>
      </c>
      <c r="G21" s="8" t="n">
        <v>5.7</v>
      </c>
      <c r="H21" s="13" t="inlineStr">
        <is>
          <t>Avatar: The Last Airbender (TLA)</t>
        </is>
      </c>
      <c r="I21" s="13" t="inlineStr">
        <is>
          <t>Sim</t>
        </is>
      </c>
      <c r="J21" s="13" t="n">
        <v>2025</v>
      </c>
      <c r="L21" s="13" t="n">
        <v>1</v>
      </c>
      <c r="M21" s="8">
        <f>L21*G21</f>
        <v/>
      </c>
      <c r="P21" s="9" t="n"/>
    </row>
    <row r="22">
      <c r="A22" s="13" t="inlineStr">
        <is>
          <t>Acidic Slime / Limo Ácido</t>
        </is>
      </c>
      <c r="B22" s="13" t="inlineStr">
        <is>
          <t>Creature — Ooze / Criatura — Lodo</t>
        </is>
      </c>
      <c r="C22" s="13" t="inlineStr">
        <is>
          <t>Uncommon / Incomum</t>
        </is>
      </c>
      <c r="D22" s="13"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22" s="13" t="inlineStr">
        <is>
          <t>{3}{G}{G}</t>
        </is>
      </c>
      <c r="F22" s="13" t="inlineStr">
        <is>
          <t>Verde</t>
        </is>
      </c>
      <c r="G22" s="8" t="n">
        <v>0.25</v>
      </c>
      <c r="H22" s="13" t="inlineStr">
        <is>
          <t>Commander Masters (CMM)</t>
        </is>
      </c>
      <c r="I22" s="13" t="inlineStr">
        <is>
          <t>Não</t>
        </is>
      </c>
      <c r="J22" s="13" t="n">
        <v>2023</v>
      </c>
      <c r="K22" s="10" t="n">
        <v>46055</v>
      </c>
      <c r="L22" s="13" t="n">
        <v>1</v>
      </c>
      <c r="M22" s="8">
        <f>L22*G22</f>
        <v/>
      </c>
      <c r="P22" s="9" t="n"/>
    </row>
    <row r="23">
      <c r="A23" s="13" t="inlineStr">
        <is>
          <t>Açoite do Balrog / Lash of the Balrog</t>
        </is>
      </c>
      <c r="B23" s="13" t="inlineStr">
        <is>
          <t>Feitiço</t>
        </is>
      </c>
      <c r="C23" s="13" t="inlineStr">
        <is>
          <t>Comum</t>
        </is>
      </c>
      <c r="D23" s="13" t="inlineStr">
        <is>
          <t>Como custo adicional para conjurar esta mágica, sacrifique uma criatura ou pague {4}. Destrua a criatura alvo.</t>
        </is>
      </c>
      <c r="E23" s="13" t="inlineStr">
        <is>
          <t>{B}</t>
        </is>
      </c>
      <c r="F23" s="13" t="inlineStr">
        <is>
          <t>Preto</t>
        </is>
      </c>
      <c r="G23" s="8" t="n">
        <v>0.59</v>
      </c>
      <c r="H23" s="13" t="inlineStr">
        <is>
          <t>The Lord of the Rings: Tales of Middle-earth (LTR)</t>
        </is>
      </c>
      <c r="I23" s="13" t="inlineStr">
        <is>
          <t>Sim</t>
        </is>
      </c>
      <c r="J23" s="13" t="n">
        <v>2023</v>
      </c>
      <c r="L23" s="13" t="n">
        <v>1</v>
      </c>
      <c r="M23" s="8">
        <f>L23*G23</f>
        <v/>
      </c>
      <c r="P23" s="9" t="n"/>
    </row>
    <row r="24">
      <c r="A24" s="13" t="inlineStr">
        <is>
          <t>Açoite do Balrog / Lash of the Balrog</t>
        </is>
      </c>
      <c r="B24" s="13" t="inlineStr">
        <is>
          <t>Feitiço</t>
        </is>
      </c>
      <c r="C24" s="13" t="inlineStr">
        <is>
          <t>Comum</t>
        </is>
      </c>
      <c r="D24" s="13" t="inlineStr">
        <is>
          <t>Como custo adicional para conjurar esta mágica, sacrifique uma criatura ou pague {4}. Destrua a criatura alvo.</t>
        </is>
      </c>
      <c r="E24" s="13" t="inlineStr">
        <is>
          <t>{B}</t>
        </is>
      </c>
      <c r="F24" s="13" t="inlineStr">
        <is>
          <t>Preto</t>
        </is>
      </c>
      <c r="G24" s="8" t="n">
        <v>0.18</v>
      </c>
      <c r="H24" s="13" t="inlineStr">
        <is>
          <t>The Lord of the Rings: Tales of Middle-earth (LTR)</t>
        </is>
      </c>
      <c r="I24" s="13" t="inlineStr">
        <is>
          <t>Não</t>
        </is>
      </c>
      <c r="J24" s="13" t="n">
        <v>2023</v>
      </c>
      <c r="L24" s="13" t="n">
        <v>3</v>
      </c>
      <c r="M24" s="8">
        <f>L24*G24</f>
        <v/>
      </c>
      <c r="P24" s="9" t="n"/>
    </row>
    <row r="25">
      <c r="A25" s="13" t="inlineStr">
        <is>
          <t>Acordar para a Vida / Thought Monitor</t>
        </is>
      </c>
      <c r="B25" s="13" t="inlineStr">
        <is>
          <t>Feitiço / Sorcery</t>
        </is>
      </c>
      <c r="C25" s="13" t="inlineStr">
        <is>
          <t>Rara / Rare</t>
        </is>
      </c>
      <c r="D25" s="13"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25" s="13" t="inlineStr">
        <is>
          <t>{1}{U}</t>
        </is>
      </c>
      <c r="F25" s="13" t="inlineStr">
        <is>
          <t>Azul</t>
        </is>
      </c>
      <c r="G25" s="8" t="n">
        <v>2.9</v>
      </c>
      <c r="H25" s="13" t="inlineStr">
        <is>
          <t>Modern Horizons 2 (MH2)</t>
        </is>
      </c>
      <c r="I25" s="13" t="inlineStr">
        <is>
          <t>Sim</t>
        </is>
      </c>
      <c r="J25" s="13" t="n">
        <v>2021</v>
      </c>
      <c r="L25" s="13" t="n">
        <v>1</v>
      </c>
      <c r="M25" s="8">
        <f>L25*G25</f>
        <v/>
      </c>
      <c r="N25" s="13" t="inlineStr">
        <is>
          <t>Pasta</t>
        </is>
      </c>
      <c r="P25" s="9" t="n"/>
    </row>
    <row r="26">
      <c r="A26" s="13" t="inlineStr">
        <is>
          <t>Acrobatic Leap / Salto Acrobático</t>
        </is>
      </c>
      <c r="B26" s="13" t="inlineStr">
        <is>
          <t>Instant / Mágica Instantânea</t>
        </is>
      </c>
      <c r="C26" s="13" t="inlineStr">
        <is>
          <t>Common / Comum</t>
        </is>
      </c>
      <c r="D26" s="13" t="inlineStr">
        <is>
          <t>Target creature gets +1/+3 and gains flying until end of turn. Untap it. / A criatura alvo recebe +1/+3 e ganha voar até o final do turno. Desvire-a.</t>
        </is>
      </c>
      <c r="E26" s="13" t="inlineStr">
        <is>
          <t>{W}</t>
        </is>
      </c>
      <c r="F26" s="13" t="inlineStr">
        <is>
          <t>Branco</t>
        </is>
      </c>
      <c r="G26" s="8" t="n">
        <v>0.15</v>
      </c>
      <c r="H26" s="13" t="inlineStr">
        <is>
          <t>Avatar: The Last Airbender Eternal (TLE)</t>
        </is>
      </c>
      <c r="I26" s="13" t="inlineStr">
        <is>
          <t>Não</t>
        </is>
      </c>
      <c r="J26" s="13" t="n">
        <v>2025</v>
      </c>
      <c r="L26" s="13" t="n">
        <v>1</v>
      </c>
      <c r="M26" s="8">
        <f>L26*G26</f>
        <v/>
      </c>
      <c r="P26" s="9" t="n"/>
    </row>
    <row r="27">
      <c r="A27" s="13" t="inlineStr">
        <is>
          <t>Act of Treason / Ato de Traição</t>
        </is>
      </c>
      <c r="B27" s="13" t="inlineStr">
        <is>
          <t>Feitiço</t>
        </is>
      </c>
      <c r="C27" s="13" t="inlineStr">
        <is>
          <t>Comum</t>
        </is>
      </c>
      <c r="D27" s="13" t="inlineStr">
        <is>
          <t>Ganhe o controle da criatura alvo até o final do turno. Desvire aquela criatura. Ela ganha ímpeto até o final do turno.</t>
        </is>
      </c>
      <c r="E27" s="13" t="inlineStr">
        <is>
          <t>2R</t>
        </is>
      </c>
      <c r="F27" s="13" t="inlineStr">
        <is>
          <t>Vermelho</t>
        </is>
      </c>
      <c r="G27" s="8" t="n">
        <v>0.13</v>
      </c>
      <c r="H27" s="13" t="inlineStr">
        <is>
          <t>Duel Decks: Speed vs. Cunning</t>
        </is>
      </c>
      <c r="I27" s="13" t="inlineStr">
        <is>
          <t>Não</t>
        </is>
      </c>
      <c r="J27" s="13" t="n">
        <v>2014</v>
      </c>
      <c r="L27" s="13" t="n">
        <v>1</v>
      </c>
      <c r="M27" s="8">
        <f>L27*G27</f>
        <v/>
      </c>
      <c r="P27" s="9" t="n"/>
    </row>
    <row r="28">
      <c r="A28" s="13" t="inlineStr">
        <is>
          <t>Act of Treason / Ato de Traição</t>
        </is>
      </c>
      <c r="B28" s="13" t="inlineStr">
        <is>
          <t>Feitiço</t>
        </is>
      </c>
      <c r="C28" s="13" t="inlineStr">
        <is>
          <t>Comum</t>
        </is>
      </c>
      <c r="D28" s="13" t="inlineStr">
        <is>
          <t>Ganhe o controle da criatura alvo até o final do turno. Desvire aquela criatura. Ela ganha ímpeto até o final do turno.</t>
        </is>
      </c>
      <c r="E28" s="13" t="inlineStr">
        <is>
          <t>2R</t>
        </is>
      </c>
      <c r="F28" s="13" t="inlineStr">
        <is>
          <t>Vermelho</t>
        </is>
      </c>
      <c r="G28" s="8" t="n">
        <v>0.03</v>
      </c>
      <c r="H28" s="13" t="inlineStr">
        <is>
          <t>Lealdade em Ravnica</t>
        </is>
      </c>
      <c r="I28" s="13" t="inlineStr">
        <is>
          <t>Não</t>
        </is>
      </c>
      <c r="J28" s="13" t="n">
        <v>2019</v>
      </c>
      <c r="L28" s="13" t="n">
        <v>1</v>
      </c>
      <c r="M28" s="8">
        <f>L28*G28</f>
        <v/>
      </c>
      <c r="P28" s="9" t="n"/>
    </row>
    <row r="29">
      <c r="A29" s="13" t="inlineStr">
        <is>
          <t>Action News Crew</t>
        </is>
      </c>
      <c r="B29" s="13" t="inlineStr">
        <is>
          <t>Creature — Human Citizen</t>
        </is>
      </c>
      <c r="C29" s="13" t="inlineStr">
        <is>
          <t>Common / Comum</t>
        </is>
      </c>
      <c r="D29" s="13" t="inlineStr">
        <is>
          <t>Vigilance Channel — {6}, Discard this card: Put a +1/+1 counter on each creature you control. Draw a card.</t>
        </is>
      </c>
      <c r="E29" s="13" t="inlineStr">
        <is>
          <t>{1}{W}</t>
        </is>
      </c>
      <c r="F29" s="13" t="inlineStr">
        <is>
          <t>Branco</t>
        </is>
      </c>
      <c r="G29" s="8" t="n">
        <v>0.1</v>
      </c>
      <c r="H29" s="13" t="inlineStr">
        <is>
          <t>Teenage Mutant Ninja Turtles (TMT)</t>
        </is>
      </c>
      <c r="I29" s="13" t="inlineStr">
        <is>
          <t>Não</t>
        </is>
      </c>
      <c r="J29" s="13" t="n">
        <v>2026</v>
      </c>
      <c r="K29" s="10" t="n">
        <v>46055</v>
      </c>
      <c r="L29" s="13" t="n">
        <v>2</v>
      </c>
      <c r="M29" s="8">
        <f>L29*G29</f>
        <v/>
      </c>
      <c r="P29" s="9" t="n"/>
    </row>
    <row r="30">
      <c r="A30" s="13" t="inlineStr">
        <is>
          <t>Active Volcano</t>
        </is>
      </c>
      <c r="B30" s="13" t="inlineStr">
        <is>
          <t>Instant</t>
        </is>
      </c>
      <c r="C30" s="13" t="inlineStr">
        <is>
          <t>Common / Comum</t>
        </is>
      </c>
      <c r="D30" s="13" t="inlineStr">
        <is>
          <t>Choose one — • Destroy target blue permanent. • Return target Island to its owner's hand.</t>
        </is>
      </c>
      <c r="E30" s="13" t="inlineStr">
        <is>
          <t>{R}</t>
        </is>
      </c>
      <c r="F30" s="13" t="inlineStr">
        <is>
          <t>Vermelho</t>
        </is>
      </c>
      <c r="G30" s="8" t="n">
        <v>1.43</v>
      </c>
      <c r="H30" s="13" t="inlineStr">
        <is>
          <t>Chronicles</t>
        </is>
      </c>
      <c r="I30" s="13" t="inlineStr">
        <is>
          <t>Não</t>
        </is>
      </c>
      <c r="J30" s="13" t="n">
        <v>1995</v>
      </c>
      <c r="L30" s="13" t="n">
        <v>2</v>
      </c>
      <c r="M30" s="8">
        <f>L30*G30</f>
        <v/>
      </c>
      <c r="P30" s="9" t="n"/>
    </row>
    <row r="31">
      <c r="A31" s="13" t="inlineStr">
        <is>
          <t>Adamant Will / Vontade Adamantina</t>
        </is>
      </c>
      <c r="B31" s="13" t="inlineStr">
        <is>
          <t>Instant / Mágica Instantânea</t>
        </is>
      </c>
      <c r="C31" s="13" t="inlineStr">
        <is>
          <t>Common / Comum</t>
        </is>
      </c>
      <c r="D31" s="13" t="inlineStr">
        <is>
          <t>Target creature gets +2/+2 and gains indestructible until end of turn. (Damage and effects that say "destroy" don't destroy it.) / A criatura alvo recebe +2/+2 e ganha indestrutível até o final do turno. (Dano e efeitos que dizem "destrua" não a destroem.)</t>
        </is>
      </c>
      <c r="E31" s="13" t="inlineStr">
        <is>
          <t>{1}{W}</t>
        </is>
      </c>
      <c r="F31" s="13" t="inlineStr">
        <is>
          <t>Branco</t>
        </is>
      </c>
      <c r="G31" s="8" t="n">
        <v>0.3</v>
      </c>
      <c r="H31" s="13" t="inlineStr">
        <is>
          <t>Dominaria (DOM)</t>
        </is>
      </c>
      <c r="I31" s="13" t="inlineStr">
        <is>
          <t>Sim</t>
        </is>
      </c>
      <c r="J31" s="13" t="n">
        <v>2018</v>
      </c>
      <c r="L31" s="13" t="n">
        <v>1</v>
      </c>
      <c r="M31" s="8">
        <f>L31*G31</f>
        <v/>
      </c>
      <c r="P31" s="9" t="n"/>
    </row>
    <row r="32">
      <c r="A32" s="13" t="inlineStr">
        <is>
          <t>Additive Evolution / Evolução Aditiva</t>
        </is>
      </c>
      <c r="B32" s="13" t="inlineStr">
        <is>
          <t>Enchantment / Encantamento</t>
        </is>
      </c>
      <c r="C32" s="13" t="inlineStr">
        <is>
          <t>Uncommon / Incomum</t>
        </is>
      </c>
      <c r="D32" s="13"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32" s="13" t="inlineStr">
        <is>
          <t>{3}{G}{G}</t>
        </is>
      </c>
      <c r="F32" s="13" t="inlineStr">
        <is>
          <t>Green / Verde</t>
        </is>
      </c>
      <c r="G32" s="8" t="n">
        <v>0.19</v>
      </c>
      <c r="H32" s="13" t="inlineStr">
        <is>
          <t>Shadows of Sothia (SOS)</t>
        </is>
      </c>
      <c r="I32" s="13" t="inlineStr">
        <is>
          <t>No</t>
        </is>
      </c>
      <c r="J32" s="13" t="n">
        <v>2026</v>
      </c>
      <c r="L32" s="13" t="n">
        <v>1</v>
      </c>
      <c r="M32" s="8">
        <f>L32*G32</f>
        <v/>
      </c>
      <c r="P32" s="9" t="n"/>
    </row>
    <row r="33">
      <c r="A33" s="13" t="inlineStr">
        <is>
          <t>Adelbert Steiner / Adelbert Steiner</t>
        </is>
      </c>
      <c r="B33" s="13" t="inlineStr">
        <is>
          <t>Criatura Lendária — Humano Cavaleiro</t>
        </is>
      </c>
      <c r="C33" s="13" t="inlineStr">
        <is>
          <t>Incomum</t>
        </is>
      </c>
      <c r="D33" s="13" t="inlineStr">
        <is>
          <t>Vínculo com a vida. Adelbert Steiner recebe +1/+1 para cada Equipamento que você controla.</t>
        </is>
      </c>
      <c r="E33" s="13" t="inlineStr">
        <is>
          <t>1{W}</t>
        </is>
      </c>
      <c r="F33" s="13" t="inlineStr">
        <is>
          <t>Branco</t>
        </is>
      </c>
      <c r="G33" s="8" t="n">
        <v>0.11</v>
      </c>
      <c r="H33" s="13" t="inlineStr">
        <is>
          <t>Final Fantasy</t>
        </is>
      </c>
      <c r="I33" s="13" t="inlineStr">
        <is>
          <t>Não</t>
        </is>
      </c>
      <c r="J33" s="13" t="n">
        <v>2025</v>
      </c>
      <c r="K33" s="10" t="n">
        <v>46024</v>
      </c>
      <c r="L33" s="13" t="n">
        <v>1</v>
      </c>
      <c r="M33" s="8">
        <f>L33*G33</f>
        <v/>
      </c>
      <c r="P33" s="9" t="n"/>
    </row>
    <row r="34">
      <c r="A34" s="13" t="inlineStr">
        <is>
          <t>Adelbert Steiner / Adelbert Steiner</t>
        </is>
      </c>
      <c r="B34" s="13" t="inlineStr">
        <is>
          <t>Criatura Lendária — Humano Cavaleiro</t>
        </is>
      </c>
      <c r="C34" s="13" t="inlineStr">
        <is>
          <t>Incomum</t>
        </is>
      </c>
      <c r="D34" s="13" t="inlineStr">
        <is>
          <t>Vínculo com a vida. Adelbert Steiner recebe +1/+1 para cada Equipamento que você controla.</t>
        </is>
      </c>
      <c r="E34" s="13" t="inlineStr">
        <is>
          <t>1{W}</t>
        </is>
      </c>
      <c r="F34" s="13" t="inlineStr">
        <is>
          <t>Branco</t>
        </is>
      </c>
      <c r="G34" s="8" t="n">
        <v>0.99</v>
      </c>
      <c r="H34" s="13" t="inlineStr">
        <is>
          <t>Final Fantasy</t>
        </is>
      </c>
      <c r="I34" s="13" t="inlineStr">
        <is>
          <t>Sim</t>
        </is>
      </c>
      <c r="J34" s="13" t="n">
        <v>2025</v>
      </c>
      <c r="K34" s="10" t="n">
        <v>46024</v>
      </c>
      <c r="L34" s="13" t="n">
        <v>1</v>
      </c>
      <c r="M34" s="8">
        <f>L34*G34</f>
        <v/>
      </c>
      <c r="P34" s="9" t="n"/>
    </row>
    <row r="35">
      <c r="A35" s="13" t="inlineStr">
        <is>
          <t>Adesão de Vraska / Vraska Joins Up</t>
        </is>
      </c>
      <c r="B35" s="13" t="inlineStr">
        <is>
          <t>Encantamento Lendário</t>
        </is>
      </c>
      <c r="C35" s="13" t="inlineStr">
        <is>
          <t>Rara</t>
        </is>
      </c>
      <c r="D35" s="13" t="inlineStr">
        <is>
          <t>Quando Adesão de Vraska entrar no campo de batalha, coloque um marcador de toque mortífero em cada criatura que você controla. Toda vez que uma criatura lendária que você controla causar dano de combate a um jogador, compre um card.</t>
        </is>
      </c>
      <c r="E35" s="13" t="inlineStr">
        <is>
          <t>{B}{G}</t>
        </is>
      </c>
      <c r="F35" s="13" t="inlineStr">
        <is>
          <t>Preto, Verde</t>
        </is>
      </c>
      <c r="G35" s="8" t="n">
        <v>0.75</v>
      </c>
      <c r="H35" s="13" t="inlineStr">
        <is>
          <t>Outlaws of Thunder Junction (OTJ)</t>
        </is>
      </c>
      <c r="I35" s="13" t="inlineStr">
        <is>
          <t>Não</t>
        </is>
      </c>
      <c r="J35" s="13" t="n">
        <v>2024</v>
      </c>
      <c r="L35" s="13" t="n">
        <v>1</v>
      </c>
      <c r="M35" s="8">
        <f>L35*G35</f>
        <v/>
      </c>
      <c r="P35" s="9" t="n"/>
    </row>
    <row r="36">
      <c r="A36" s="13" t="inlineStr">
        <is>
          <t>Adventure Awaits / Aventura à Espera</t>
        </is>
      </c>
      <c r="B36" s="13" t="inlineStr">
        <is>
          <t>Sorcery / Feitiço</t>
        </is>
      </c>
      <c r="C36" s="13" t="inlineStr">
        <is>
          <t>Common / Comum</t>
        </is>
      </c>
      <c r="D36" s="13"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36" s="13" t="inlineStr">
        <is>
          <t>{1}{G}</t>
        </is>
      </c>
      <c r="F36" s="13" t="inlineStr">
        <is>
          <t>Verde</t>
        </is>
      </c>
      <c r="G36" s="8" t="n">
        <v>0.05</v>
      </c>
      <c r="H36" s="13" t="inlineStr">
        <is>
          <t>Zendikar Rising (ZNR)</t>
        </is>
      </c>
      <c r="I36" s="13" t="inlineStr">
        <is>
          <t>Não</t>
        </is>
      </c>
      <c r="J36" s="13" t="n">
        <v>2020</v>
      </c>
      <c r="L36" s="13" t="n">
        <v>1</v>
      </c>
      <c r="M36" s="8">
        <f>L36*G36</f>
        <v/>
      </c>
      <c r="P36" s="9" t="n"/>
    </row>
    <row r="37">
      <c r="A37" s="13" t="inlineStr">
        <is>
          <t>Adventurer's Airship / Navio Voador do Aventureiro</t>
        </is>
      </c>
      <c r="B37" s="13" t="inlineStr">
        <is>
          <t>Artefato — Veículo</t>
        </is>
      </c>
      <c r="C37" s="13" t="inlineStr">
        <is>
          <t>Comum</t>
        </is>
      </c>
      <c r="D37" s="13" t="inlineStr">
        <is>
          <t>Voar. Sempre que este Veículo atacar, compre um card e depois descarte um card. Tripular 2 (Vire qualquer número de criaturas que você controla com poder total igual ou superior a 2: Este Veículo se torna uma criatura artefato até o final do turno.)</t>
        </is>
      </c>
      <c r="E37" s="13" t="n">
        <v>3</v>
      </c>
      <c r="F37" s="13" t="inlineStr">
        <is>
          <t>Incolor</t>
        </is>
      </c>
      <c r="G37" s="8" t="n">
        <v>0.05</v>
      </c>
      <c r="H37" s="13" t="inlineStr">
        <is>
          <t>Final Fantasy</t>
        </is>
      </c>
      <c r="I37" s="13" t="inlineStr">
        <is>
          <t>Não</t>
        </is>
      </c>
      <c r="J37" s="13" t="n">
        <v>2025</v>
      </c>
      <c r="K37" s="10" t="n">
        <v>46056</v>
      </c>
      <c r="L37" s="13" t="n">
        <v>7</v>
      </c>
      <c r="M37" s="8">
        <f>L37*G37</f>
        <v/>
      </c>
      <c r="P37" s="9" t="n"/>
    </row>
    <row r="38">
      <c r="A38" s="13" t="inlineStr">
        <is>
          <t>Adventurer's Inn / Estalagem do Aventureiro</t>
        </is>
      </c>
      <c r="B38" s="13" t="inlineStr">
        <is>
          <t>Terreno — Vila</t>
        </is>
      </c>
      <c r="C38" s="13" t="inlineStr">
        <is>
          <t>Comum</t>
        </is>
      </c>
      <c r="D38" s="13" t="inlineStr">
        <is>
          <t>Quando este terreno entrar, você ganha 2 de vida. {T}: Adicione {C}.</t>
        </is>
      </c>
      <c r="E38" s="13" t="inlineStr">
        <is>
          <t>Não encontrado</t>
        </is>
      </c>
      <c r="F38" s="13" t="inlineStr">
        <is>
          <t>Incolor</t>
        </is>
      </c>
      <c r="G38" s="8" t="n">
        <v>0.25</v>
      </c>
      <c r="H38" s="13" t="inlineStr">
        <is>
          <t>Final Fantasy</t>
        </is>
      </c>
      <c r="I38" s="13" t="inlineStr">
        <is>
          <t>Não</t>
        </is>
      </c>
      <c r="J38" s="13" t="n">
        <v>2025</v>
      </c>
      <c r="L38" s="13" t="n">
        <v>5</v>
      </c>
      <c r="M38" s="8">
        <f>L38*G38</f>
        <v/>
      </c>
      <c r="P38" s="9" t="n"/>
    </row>
    <row r="39">
      <c r="A39" s="13" t="inlineStr">
        <is>
          <t>Adventurous Eater / Devorador Aventureiro</t>
        </is>
      </c>
      <c r="B39" s="13" t="inlineStr">
        <is>
          <t>Creature — Human Warlock / Criatura — Humano Bruxo</t>
        </is>
      </c>
      <c r="C39" s="13" t="inlineStr">
        <is>
          <t>Common / Comum</t>
        </is>
      </c>
      <c r="D39" s="13" t="inlineStr">
        <is>
          <t>This creature enters prepared. (While it's prepared, you may cast a copy of its spell. Doing so unprepares it.) / Esta criatura entra preparada. (Enquanto ela estiver preparada, você pode conjurar uma cópia de sua mágica. Fazer isso a despara.)</t>
        </is>
      </c>
      <c r="E39" s="13" t="inlineStr">
        <is>
          <t>{2}{B}</t>
        </is>
      </c>
      <c r="F39" s="13" t="inlineStr">
        <is>
          <t>Preto</t>
        </is>
      </c>
      <c r="G39" s="8" t="n">
        <v>0.09</v>
      </c>
      <c r="H39" s="13" t="inlineStr">
        <is>
          <t>Shadows of Sothia (SOS)</t>
        </is>
      </c>
      <c r="I39" s="13" t="inlineStr">
        <is>
          <t>No</t>
        </is>
      </c>
      <c r="J39" s="13" t="n">
        <v>2026</v>
      </c>
      <c r="K39" s="10" t="n">
        <v>46056</v>
      </c>
      <c r="L39" s="13" t="n">
        <v>1</v>
      </c>
      <c r="M39" s="8">
        <f>L39*G39</f>
        <v/>
      </c>
      <c r="P39" s="9" t="n"/>
    </row>
    <row r="40">
      <c r="A40" s="13" t="inlineStr">
        <is>
          <t>Adventurous Impulse / Impulso Aventureiro</t>
        </is>
      </c>
      <c r="B40" s="13" t="inlineStr">
        <is>
          <t>Sorcery / Feitiço</t>
        </is>
      </c>
      <c r="C40" s="13" t="inlineStr">
        <is>
          <t>Common / Comum</t>
        </is>
      </c>
      <c r="D40" s="13"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40" s="13" t="inlineStr">
        <is>
          <t>{G}</t>
        </is>
      </c>
      <c r="F40" s="13" t="inlineStr">
        <is>
          <t>Verde</t>
        </is>
      </c>
      <c r="G40" s="8" t="n">
        <v>0.15</v>
      </c>
      <c r="H40" s="13" t="inlineStr">
        <is>
          <t>Foundations Jumpstart (J25)</t>
        </is>
      </c>
      <c r="I40" s="13" t="inlineStr">
        <is>
          <t>Não</t>
        </is>
      </c>
      <c r="J40" s="13" t="n">
        <v>2024</v>
      </c>
      <c r="L40" s="13" t="n">
        <v>1</v>
      </c>
      <c r="M40" s="8">
        <f>L40*G40</f>
        <v/>
      </c>
      <c r="P40" s="9" t="n"/>
    </row>
    <row r="41">
      <c r="A41" s="13" t="inlineStr">
        <is>
          <t>Aegis of the Meek</t>
        </is>
      </c>
      <c r="B41" s="13" t="inlineStr">
        <is>
          <t>Artefato / Artifact</t>
        </is>
      </c>
      <c r="C41" s="13" t="inlineStr">
        <is>
          <t>Incomum / Uncommon</t>
        </is>
      </c>
      <c r="D41" s="13" t="inlineStr">
        <is>
          <t>{1}, {T}: Target 1/1 creature gets +1/+2 until end of turn.</t>
        </is>
      </c>
      <c r="E41" s="13" t="inlineStr">
        <is>
          <t>{3}</t>
        </is>
      </c>
      <c r="F41" s="13" t="inlineStr">
        <is>
          <t>Incolor / Colorless</t>
        </is>
      </c>
      <c r="G41" s="8" t="n">
        <v>2.95</v>
      </c>
      <c r="H41" s="13" t="inlineStr">
        <is>
          <t>Ice Age (ICE)</t>
        </is>
      </c>
      <c r="I41" s="13" t="inlineStr">
        <is>
          <t>Não</t>
        </is>
      </c>
      <c r="J41" s="13" t="n">
        <v>1995</v>
      </c>
      <c r="L41" s="13" t="n">
        <v>1</v>
      </c>
      <c r="M41" s="8">
        <f>L41*G41</f>
        <v/>
      </c>
      <c r="N41" s="13" t="inlineStr">
        <is>
          <t>Pasta</t>
        </is>
      </c>
      <c r="P41" s="9" t="n"/>
    </row>
    <row r="42">
      <c r="A42" s="13" t="inlineStr">
        <is>
          <t>Aegis Turtle / Tartaruga da Égide</t>
        </is>
      </c>
      <c r="B42" s="13" t="inlineStr">
        <is>
          <t>Creature — Turtle / Criatura — Tartaruga</t>
        </is>
      </c>
      <c r="C42" s="13" t="inlineStr">
        <is>
          <t>Common / Comum</t>
        </is>
      </c>
      <c r="E42" s="13" t="inlineStr">
        <is>
          <t>{U}</t>
        </is>
      </c>
      <c r="F42" s="13" t="inlineStr">
        <is>
          <t>Azul</t>
        </is>
      </c>
      <c r="G42" s="8" t="n">
        <v>0.02</v>
      </c>
      <c r="H42" s="13" t="inlineStr">
        <is>
          <t>Foundations (FDN)</t>
        </is>
      </c>
      <c r="I42" s="13" t="inlineStr">
        <is>
          <t>Não</t>
        </is>
      </c>
      <c r="J42" s="13" t="n">
        <v>2024</v>
      </c>
      <c r="K42" s="13" t="inlineStr">
        <is>
          <t>0/5</t>
        </is>
      </c>
      <c r="L42" s="13" t="n">
        <v>1</v>
      </c>
      <c r="M42" s="8">
        <f>L42*G42</f>
        <v/>
      </c>
      <c r="P42" s="9" t="n"/>
    </row>
    <row r="43">
      <c r="A43" s="13" t="inlineStr">
        <is>
          <t>Aeolipile</t>
        </is>
      </c>
      <c r="B43" s="13" t="inlineStr">
        <is>
          <t>Artifact</t>
        </is>
      </c>
      <c r="C43" s="13" t="inlineStr">
        <is>
          <t>Rare / Rara</t>
        </is>
      </c>
      <c r="D43" s="13" t="inlineStr">
        <is>
          <t>{1}, {T}, Sacrifice this artifact: It deals 2 damage to any target.</t>
        </is>
      </c>
      <c r="E43" s="13" t="inlineStr">
        <is>
          <t>{2}</t>
        </is>
      </c>
      <c r="F43" s="13" t="inlineStr">
        <is>
          <t>Incolor</t>
        </is>
      </c>
      <c r="G43" s="8" t="n">
        <v>7.92</v>
      </c>
      <c r="H43" s="13" t="inlineStr">
        <is>
          <t>Fallen Empires (FEM)</t>
        </is>
      </c>
      <c r="I43" s="13" t="inlineStr">
        <is>
          <t>Não</t>
        </is>
      </c>
      <c r="J43" s="13" t="n">
        <v>1994</v>
      </c>
      <c r="L43" s="13" t="n">
        <v>1</v>
      </c>
      <c r="M43" s="8">
        <f>L43*G43</f>
        <v/>
      </c>
      <c r="N43" s="13" t="inlineStr">
        <is>
          <t>Pasta</t>
        </is>
      </c>
      <c r="P43" s="9" t="n"/>
    </row>
    <row r="44">
      <c r="A44" s="13" t="inlineStr">
        <is>
          <t>Aerial Doombot / Doombot Aéreo</t>
        </is>
      </c>
      <c r="B44" s="13" t="inlineStr">
        <is>
          <t>Criatura Artefato — Robô Vilão</t>
        </is>
      </c>
      <c r="C44" s="13" t="inlineStr">
        <is>
          <t>Comum</t>
        </is>
      </c>
      <c r="D44" s="13" t="inlineStr">
        <is>
          <t>Voar. Fortalecer — {5}{U}: Coloque três marcadores +1/+1 nesta criatura. (Ative cada habilidade de fortalecer apenas uma vez. Reduza o custo em seu custo de mana se ela entrou neste turno.)</t>
        </is>
      </c>
      <c r="E44" s="13" t="inlineStr">
        <is>
          <t>{U}</t>
        </is>
      </c>
      <c r="F44" s="13" t="inlineStr">
        <is>
          <t>Azul</t>
        </is>
      </c>
      <c r="G44" s="8" t="n">
        <v>0.13</v>
      </c>
      <c r="H44" s="13" t="inlineStr">
        <is>
          <t>Marvel</t>
        </is>
      </c>
      <c r="I44" s="13" t="inlineStr">
        <is>
          <t>Não</t>
        </is>
      </c>
      <c r="J44" s="13" t="n">
        <v>2026</v>
      </c>
      <c r="K44" s="10" t="n">
        <v>46023</v>
      </c>
      <c r="L44" s="13" t="n">
        <v>2</v>
      </c>
      <c r="M44" s="8">
        <f>L44*G44</f>
        <v/>
      </c>
      <c r="P44" s="9" t="n"/>
    </row>
    <row r="45">
      <c r="A45" s="13" t="inlineStr">
        <is>
          <t>Aerial Maneuver / Manobra Aérea</t>
        </is>
      </c>
      <c r="B45" s="13" t="inlineStr">
        <is>
          <t>Instant / Mágica Instantânea</t>
        </is>
      </c>
      <c r="C45" s="13" t="inlineStr">
        <is>
          <t>Common / Comum</t>
        </is>
      </c>
      <c r="D45" s="13" t="inlineStr">
        <is>
          <t>Target creature gets +1/+1 and gains flying and first strike until end of turn. / A criatura alvo recebe +1/+1 e ganha voar e iniciativa até o final do turno.</t>
        </is>
      </c>
      <c r="E45" s="13" t="inlineStr">
        <is>
          <t>{1}{W}</t>
        </is>
      </c>
      <c r="F45" s="13" t="inlineStr">
        <is>
          <t>Branco</t>
        </is>
      </c>
      <c r="G45" s="8" t="n">
        <v>0.05</v>
      </c>
      <c r="H45" s="13" t="inlineStr">
        <is>
          <t>Gatecrash (GTC)</t>
        </is>
      </c>
      <c r="I45" s="13" t="inlineStr">
        <is>
          <t>Não</t>
        </is>
      </c>
      <c r="J45" s="13" t="n">
        <v>2013</v>
      </c>
      <c r="L45" s="13" t="n">
        <v>1</v>
      </c>
      <c r="M45" s="8">
        <f>L45*G45</f>
        <v/>
      </c>
      <c r="P45" s="9" t="n"/>
    </row>
    <row r="46">
      <c r="A46" s="13" t="inlineStr">
        <is>
          <t>Aerith Rescue Mission / Missão de Resgate de Aerith</t>
        </is>
      </c>
      <c r="B46" s="13" t="inlineStr">
        <is>
          <t>Feitiço</t>
        </is>
      </c>
      <c r="C46" s="13" t="inlineStr">
        <is>
          <t>Comum</t>
        </is>
      </c>
      <c r="D46" s="13"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46" s="13" t="inlineStr">
        <is>
          <t>3{W}</t>
        </is>
      </c>
      <c r="F46" s="13" t="inlineStr">
        <is>
          <t>Branco</t>
        </is>
      </c>
      <c r="G46" s="8" t="n">
        <v>0.1</v>
      </c>
      <c r="H46" s="13" t="inlineStr">
        <is>
          <t>Final Fantasy</t>
        </is>
      </c>
      <c r="I46" s="13" t="inlineStr">
        <is>
          <t>Não</t>
        </is>
      </c>
      <c r="J46" s="13" t="n">
        <v>2025</v>
      </c>
      <c r="L46" s="13" t="n">
        <v>10</v>
      </c>
      <c r="M46" s="8">
        <f>L46*G46</f>
        <v/>
      </c>
      <c r="P46" s="9" t="n"/>
    </row>
    <row r="47">
      <c r="A47" s="13" t="inlineStr">
        <is>
          <t>Aesthir Glider</t>
        </is>
      </c>
      <c r="B47" s="13" t="inlineStr">
        <is>
          <t>Criatura Artefato / Artifact Creature</t>
        </is>
      </c>
      <c r="C47" s="13" t="inlineStr">
        <is>
          <t>Comum / Common</t>
        </is>
      </c>
      <c r="D47" s="13" t="inlineStr">
        <is>
          <t>Flying. Cannot be assigned to block.</t>
        </is>
      </c>
      <c r="E47" s="13" t="inlineStr">
        <is>
          <t>{3}</t>
        </is>
      </c>
      <c r="F47" s="13" t="inlineStr">
        <is>
          <t>Incolor / Colorless</t>
        </is>
      </c>
      <c r="G47" s="8" t="n">
        <v>0.2</v>
      </c>
      <c r="H47" s="13" t="inlineStr">
        <is>
          <t>Alliances (ALL)</t>
        </is>
      </c>
      <c r="I47" s="13" t="inlineStr">
        <is>
          <t>Não</t>
        </is>
      </c>
      <c r="J47" s="13" t="n">
        <v>1996</v>
      </c>
      <c r="K47" s="10" t="n">
        <v>46024</v>
      </c>
      <c r="L47" s="13" t="n">
        <v>1</v>
      </c>
      <c r="M47" s="8">
        <f>L47*G47</f>
        <v/>
      </c>
      <c r="P47" s="9" t="n"/>
    </row>
    <row r="48">
      <c r="A48" s="13" t="inlineStr">
        <is>
          <t>Aether Adept / Adepto do Éter</t>
        </is>
      </c>
      <c r="B48" s="13" t="inlineStr">
        <is>
          <t>Creature — Human Wizard / Criatura — Humano Mago</t>
        </is>
      </c>
      <c r="C48" s="13" t="inlineStr">
        <is>
          <t>Common / Comum</t>
        </is>
      </c>
      <c r="D48" s="13" t="inlineStr">
        <is>
          <t>When this creature enters, return target creature to its owner's hand. / Quando Adepto do Éter entrar no campo de batalha, devolva a criatura alvo para a mão de seu dono.</t>
        </is>
      </c>
      <c r="E48" s="13" t="inlineStr">
        <is>
          <t>{1}{U}{U}</t>
        </is>
      </c>
      <c r="F48" s="13" t="inlineStr">
        <is>
          <t>Azul</t>
        </is>
      </c>
      <c r="G48" s="8" t="n">
        <v>0.09</v>
      </c>
      <c r="H48" s="13" t="inlineStr">
        <is>
          <t>Magic 2011 (M11)</t>
        </is>
      </c>
      <c r="I48" s="13" t="inlineStr">
        <is>
          <t>Não</t>
        </is>
      </c>
      <c r="J48" s="13" t="n">
        <v>2010</v>
      </c>
      <c r="K48" s="10" t="n">
        <v>46055</v>
      </c>
      <c r="L48" s="13" t="n">
        <v>1</v>
      </c>
      <c r="M48" s="8">
        <f>L48*G48</f>
        <v/>
      </c>
      <c r="P48" s="9" t="n"/>
    </row>
    <row r="49">
      <c r="A49" s="13" t="inlineStr">
        <is>
          <t>Æther Spellbomb / Bomba de Éter</t>
        </is>
      </c>
      <c r="B49" s="13" t="inlineStr">
        <is>
          <t>Artefato</t>
        </is>
      </c>
      <c r="C49" s="13" t="inlineStr">
        <is>
          <t>Comum</t>
        </is>
      </c>
      <c r="D49" s="13" t="inlineStr">
        <is>
          <t>{U}, Sacrifique Æther Spellbomb: Devolva a criatura alvo para a mão de seu dono. {1}, Sacrifique Æther Spellbomb: Compre um card.</t>
        </is>
      </c>
      <c r="E49" s="13" t="inlineStr">
        <is>
          <t>{1}</t>
        </is>
      </c>
      <c r="F49" s="13" t="inlineStr">
        <is>
          <t>Incolor</t>
        </is>
      </c>
      <c r="G49" s="8" t="n">
        <v>2.99</v>
      </c>
      <c r="H49" s="13" t="inlineStr">
        <is>
          <t>Magic: The Gathering—Commander (CMD)</t>
        </is>
      </c>
      <c r="I49" s="13" t="inlineStr">
        <is>
          <t>Não</t>
        </is>
      </c>
      <c r="J49" s="13" t="n">
        <v>2010</v>
      </c>
      <c r="L49" s="13" t="n">
        <v>2</v>
      </c>
      <c r="M49" s="8">
        <f>L49*G49</f>
        <v/>
      </c>
      <c r="P49" s="9" t="n"/>
    </row>
    <row r="50">
      <c r="A50" s="13" t="inlineStr">
        <is>
          <t>Æther Spellbomb / Bomba de Éter</t>
        </is>
      </c>
      <c r="B50" s="13" t="inlineStr">
        <is>
          <t>Artefato</t>
        </is>
      </c>
      <c r="C50" s="13" t="inlineStr">
        <is>
          <t>Comum</t>
        </is>
      </c>
      <c r="D50" s="13" t="inlineStr">
        <is>
          <t>{U}, Sacrifique Æther Spellbomb: Devolva a criatura alvo para a mão de seu dono. {1}, Sacrifique Æther Spellbomb: Compre um card.</t>
        </is>
      </c>
      <c r="E50" s="13" t="inlineStr">
        <is>
          <t>{1}</t>
        </is>
      </c>
      <c r="F50" s="13" t="inlineStr">
        <is>
          <t>Incolor</t>
        </is>
      </c>
      <c r="G50" s="8" t="n">
        <v>0.45</v>
      </c>
      <c r="H50" s="13" t="inlineStr">
        <is>
          <t>Mirrodin (MRD)</t>
        </is>
      </c>
      <c r="I50" s="13" t="inlineStr">
        <is>
          <t>Não</t>
        </is>
      </c>
      <c r="J50" s="13" t="n">
        <v>2003</v>
      </c>
      <c r="L50" s="13" t="n">
        <v>1</v>
      </c>
      <c r="M50" s="8">
        <f>L50*G50</f>
        <v/>
      </c>
      <c r="P50" s="9" t="n"/>
    </row>
    <row r="51">
      <c r="A51" s="13" t="inlineStr">
        <is>
          <t>Aether Spellbomb / Magibomba de Éter</t>
        </is>
      </c>
      <c r="B51" s="13" t="inlineStr">
        <is>
          <t>Artifact / Artefato</t>
        </is>
      </c>
      <c r="C51" s="13" t="inlineStr">
        <is>
          <t>Common / Comum</t>
        </is>
      </c>
      <c r="D51" s="13" t="inlineStr">
        <is>
          <t>{U}, Sacrifice this artifact: Return target creature to its owner's hand. {1}, Sacrifice this artifact: Draw a card. / {U}, Sacrifique Magibomba de Éter: Devolve a criatura alvo para a mão de seu dono. {1}, Sacrifique Magibomba de Éter: Compre um card.</t>
        </is>
      </c>
      <c r="E51" s="13" t="inlineStr">
        <is>
          <t>{1}</t>
        </is>
      </c>
      <c r="F51" s="13" t="inlineStr">
        <is>
          <t>Azul</t>
        </is>
      </c>
      <c r="G51" s="8" t="n">
        <v>0.45</v>
      </c>
      <c r="H51" s="13" t="inlineStr">
        <is>
          <t>Modern Masters (MMA)</t>
        </is>
      </c>
      <c r="I51" s="13" t="inlineStr">
        <is>
          <t>Não</t>
        </is>
      </c>
      <c r="J51" s="13" t="n">
        <v>2013</v>
      </c>
      <c r="L51" s="13" t="n">
        <v>2</v>
      </c>
      <c r="M51" s="8">
        <f>L51*G51</f>
        <v/>
      </c>
      <c r="P51" s="9" t="n"/>
    </row>
    <row r="52">
      <c r="A52" s="13" t="inlineStr">
        <is>
          <t>Aetherize / Eterificar</t>
        </is>
      </c>
      <c r="B52" s="13" t="inlineStr">
        <is>
          <t>Instant / Mágica Instantânea</t>
        </is>
      </c>
      <c r="C52" s="13" t="inlineStr">
        <is>
          <t>Uncommon / Incomum</t>
        </is>
      </c>
      <c r="D52" s="13" t="inlineStr">
        <is>
          <t>Return all attacking creatures to their owner's hand. / Devolva todas as criaturas atacantes para as mãos de seus donos.</t>
        </is>
      </c>
      <c r="E52" s="13" t="inlineStr">
        <is>
          <t>{3}{U}</t>
        </is>
      </c>
      <c r="F52" s="13" t="inlineStr">
        <is>
          <t>Azul</t>
        </is>
      </c>
      <c r="G52" s="8" t="n">
        <v>3.95</v>
      </c>
      <c r="H52" s="13" t="inlineStr">
        <is>
          <t>Foundations (FDN)</t>
        </is>
      </c>
      <c r="I52" s="13" t="inlineStr">
        <is>
          <t>Não</t>
        </is>
      </c>
      <c r="J52" s="13" t="n">
        <v>2024</v>
      </c>
      <c r="L52" s="13" t="n">
        <v>1</v>
      </c>
      <c r="M52" s="8">
        <f>L52*G52</f>
        <v/>
      </c>
      <c r="N52" s="13" t="inlineStr">
        <is>
          <t>Pasta</t>
        </is>
      </c>
      <c r="P52" s="9" t="n"/>
    </row>
    <row r="53">
      <c r="A53" s="13" t="inlineStr">
        <is>
          <t>Aetherjacket</t>
        </is>
      </c>
      <c r="B53" s="13" t="inlineStr">
        <is>
          <t>Artifact Creature — Thopter</t>
        </is>
      </c>
      <c r="C53" s="13" t="inlineStr">
        <is>
          <t>Common / Comum</t>
        </is>
      </c>
      <c r="D53" s="13" t="inlineStr">
        <is>
          <t>Flying, vigilance {2}, {T}, Sacrifice this creature: Destroy another target artifact. Activate only as a sorcery.</t>
        </is>
      </c>
      <c r="E53" s="13" t="inlineStr">
        <is>
          <t>{3}</t>
        </is>
      </c>
      <c r="F53" s="13" t="inlineStr">
        <is>
          <t>Incolor</t>
        </is>
      </c>
      <c r="G53" s="8" t="n">
        <v>0.05</v>
      </c>
      <c r="H53" s="13" t="inlineStr">
        <is>
          <t>Aetherdrift (DFT)</t>
        </is>
      </c>
      <c r="I53" s="13" t="inlineStr">
        <is>
          <t>Não</t>
        </is>
      </c>
      <c r="J53" s="13" t="n">
        <v>2025</v>
      </c>
      <c r="K53" s="10" t="n">
        <v>46024</v>
      </c>
      <c r="L53" s="13" t="n">
        <v>1</v>
      </c>
      <c r="M53" s="8">
        <f>L53*G53</f>
        <v/>
      </c>
      <c r="P53" s="9" t="n"/>
    </row>
    <row r="54">
      <c r="A54" s="13" t="inlineStr">
        <is>
          <t>Agadeem Occultist / Ocultista de Agadeem</t>
        </is>
      </c>
      <c r="B54" s="13" t="inlineStr">
        <is>
          <t>Creature — Human Shaman Ally / Criatura — Humano Xamã Aliado</t>
        </is>
      </c>
      <c r="C54" s="13" t="inlineStr">
        <is>
          <t>Rare / Rara</t>
        </is>
      </c>
      <c r="D54" s="13"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54" s="13" t="inlineStr">
        <is>
          <t>{2}{B}</t>
        </is>
      </c>
      <c r="F54" s="13" t="inlineStr">
        <is>
          <t>Preto</t>
        </is>
      </c>
      <c r="G54" s="8" t="n">
        <v>0.9399999999999999</v>
      </c>
      <c r="H54" s="13" t="inlineStr">
        <is>
          <t>Worldwake (WWK)</t>
        </is>
      </c>
      <c r="I54" s="13" t="inlineStr">
        <is>
          <t>Não</t>
        </is>
      </c>
      <c r="J54" s="13" t="n">
        <v>2010</v>
      </c>
      <c r="K54" s="13" t="inlineStr">
        <is>
          <t>0/2</t>
        </is>
      </c>
      <c r="L54" s="13" t="n">
        <v>2</v>
      </c>
      <c r="M54" s="8">
        <f>L54*G54</f>
        <v/>
      </c>
      <c r="P54" s="9" t="n"/>
    </row>
    <row r="55">
      <c r="A55" s="13" t="inlineStr">
        <is>
          <t>Agency Outfitter / Fornecedor da Agência</t>
        </is>
      </c>
      <c r="B55" s="13" t="inlineStr">
        <is>
          <t>Creature — Sphinx Detective / Criatura — Esfinge Detetive</t>
        </is>
      </c>
      <c r="C55" s="13" t="inlineStr">
        <is>
          <t>Uncommon / Incomum</t>
        </is>
      </c>
      <c r="D55" s="13"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55" s="13" t="inlineStr">
        <is>
          <t>{4}{U}{U}</t>
        </is>
      </c>
      <c r="F55" s="13" t="inlineStr">
        <is>
          <t>Azul</t>
        </is>
      </c>
      <c r="G55" s="8" t="n">
        <v>0.06</v>
      </c>
      <c r="H55" s="13" t="inlineStr">
        <is>
          <t>Murders at Karlov Manor (MKM)</t>
        </is>
      </c>
      <c r="I55" s="13" t="inlineStr">
        <is>
          <t>Não</t>
        </is>
      </c>
      <c r="J55" s="13" t="n">
        <v>2024</v>
      </c>
      <c r="K55" s="10" t="n">
        <v>46085</v>
      </c>
      <c r="L55" s="13" t="n">
        <v>1</v>
      </c>
      <c r="M55" s="8">
        <f>L55*G55</f>
        <v/>
      </c>
      <c r="P55" s="9" t="n"/>
    </row>
    <row r="56">
      <c r="A56" s="13" t="inlineStr">
        <is>
          <t>Agent Bishop, Man in Black</t>
        </is>
      </c>
      <c r="B56" s="13" t="inlineStr">
        <is>
          <t>Legendary Creature — Human Soldier</t>
        </is>
      </c>
      <c r="C56" s="13" t="inlineStr">
        <is>
          <t>Rare / Rara</t>
        </is>
      </c>
      <c r="D56" s="13" t="inlineStr">
        <is>
          <t>At the beginning of combat on your turn, put a +1/+1 counter on each of up to two target creatures.</t>
        </is>
      </c>
      <c r="E56" s="13" t="inlineStr">
        <is>
          <t>{2}{W}</t>
        </is>
      </c>
      <c r="F56" s="13" t="inlineStr">
        <is>
          <t>Branco</t>
        </is>
      </c>
      <c r="G56" s="8" t="n">
        <v>0.32</v>
      </c>
      <c r="H56" s="13" t="inlineStr">
        <is>
          <t>Teenage Mutant Ninja Turtles (TMT)</t>
        </is>
      </c>
      <c r="I56" s="13" t="inlineStr">
        <is>
          <t>Não</t>
        </is>
      </c>
      <c r="J56" s="13" t="n">
        <v>2026</v>
      </c>
      <c r="K56" s="10" t="n">
        <v>46054</v>
      </c>
      <c r="L56" s="13" t="n">
        <v>1</v>
      </c>
      <c r="M56" s="8">
        <f>L56*G56</f>
        <v/>
      </c>
      <c r="P56" s="9" t="n"/>
    </row>
    <row r="57">
      <c r="A57" s="13" t="inlineStr">
        <is>
          <t>Agent Bishop, Man in Black</t>
        </is>
      </c>
      <c r="B57" s="13" t="inlineStr">
        <is>
          <t>Legendary Creature — Human Soldier</t>
        </is>
      </c>
      <c r="C57" s="13" t="inlineStr">
        <is>
          <t>Rare / Rara</t>
        </is>
      </c>
      <c r="D57" s="13" t="inlineStr">
        <is>
          <t>At the beginning of combat on your turn, put a +1/+1 counter on each of up to two target creatures.</t>
        </is>
      </c>
      <c r="E57" s="13" t="inlineStr">
        <is>
          <t>{2}{W}</t>
        </is>
      </c>
      <c r="F57" s="13" t="inlineStr">
        <is>
          <t>Branco</t>
        </is>
      </c>
      <c r="G57" s="8" t="n">
        <v>0.92</v>
      </c>
      <c r="H57" s="13" t="inlineStr">
        <is>
          <t>Teenage Mutant Ninja Turtles (TMT)</t>
        </is>
      </c>
      <c r="I57" s="13" t="inlineStr">
        <is>
          <t>Sim</t>
        </is>
      </c>
      <c r="J57" s="13" t="n">
        <v>2026</v>
      </c>
      <c r="K57" s="10" t="n">
        <v>46054</v>
      </c>
      <c r="L57" s="13" t="n">
        <v>1</v>
      </c>
      <c r="M57" s="8">
        <f>L57*G57</f>
        <v/>
      </c>
      <c r="P57" s="9" t="n"/>
    </row>
    <row r="58">
      <c r="A58" s="13" t="inlineStr">
        <is>
          <t>Agent of Atlas / Agente da Atlas</t>
        </is>
      </c>
      <c r="B58" s="13" t="inlineStr">
        <is>
          <t>Criatura — Humano Espião Herói</t>
        </is>
      </c>
      <c r="C58" s="13" t="inlineStr">
        <is>
          <t>Comum</t>
        </is>
      </c>
      <c r="D58" s="13" t="inlineStr">
        <is>
          <t>Destreza (Sempre que você conjurar um feitiço que não seja de criatura, esta criatura receberá +1/+1 até o final do turno.)</t>
        </is>
      </c>
      <c r="E58" s="13" t="inlineStr">
        <is>
          <t>1{W}</t>
        </is>
      </c>
      <c r="F58" s="13" t="inlineStr">
        <is>
          <t>Branco</t>
        </is>
      </c>
      <c r="G58" s="8" t="n">
        <v>0.13</v>
      </c>
      <c r="H58" s="13" t="inlineStr">
        <is>
          <t>Marvel</t>
        </is>
      </c>
      <c r="I58" s="13" t="inlineStr">
        <is>
          <t>Não</t>
        </is>
      </c>
      <c r="J58" s="13" t="n">
        <v>2026</v>
      </c>
      <c r="K58" s="10" t="n">
        <v>46055</v>
      </c>
      <c r="L58" s="13" t="n">
        <v>1</v>
      </c>
      <c r="M58" s="8">
        <f>L58*G58</f>
        <v/>
      </c>
      <c r="P58" s="9" t="n"/>
    </row>
    <row r="59">
      <c r="A59" s="13" t="inlineStr">
        <is>
          <t>Agent of Erebos / Agente de Érebo</t>
        </is>
      </c>
      <c r="B59" s="13" t="inlineStr">
        <is>
          <t>Enchantment Creature — Zombie / Criatura Encantamento — Zumbi</t>
        </is>
      </c>
      <c r="C59" s="13" t="inlineStr">
        <is>
          <t>Uncommon / Incomum</t>
        </is>
      </c>
      <c r="D59" s="13"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59" s="13" t="inlineStr">
        <is>
          <t>{3}{B}</t>
        </is>
      </c>
      <c r="F59" s="13" t="inlineStr">
        <is>
          <t>Preto</t>
        </is>
      </c>
      <c r="G59" s="8" t="n">
        <v>0.48</v>
      </c>
      <c r="H59" s="13" t="inlineStr">
        <is>
          <t>Journey into Nyx (JOU)</t>
        </is>
      </c>
      <c r="I59" s="13" t="inlineStr">
        <is>
          <t>Não</t>
        </is>
      </c>
      <c r="J59" s="13" t="n">
        <v>2014</v>
      </c>
      <c r="K59" s="10" t="n">
        <v>46055</v>
      </c>
      <c r="L59" s="13" t="n">
        <v>2</v>
      </c>
      <c r="M59" s="8">
        <f>L59*G59</f>
        <v/>
      </c>
      <c r="P59" s="9" t="n"/>
    </row>
    <row r="60">
      <c r="A60" s="13" t="inlineStr">
        <is>
          <t>Agents of S.H.I.E.L.D. / Agentes da S.H.I.E.L.D.</t>
        </is>
      </c>
      <c r="B60" s="13" t="inlineStr">
        <is>
          <t>Criatura — Humano Espião Herói</t>
        </is>
      </c>
      <c r="C60" s="13" t="inlineStr">
        <is>
          <t>Comum</t>
        </is>
      </c>
      <c r="D60" s="13" t="inlineStr">
        <is>
          <t>Sempre que uma criatura que você controla atacar sozinha, aquela criatura receberá +1/+1 até o final do turno.</t>
        </is>
      </c>
      <c r="E60" s="13" t="inlineStr">
        <is>
          <t>2{W}</t>
        </is>
      </c>
      <c r="F60" s="13" t="inlineStr">
        <is>
          <t>Branco</t>
        </is>
      </c>
      <c r="G60" s="8" t="n">
        <v>0.15</v>
      </c>
      <c r="H60" s="13" t="inlineStr">
        <is>
          <t>Marvel</t>
        </is>
      </c>
      <c r="I60" s="13" t="inlineStr">
        <is>
          <t>Não</t>
        </is>
      </c>
      <c r="J60" s="13" t="n">
        <v>2026</v>
      </c>
      <c r="K60" s="10" t="n">
        <v>46114</v>
      </c>
      <c r="L60" s="13" t="n">
        <v>1</v>
      </c>
      <c r="M60" s="8">
        <f>L60*G60</f>
        <v/>
      </c>
      <c r="P60" s="9" t="n"/>
    </row>
    <row r="61">
      <c r="A61" s="13" t="inlineStr">
        <is>
          <t>Aggression / Agressão</t>
        </is>
      </c>
      <c r="B61" s="13" t="inlineStr">
        <is>
          <t>Enchantment — Aura</t>
        </is>
      </c>
      <c r="C61" s="13" t="inlineStr">
        <is>
          <t>Uncommon / Incomum</t>
        </is>
      </c>
      <c r="D61" s="13" t="inlineStr">
        <is>
          <t>Enchant non-Wall creature Enchanted creature has first strike and trample. At the beginning of the end step of enchanted creature's controller, destroy that creature if it didn't attack this turn.</t>
        </is>
      </c>
      <c r="E61" s="13" t="inlineStr">
        <is>
          <t>{2}{R}</t>
        </is>
      </c>
      <c r="F61" s="13" t="inlineStr">
        <is>
          <t>Vermelho</t>
        </is>
      </c>
      <c r="G61" s="8" t="n">
        <v>0.14</v>
      </c>
      <c r="H61" s="13" t="inlineStr">
        <is>
          <t>Ice Age (ICE)</t>
        </is>
      </c>
      <c r="I61" s="13" t="inlineStr">
        <is>
          <t>Não</t>
        </is>
      </c>
      <c r="J61" s="13" t="n">
        <v>1995</v>
      </c>
      <c r="L61" s="13" t="n">
        <v>1</v>
      </c>
      <c r="M61" s="8">
        <f>L61*G61</f>
        <v/>
      </c>
      <c r="P61" s="9" t="n"/>
    </row>
    <row r="62">
      <c r="A62" s="13" t="inlineStr">
        <is>
          <t>Agility / Agilidade</t>
        </is>
      </c>
      <c r="B62" s="13" t="inlineStr">
        <is>
          <t>Enchantment — Aura</t>
        </is>
      </c>
      <c r="C62" s="13" t="inlineStr">
        <is>
          <t>Common / Comum</t>
        </is>
      </c>
      <c r="D62" s="13" t="inlineStr">
        <is>
          <t>Enchant creature Enchanted creature gets +1/+1 and has flanking. (Whenever a creature without flanking blocks this creature, the blocking creature gets -1/-1 until end of turn.)</t>
        </is>
      </c>
      <c r="E62" s="13" t="inlineStr">
        <is>
          <t>{1}{R}</t>
        </is>
      </c>
      <c r="F62" s="13" t="inlineStr">
        <is>
          <t>Vermelho</t>
        </is>
      </c>
      <c r="G62" s="8" t="n">
        <v>0.05</v>
      </c>
      <c r="H62" s="13" t="inlineStr">
        <is>
          <t>Mirage (MIR)</t>
        </is>
      </c>
      <c r="I62" s="13" t="inlineStr">
        <is>
          <t>Não</t>
        </is>
      </c>
      <c r="J62" s="13" t="n">
        <v>1996</v>
      </c>
      <c r="L62" s="13" t="n">
        <v>1</v>
      </c>
      <c r="M62" s="8">
        <f>L62*G62</f>
        <v/>
      </c>
      <c r="P62" s="9" t="n"/>
    </row>
    <row r="63">
      <c r="A63" s="13" t="inlineStr">
        <is>
          <t>Ahriman / Ahriman</t>
        </is>
      </c>
      <c r="B63" s="13" t="inlineStr">
        <is>
          <t>Criatura — Olho Horror</t>
        </is>
      </c>
      <c r="C63" s="13" t="inlineStr">
        <is>
          <t>Comum</t>
        </is>
      </c>
      <c r="D63" s="13" t="inlineStr">
        <is>
          <t>Voar, toque mortífero. {3}, Sacrifique outra criatura ou artefato: Compre um card.</t>
        </is>
      </c>
      <c r="E63" s="13" t="inlineStr">
        <is>
          <t>2{B}</t>
        </is>
      </c>
      <c r="F63" s="13" t="inlineStr">
        <is>
          <t>Preto</t>
        </is>
      </c>
      <c r="G63" s="8" t="n">
        <v>0.1</v>
      </c>
      <c r="H63" s="13" t="inlineStr">
        <is>
          <t>Final Fantasy</t>
        </is>
      </c>
      <c r="I63" s="13" t="inlineStr">
        <is>
          <t>Não</t>
        </is>
      </c>
      <c r="J63" s="13" t="n">
        <v>2025</v>
      </c>
      <c r="K63" s="10" t="n">
        <v>46055</v>
      </c>
      <c r="L63" s="13" t="n">
        <v>11</v>
      </c>
      <c r="M63" s="8">
        <f>L63*G63</f>
        <v/>
      </c>
      <c r="P63" s="9" t="n"/>
    </row>
    <row r="64">
      <c r="A64" s="13" t="inlineStr">
        <is>
          <t>Ahriman / Ahriman</t>
        </is>
      </c>
      <c r="B64" s="13" t="inlineStr">
        <is>
          <t>Criatura — Olho Horror</t>
        </is>
      </c>
      <c r="C64" s="13" t="inlineStr">
        <is>
          <t>Comum</t>
        </is>
      </c>
      <c r="D64" s="13" t="inlineStr">
        <is>
          <t>Voar, toque mortífero. {3}, Sacrifique outra criatura ou artefato: Compre um card.</t>
        </is>
      </c>
      <c r="E64" s="13" t="inlineStr">
        <is>
          <t>2{B}</t>
        </is>
      </c>
      <c r="F64" s="13" t="inlineStr">
        <is>
          <t>Preto</t>
        </is>
      </c>
      <c r="G64" s="8" t="n">
        <v>0.25</v>
      </c>
      <c r="H64" s="13" t="inlineStr">
        <is>
          <t>Final Fantasy</t>
        </is>
      </c>
      <c r="I64" s="13" t="inlineStr">
        <is>
          <t>Sim</t>
        </is>
      </c>
      <c r="J64" s="13" t="n">
        <v>2025</v>
      </c>
      <c r="K64" s="10" t="n">
        <v>46055</v>
      </c>
      <c r="L64" s="13" t="n">
        <v>1</v>
      </c>
      <c r="M64" s="8">
        <f>L64*G64</f>
        <v/>
      </c>
      <c r="P64" s="9" t="n"/>
    </row>
    <row r="65">
      <c r="A65" s="13" t="inlineStr">
        <is>
          <t>Aim High / Mirar Alto</t>
        </is>
      </c>
      <c r="B65" s="13" t="inlineStr">
        <is>
          <t>Instant / Mágica Instantânea</t>
        </is>
      </c>
      <c r="C65" s="13" t="inlineStr">
        <is>
          <t>Common / Comum</t>
        </is>
      </c>
      <c r="D65" s="13" t="inlineStr">
        <is>
          <t>Untap target creature. It gets +2/+2 and gains reach until end of turn. / Desvire a criatura alvo. Ela recebe +2/+2 e ganha alcance até o final do turno. (Ela pode bloquear criaturas com voar.)</t>
        </is>
      </c>
      <c r="E65" s="13" t="inlineStr">
        <is>
          <t>{1}{G}</t>
        </is>
      </c>
      <c r="F65" s="13" t="inlineStr">
        <is>
          <t>Verde</t>
        </is>
      </c>
      <c r="G65" s="8" t="n">
        <v>0.05</v>
      </c>
      <c r="H65" s="13" t="inlineStr">
        <is>
          <t>Innistrad Remastered (INR)</t>
        </is>
      </c>
      <c r="I65" s="13" t="inlineStr">
        <is>
          <t>Não</t>
        </is>
      </c>
      <c r="J65" s="13" t="n">
        <v>2025</v>
      </c>
      <c r="L65" s="13" t="n">
        <v>1</v>
      </c>
      <c r="M65" s="8">
        <f>L65*G65</f>
        <v/>
      </c>
      <c r="P65" s="9" t="n"/>
    </row>
    <row r="66">
      <c r="A66" s="13" t="inlineStr">
        <is>
          <t>Ainok Bond-Kin / Ainok Laço-de-honra</t>
        </is>
      </c>
      <c r="B66" s="13" t="inlineStr">
        <is>
          <t>Creature — Dog Soldier / Criatura — Sabujo Soldado</t>
        </is>
      </c>
      <c r="C66" s="13" t="inlineStr">
        <is>
          <t>Common / Comum</t>
        </is>
      </c>
      <c r="D66" s="13"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66" s="13" t="inlineStr">
        <is>
          <t>{1}{W}</t>
        </is>
      </c>
      <c r="F66" s="13" t="inlineStr">
        <is>
          <t>Branco</t>
        </is>
      </c>
      <c r="G66" s="8" t="n">
        <v>0.1</v>
      </c>
      <c r="H66" s="13" t="inlineStr">
        <is>
          <t>Double Masters 2022 (2X2)</t>
        </is>
      </c>
      <c r="I66" s="13" t="inlineStr">
        <is>
          <t>Sim</t>
        </is>
      </c>
      <c r="J66" s="13" t="n">
        <v>2022</v>
      </c>
      <c r="K66" s="10" t="n">
        <v>46024</v>
      </c>
      <c r="L66" s="13" t="n">
        <v>1</v>
      </c>
      <c r="M66" s="8">
        <f>L66*G66</f>
        <v/>
      </c>
      <c r="P66" s="9" t="n"/>
    </row>
    <row r="67">
      <c r="A67" s="13" t="inlineStr">
        <is>
          <t>Airbender's Reversal</t>
        </is>
      </c>
      <c r="B67" s="13" t="inlineStr">
        <is>
          <t>Instant — Lesson</t>
        </is>
      </c>
      <c r="C67" s="13" t="inlineStr">
        <is>
          <t>Uncommon / Incomum</t>
        </is>
      </c>
      <c r="D67" s="13" t="inlineStr">
        <is>
          <t>Choose one — • Destroy target attacking creature. • Airbend target creature you control. (Exile it. While it's exiled, its owner may cast it for {2} rather than its mana cost.)</t>
        </is>
      </c>
      <c r="E67" s="13" t="inlineStr">
        <is>
          <t>{1}{W}</t>
        </is>
      </c>
      <c r="F67" s="13" t="inlineStr">
        <is>
          <t>Branco</t>
        </is>
      </c>
      <c r="G67" s="8" t="n">
        <v>0.22</v>
      </c>
      <c r="H67" s="13" t="inlineStr">
        <is>
          <t>Avatar: The Last Airbender (TLA)</t>
        </is>
      </c>
      <c r="I67" s="13" t="inlineStr">
        <is>
          <t>Não</t>
        </is>
      </c>
      <c r="J67" s="13" t="n">
        <v>2025</v>
      </c>
      <c r="L67" s="13" t="n">
        <v>1</v>
      </c>
      <c r="M67" s="8">
        <f>L67*G67</f>
        <v/>
      </c>
      <c r="P67" s="9" t="n"/>
    </row>
    <row r="68">
      <c r="A68" s="13" t="inlineStr">
        <is>
          <t>Airbending Lesson</t>
        </is>
      </c>
      <c r="B68" s="13" t="inlineStr">
        <is>
          <t>Instant — Lesson</t>
        </is>
      </c>
      <c r="C68" s="13" t="inlineStr">
        <is>
          <t>Common / Comum</t>
        </is>
      </c>
      <c r="D68" s="13" t="inlineStr">
        <is>
          <t>Airbend target nonland permanent. (Exile it. While it's exiled, its owner may cast it for {2} rather than its mana cost.) Draw a card.</t>
        </is>
      </c>
      <c r="E68" s="13" t="inlineStr">
        <is>
          <t>{2}{W}</t>
        </is>
      </c>
      <c r="F68" s="13" t="inlineStr">
        <is>
          <t>Branco</t>
        </is>
      </c>
      <c r="G68" s="8" t="n">
        <v>0.1</v>
      </c>
      <c r="H68" s="13" t="inlineStr">
        <is>
          <t>Avatar: The Last Airbender (TLA)</t>
        </is>
      </c>
      <c r="I68" s="13" t="inlineStr">
        <is>
          <t>Não</t>
        </is>
      </c>
      <c r="J68" s="13" t="n">
        <v>2025</v>
      </c>
      <c r="L68" s="13" t="n">
        <v>5</v>
      </c>
      <c r="M68" s="8">
        <f>L68*G68</f>
        <v/>
      </c>
      <c r="P68" s="9" t="n"/>
    </row>
    <row r="69">
      <c r="A69" s="13" t="inlineStr">
        <is>
          <t>Airship Crash</t>
        </is>
      </c>
      <c r="B69" s="13" t="inlineStr">
        <is>
          <t>Instant</t>
        </is>
      </c>
      <c r="C69" s="13" t="inlineStr">
        <is>
          <t>Comum</t>
        </is>
      </c>
      <c r="D69" s="13" t="inlineStr">
        <is>
          <t>Destroy target artifact, enchantment, or creature with flying. Cycling 2 (2, Discard this card: Draw a card.)</t>
        </is>
      </c>
      <c r="E69" s="13" t="inlineStr">
        <is>
          <t>2G</t>
        </is>
      </c>
      <c r="F69" s="13" t="inlineStr">
        <is>
          <t>Verde</t>
        </is>
      </c>
      <c r="G69" s="8" t="n">
        <v>0.05</v>
      </c>
      <c r="H69" s="13" t="inlineStr">
        <is>
          <t>Final Fantasy (FFIX)</t>
        </is>
      </c>
      <c r="I69" s="13" t="inlineStr">
        <is>
          <t>Não</t>
        </is>
      </c>
      <c r="J69" s="13" t="n">
        <v>2025</v>
      </c>
      <c r="L69" s="13" t="n">
        <v>10</v>
      </c>
      <c r="M69" s="8">
        <f>L69*G69</f>
        <v/>
      </c>
      <c r="P69" s="9" t="n"/>
    </row>
    <row r="70">
      <c r="A70" s="13" t="inlineStr">
        <is>
          <t>Ajani's Chosen / Escolhidos de Ajani</t>
        </is>
      </c>
      <c r="B70" s="13" t="inlineStr">
        <is>
          <t>Creature — Cat Soldier / Criatura — Felino Soldado</t>
        </is>
      </c>
      <c r="C70" s="13" t="inlineStr">
        <is>
          <t>Rare / Rara</t>
        </is>
      </c>
      <c r="D70" s="13"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70" s="13" t="inlineStr">
        <is>
          <t>{2}{W}{W}</t>
        </is>
      </c>
      <c r="F70" s="13" t="inlineStr">
        <is>
          <t>Branco</t>
        </is>
      </c>
      <c r="G70" s="8" t="n">
        <v>0.45</v>
      </c>
      <c r="H70" s="13" t="inlineStr">
        <is>
          <t>Magic 2014 (M14)</t>
        </is>
      </c>
      <c r="I70" s="13" t="inlineStr">
        <is>
          <t>Não</t>
        </is>
      </c>
      <c r="J70" s="13" t="n">
        <v>2013</v>
      </c>
      <c r="K70" s="10" t="n">
        <v>46084</v>
      </c>
      <c r="L70" s="13" t="n">
        <v>1</v>
      </c>
      <c r="M70" s="8">
        <f>L70*G70</f>
        <v/>
      </c>
      <c r="P70" s="9" t="n"/>
    </row>
    <row r="71">
      <c r="A71" s="13" t="inlineStr">
        <is>
          <t>Ajani's Last Stand / Resistência Final de Ajani</t>
        </is>
      </c>
      <c r="B71" s="13" t="inlineStr">
        <is>
          <t>Enchantment / Encantamento</t>
        </is>
      </c>
      <c r="C71" s="13" t="inlineStr">
        <is>
          <t>Rare / Rara</t>
        </is>
      </c>
      <c r="D71" s="13"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71" s="13" t="inlineStr">
        <is>
          <t>{2}{W}{W}</t>
        </is>
      </c>
      <c r="F71" s="13" t="inlineStr">
        <is>
          <t>Branco</t>
        </is>
      </c>
      <c r="G71" s="8" t="n">
        <v>0.77</v>
      </c>
      <c r="H71" s="13" t="inlineStr">
        <is>
          <t>Core Set 2019 (M19)</t>
        </is>
      </c>
      <c r="I71" s="13" t="inlineStr">
        <is>
          <t>Sim</t>
        </is>
      </c>
      <c r="J71" s="13" t="n">
        <v>2018</v>
      </c>
      <c r="L71" s="13" t="n">
        <v>1</v>
      </c>
      <c r="M71" s="8">
        <f>L71*G71</f>
        <v/>
      </c>
      <c r="N71" s="13" t="inlineStr">
        <is>
          <t>Pasta</t>
        </is>
      </c>
      <c r="P71" s="9" t="n"/>
    </row>
    <row r="72">
      <c r="A72" s="13" t="inlineStr">
        <is>
          <t>Ajani's Last Stand / Resistência Final de Ajani</t>
        </is>
      </c>
      <c r="B72" s="13" t="inlineStr">
        <is>
          <t>Enchantment / Encantamento</t>
        </is>
      </c>
      <c r="C72" s="13" t="inlineStr">
        <is>
          <t>Rare / Rara</t>
        </is>
      </c>
      <c r="D72" s="13"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72" s="13" t="inlineStr">
        <is>
          <t>{2}{W}{W}</t>
        </is>
      </c>
      <c r="F72" s="13" t="inlineStr">
        <is>
          <t>Branco</t>
        </is>
      </c>
      <c r="G72" s="8" t="n">
        <v>0.19</v>
      </c>
      <c r="H72" s="13" t="inlineStr">
        <is>
          <t>Core Set 2019 (M19)</t>
        </is>
      </c>
      <c r="I72" s="13" t="inlineStr">
        <is>
          <t>Não</t>
        </is>
      </c>
      <c r="J72" s="13" t="n">
        <v>2018</v>
      </c>
      <c r="L72" s="13" t="n">
        <v>2</v>
      </c>
      <c r="M72" s="8">
        <f>L72*G72</f>
        <v/>
      </c>
      <c r="P72" s="9" t="n"/>
    </row>
    <row r="73">
      <c r="A73" s="13" t="inlineStr">
        <is>
          <t>Ajani's Presence / Presença de Ajani</t>
        </is>
      </c>
      <c r="B73" s="13" t="inlineStr">
        <is>
          <t>Instant / Mágica Instantânea</t>
        </is>
      </c>
      <c r="C73" s="13" t="inlineStr">
        <is>
          <t>Common / Comum</t>
        </is>
      </c>
      <c r="D73" s="13"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73" s="13" t="inlineStr">
        <is>
          <t>{W}</t>
        </is>
      </c>
      <c r="F73" s="13" t="inlineStr">
        <is>
          <t>Branco</t>
        </is>
      </c>
      <c r="G73" s="8" t="n">
        <v>0.08</v>
      </c>
      <c r="H73" s="13" t="inlineStr">
        <is>
          <t>Journey into Nyx (JOU)</t>
        </is>
      </c>
      <c r="I73" s="13" t="inlineStr">
        <is>
          <t>Não</t>
        </is>
      </c>
      <c r="J73" s="13" t="n">
        <v>2014</v>
      </c>
      <c r="L73" s="13" t="n">
        <v>5</v>
      </c>
      <c r="M73" s="8">
        <f>L73*G73</f>
        <v/>
      </c>
      <c r="P73" s="9" t="n"/>
    </row>
    <row r="74">
      <c r="A74" s="13" t="inlineStr">
        <is>
          <t>Ajani's Pridemate / Companheiro de Bando de Ajani</t>
        </is>
      </c>
      <c r="B74" s="13" t="inlineStr">
        <is>
          <t>Creature — Cat Soldier / Criatura — Felino Soldado</t>
        </is>
      </c>
      <c r="C74" s="13" t="inlineStr">
        <is>
          <t>Uncommon / Incomum</t>
        </is>
      </c>
      <c r="D74" s="13" t="inlineStr">
        <is>
          <t>Whenever you gain life, put a +1/+1 counter on this creature. / Toda vez que você ganha pontos de vida, você pode colocar um marcador +1/+1 em Companheiro de Bando de Ajani.</t>
        </is>
      </c>
      <c r="E74" s="13" t="inlineStr">
        <is>
          <t>{1}{W}</t>
        </is>
      </c>
      <c r="F74" s="13" t="inlineStr">
        <is>
          <t>Branco</t>
        </is>
      </c>
      <c r="G74" s="8" t="n">
        <v>0.2</v>
      </c>
      <c r="H74" s="13" t="inlineStr">
        <is>
          <t>War of the Spark (WAR)</t>
        </is>
      </c>
      <c r="I74" s="13" t="inlineStr">
        <is>
          <t>Não</t>
        </is>
      </c>
      <c r="J74" s="13" t="n">
        <v>2019</v>
      </c>
      <c r="K74" s="10" t="n">
        <v>46055</v>
      </c>
      <c r="L74" s="13" t="n">
        <v>1</v>
      </c>
      <c r="M74" s="8">
        <f>L74*G74</f>
        <v/>
      </c>
      <c r="P74" s="9" t="n"/>
    </row>
    <row r="75">
      <c r="A75" s="13" t="inlineStr">
        <is>
          <t>Ajuda Improvável / Unlikely Aid</t>
        </is>
      </c>
      <c r="B75" s="13" t="inlineStr">
        <is>
          <t>Mágica Instantânea / Instant</t>
        </is>
      </c>
      <c r="C75" s="13" t="inlineStr">
        <is>
          <t>Comum / Common</t>
        </is>
      </c>
      <c r="D75" s="13" t="inlineStr">
        <is>
          <t>A criatura alvo recebe +2/+0 e ganha indestrutível até o final do turno. (O dano e os efeitos que dizem "destrua" não a destroem.) / Target creature gets +2/+0 and gains indestructible until end of turn. (Damage and effects that say "destroy" don't destroy it.)</t>
        </is>
      </c>
      <c r="E75" s="13" t="inlineStr">
        <is>
          <t>{1}{B}</t>
        </is>
      </c>
      <c r="F75" s="13" t="inlineStr">
        <is>
          <t>Preto / Black</t>
        </is>
      </c>
      <c r="G75" s="8" t="n">
        <v>0.06</v>
      </c>
      <c r="H75" s="13" t="inlineStr">
        <is>
          <t>War of the Spark (WAR)</t>
        </is>
      </c>
      <c r="I75" s="13" t="inlineStr">
        <is>
          <t>Não</t>
        </is>
      </c>
      <c r="J75" s="13" t="n">
        <v>2019</v>
      </c>
      <c r="L75" s="13" t="n">
        <v>4</v>
      </c>
      <c r="M75" s="8">
        <f>L75*G75</f>
        <v/>
      </c>
      <c r="P75" s="9" t="n"/>
    </row>
    <row r="76">
      <c r="A76" s="13" t="inlineStr">
        <is>
          <t>Akki Ember-Keeper / Akki Custódio das Brasas</t>
        </is>
      </c>
      <c r="B76" s="13" t="inlineStr">
        <is>
          <t>Enchantment Creature — Goblin Warrior / Criatura Encantamento — Goblin Guerreiro</t>
        </is>
      </c>
      <c r="C76" s="13" t="inlineStr">
        <is>
          <t>Common / Comum</t>
        </is>
      </c>
      <c r="D76" s="13"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76" s="13" t="inlineStr">
        <is>
          <t>{1}{R}</t>
        </is>
      </c>
      <c r="F76" s="13" t="inlineStr">
        <is>
          <t>Vermelho</t>
        </is>
      </c>
      <c r="G76" s="8" t="n">
        <v>0.1</v>
      </c>
      <c r="H76" s="13" t="inlineStr">
        <is>
          <t>Kamigawa: Neon Dynasty (NEO)</t>
        </is>
      </c>
      <c r="I76" s="13" t="inlineStr">
        <is>
          <t>Não</t>
        </is>
      </c>
      <c r="J76" s="13" t="n">
        <v>2022</v>
      </c>
      <c r="K76" s="10" t="n">
        <v>46024</v>
      </c>
      <c r="L76" s="13" t="n">
        <v>1</v>
      </c>
      <c r="M76" s="8">
        <f>L76*G76</f>
        <v/>
      </c>
      <c r="P76" s="9" t="n"/>
    </row>
    <row r="77">
      <c r="A77" s="13" t="inlineStr">
        <is>
          <t>Akoum Hellhound / Sabujo Infernal de Akoum</t>
        </is>
      </c>
      <c r="B77" s="13" t="inlineStr">
        <is>
          <t>Creature — Elemental Dog / Criatura — Elemental Cão</t>
        </is>
      </c>
      <c r="C77" s="13" t="inlineStr">
        <is>
          <t>Common / Comum</t>
        </is>
      </c>
      <c r="D77" s="13" t="inlineStr">
        <is>
          <t>Landfall — Whenever a land you control enters, this creature gets +2/+2 until end of turn. / Aterragem — Toda vez que um terreno entra no campo de batalha sob seu controle, Sabujo Infernal de Akoum recebe +2/+2 até o final do turno.</t>
        </is>
      </c>
      <c r="E77" s="13" t="inlineStr">
        <is>
          <t>{R}</t>
        </is>
      </c>
      <c r="F77" s="13" t="inlineStr">
        <is>
          <t>Vermelho</t>
        </is>
      </c>
      <c r="G77" s="8" t="n">
        <v>0.13</v>
      </c>
      <c r="H77" s="13" t="inlineStr">
        <is>
          <t>Zendikar Rising (ZNR)</t>
        </is>
      </c>
      <c r="I77" s="13" t="inlineStr">
        <is>
          <t>Não</t>
        </is>
      </c>
      <c r="J77" s="13" t="n">
        <v>2020</v>
      </c>
      <c r="K77" s="13" t="inlineStr">
        <is>
          <t>0/1</t>
        </is>
      </c>
      <c r="L77" s="13" t="n">
        <v>1</v>
      </c>
      <c r="M77" s="8">
        <f>L77*G77</f>
        <v/>
      </c>
      <c r="P77" s="9" t="n"/>
    </row>
    <row r="78">
      <c r="A78" s="13" t="inlineStr">
        <is>
          <t>Akroan Mastiff / Mastim Acrosano</t>
        </is>
      </c>
      <c r="B78" s="13" t="inlineStr">
        <is>
          <t>Creature — Dog / Criatura — Sabujo</t>
        </is>
      </c>
      <c r="C78" s="13" t="inlineStr">
        <is>
          <t>Common / Comum</t>
        </is>
      </c>
      <c r="D78" s="13" t="inlineStr">
        <is>
          <t>{W}, {T}: Tap target creature. / {W}, {T}: Vire a criatura alvo.</t>
        </is>
      </c>
      <c r="E78" s="13" t="inlineStr">
        <is>
          <t>{3}{W}</t>
        </is>
      </c>
      <c r="F78" s="13" t="inlineStr">
        <is>
          <t>Branco</t>
        </is>
      </c>
      <c r="G78" s="8" t="n">
        <v>0.03</v>
      </c>
      <c r="H78" s="13" t="inlineStr">
        <is>
          <t>Journey into Nyx (JOU)</t>
        </is>
      </c>
      <c r="I78" s="13" t="inlineStr">
        <is>
          <t>Não</t>
        </is>
      </c>
      <c r="J78" s="13" t="n">
        <v>2014</v>
      </c>
      <c r="K78" s="10" t="n">
        <v>46055</v>
      </c>
      <c r="L78" s="13" t="n">
        <v>5</v>
      </c>
      <c r="M78" s="8">
        <f>L78*G78</f>
        <v/>
      </c>
      <c r="P78" s="9" t="n"/>
    </row>
    <row r="79">
      <c r="A79" s="13" t="inlineStr">
        <is>
          <t>Al Bhed Salvagers / Recicladores Al Bhed</t>
        </is>
      </c>
      <c r="B79" s="13" t="inlineStr">
        <is>
          <t>Criatura — Humano Artífice Guerreiro</t>
        </is>
      </c>
      <c r="C79" s="13" t="inlineStr">
        <is>
          <t>Incomum</t>
        </is>
      </c>
      <c r="D79" s="13" t="inlineStr">
        <is>
          <t>Sempre que esta criatura ou outra criatura ou artefato que você controla morrer, o oponente alvo perde 1 de vida e você ganha 1 de vida.</t>
        </is>
      </c>
      <c r="E79" s="13" t="inlineStr">
        <is>
          <t>2{B}</t>
        </is>
      </c>
      <c r="F79" s="13" t="inlineStr">
        <is>
          <t>Preto</t>
        </is>
      </c>
      <c r="G79" s="8" t="n">
        <v>0.2</v>
      </c>
      <c r="H79" s="13" t="inlineStr">
        <is>
          <t>Final Fantasy</t>
        </is>
      </c>
      <c r="I79" s="13" t="inlineStr">
        <is>
          <t>Não</t>
        </is>
      </c>
      <c r="J79" s="13" t="n">
        <v>2025</v>
      </c>
      <c r="K79" s="10" t="n">
        <v>46083</v>
      </c>
      <c r="L79" s="13" t="n">
        <v>2</v>
      </c>
      <c r="M79" s="8">
        <f>L79*G79</f>
        <v/>
      </c>
      <c r="P79" s="9" t="n"/>
    </row>
    <row r="80">
      <c r="A80" s="13" t="inlineStr">
        <is>
          <t>Al Bhed Salvagers / Recicladores Al Bhed</t>
        </is>
      </c>
      <c r="B80" s="13" t="inlineStr">
        <is>
          <t>Criatura — Humano Artífice Guerreiro</t>
        </is>
      </c>
      <c r="C80" s="13" t="inlineStr">
        <is>
          <t>Incomum</t>
        </is>
      </c>
      <c r="D80" s="13" t="inlineStr">
        <is>
          <t>Sempre que esta criatura ou outra criatura ou artefato que você controla morrer, o oponente alvo perde 1 de vida e você ganha 1 de vida.</t>
        </is>
      </c>
      <c r="E80" s="13" t="inlineStr">
        <is>
          <t>2{B}</t>
        </is>
      </c>
      <c r="F80" s="13" t="inlineStr">
        <is>
          <t>Preto</t>
        </is>
      </c>
      <c r="G80" s="8" t="n">
        <v>0.9</v>
      </c>
      <c r="H80" s="13" t="inlineStr">
        <is>
          <t>Final Fantasy</t>
        </is>
      </c>
      <c r="I80" s="13" t="inlineStr">
        <is>
          <t>Sim</t>
        </is>
      </c>
      <c r="J80" s="13" t="n">
        <v>2025</v>
      </c>
      <c r="K80" s="10" t="n">
        <v>46083</v>
      </c>
      <c r="L80" s="13" t="n">
        <v>1</v>
      </c>
      <c r="M80" s="8">
        <f>L80*G80</f>
        <v/>
      </c>
      <c r="P80" s="9" t="n"/>
    </row>
    <row r="81">
      <c r="A81" s="13" t="inlineStr">
        <is>
          <t>Aladdin's Lamp</t>
        </is>
      </c>
      <c r="B81" s="13" t="inlineStr">
        <is>
          <t>Artifact</t>
        </is>
      </c>
      <c r="C81" s="13" t="inlineStr">
        <is>
          <t>Rare</t>
        </is>
      </c>
      <c r="D81" s="13" t="inlineStr">
        <is>
          <t>{X}, {T}: Instead of drawing a card from the top of your library, draw X cards but choose only one to put into your hand. Shuffle the leftover cards and put them at the bottom of your library. X cannot be 0.</t>
        </is>
      </c>
      <c r="E81" s="13" t="inlineStr">
        <is>
          <t>{10}</t>
        </is>
      </c>
      <c r="F81" s="13" t="inlineStr">
        <is>
          <t>Colorless</t>
        </is>
      </c>
      <c r="G81" s="8" t="n">
        <v>0.75</v>
      </c>
      <c r="H81" s="13" t="inlineStr">
        <is>
          <t>Fourth Edition (4ED)</t>
        </is>
      </c>
      <c r="I81" s="13" t="inlineStr">
        <is>
          <t>No</t>
        </is>
      </c>
      <c r="J81" s="13" t="n">
        <v>1995</v>
      </c>
      <c r="L81" s="13" t="n">
        <v>1</v>
      </c>
      <c r="M81" s="8">
        <f>L81*G81</f>
        <v/>
      </c>
      <c r="P81" s="9" t="n"/>
    </row>
    <row r="82">
      <c r="A82" s="13" t="inlineStr">
        <is>
          <t>Aladdin's Lamp / Låmpada de Aladin</t>
        </is>
      </c>
      <c r="B82" s="13" t="inlineStr">
        <is>
          <t>Artifact</t>
        </is>
      </c>
      <c r="C82" s="13" t="inlineStr">
        <is>
          <t>Rare / Rara</t>
        </is>
      </c>
      <c r="D82" s="13" t="inlineStr">
        <is>
          <t>{X}, {T}: The next time you would draw a card this turn, instead look at the top X cards of your library, put all but one of them on the bottom of your library in a random order, then draw a card. X can't be 0.</t>
        </is>
      </c>
      <c r="E82" s="13" t="inlineStr">
        <is>
          <t>{10}</t>
        </is>
      </c>
      <c r="F82" s="13" t="inlineStr">
        <is>
          <t>Incolor</t>
        </is>
      </c>
      <c r="G82" s="8" t="n">
        <v>4.66</v>
      </c>
      <c r="H82" s="13" t="inlineStr">
        <is>
          <t>Fourth Edition (BB)</t>
        </is>
      </c>
      <c r="I82" s="13" t="inlineStr">
        <is>
          <t>Não</t>
        </is>
      </c>
      <c r="J82" s="13" t="n">
        <v>1995</v>
      </c>
      <c r="L82" s="13" t="n">
        <v>1</v>
      </c>
      <c r="M82" s="8">
        <f>L82*G82</f>
        <v/>
      </c>
      <c r="N82" s="13" t="inlineStr">
        <is>
          <t>Pasta</t>
        </is>
      </c>
      <c r="P82" s="9" t="n"/>
    </row>
    <row r="83">
      <c r="A83" s="13" t="inlineStr">
        <is>
          <t>Aladdin's Ring / Anel de Aladim</t>
        </is>
      </c>
      <c r="B83" s="13" t="inlineStr">
        <is>
          <t>Artifact / Artefato</t>
        </is>
      </c>
      <c r="C83" s="13" t="inlineStr">
        <is>
          <t>Rare / Rara</t>
        </is>
      </c>
      <c r="D83" s="13" t="inlineStr">
        <is>
          <t>{8}, {T}: This artifact deals 4 damage to any target. / {8}, {T}: Anel de Aladim causa 4 pontos de dano à criatura ou ao jogador alvo.</t>
        </is>
      </c>
      <c r="E83" s="13" t="inlineStr">
        <is>
          <t>{8}</t>
        </is>
      </c>
      <c r="F83" s="13" t="inlineStr">
        <is>
          <t>Incolor</t>
        </is>
      </c>
      <c r="G83" s="8" t="n">
        <v>3.59</v>
      </c>
      <c r="H83" s="13" t="inlineStr">
        <is>
          <t>Arabian Nights (ARN)</t>
        </is>
      </c>
      <c r="I83" s="13" t="inlineStr">
        <is>
          <t>Não</t>
        </is>
      </c>
      <c r="J83" s="13" t="n">
        <v>1993</v>
      </c>
      <c r="L83" s="13" t="n">
        <v>1</v>
      </c>
      <c r="M83" s="8">
        <f>L83*G83</f>
        <v/>
      </c>
      <c r="N83" s="13" t="inlineStr">
        <is>
          <t>Pasta</t>
        </is>
      </c>
      <c r="P83" s="9" t="n"/>
    </row>
    <row r="84">
      <c r="A84" s="13" t="inlineStr">
        <is>
          <t>Ali Baba</t>
        </is>
      </c>
      <c r="B84" s="13" t="inlineStr">
        <is>
          <t>Creature — Human Rogue</t>
        </is>
      </c>
      <c r="C84" s="13" t="inlineStr">
        <is>
          <t>Uncommon / Incomum</t>
        </is>
      </c>
      <c r="D84" s="13" t="inlineStr">
        <is>
          <t>{R}: Tap target Wall.</t>
        </is>
      </c>
      <c r="E84" s="13" t="inlineStr">
        <is>
          <t>{R}</t>
        </is>
      </c>
      <c r="F84" s="13" t="inlineStr">
        <is>
          <t>Vermelho</t>
        </is>
      </c>
      <c r="G84" s="8" t="n">
        <v>0.23</v>
      </c>
      <c r="H84" s="13" t="inlineStr">
        <is>
          <t>Fourth Edition</t>
        </is>
      </c>
      <c r="I84" s="13" t="inlineStr">
        <is>
          <t>Não</t>
        </is>
      </c>
      <c r="J84" s="13" t="n">
        <v>1995</v>
      </c>
      <c r="K84" s="10" t="n">
        <v>46023</v>
      </c>
      <c r="L84" s="13" t="n">
        <v>2</v>
      </c>
      <c r="M84" s="8">
        <f>L84*G84</f>
        <v/>
      </c>
      <c r="P84" s="9" t="n"/>
    </row>
    <row r="85">
      <c r="A85" s="13" t="inlineStr">
        <is>
          <t>Aliban's Tower / Torre de Aliban</t>
        </is>
      </c>
      <c r="B85" s="13" t="inlineStr">
        <is>
          <t>Instant</t>
        </is>
      </c>
      <c r="C85" s="13" t="inlineStr">
        <is>
          <t>Common / Comum</t>
        </is>
      </c>
      <c r="D85" s="13" t="inlineStr">
        <is>
          <t>Target blocking creature gets +3/+1 until end of turn.</t>
        </is>
      </c>
      <c r="E85" s="13" t="inlineStr">
        <is>
          <t>{1}{R}</t>
        </is>
      </c>
      <c r="F85" s="13" t="inlineStr">
        <is>
          <t>Vermelho</t>
        </is>
      </c>
      <c r="G85" s="8" t="n">
        <v>0.08</v>
      </c>
      <c r="H85" s="13" t="inlineStr">
        <is>
          <t>Homelands (HML)</t>
        </is>
      </c>
      <c r="I85" s="13" t="inlineStr">
        <is>
          <t>Não</t>
        </is>
      </c>
      <c r="J85" s="13" t="n">
        <v>1995</v>
      </c>
      <c r="L85" s="13" t="n">
        <v>1</v>
      </c>
      <c r="M85" s="8">
        <f>L85*G85</f>
        <v/>
      </c>
      <c r="P85" s="9" t="n"/>
    </row>
    <row r="86">
      <c r="A86" s="13" t="inlineStr">
        <is>
          <t>Aliban's Tower / Torre de Aliban</t>
        </is>
      </c>
      <c r="B86" s="13" t="inlineStr">
        <is>
          <t>Instant</t>
        </is>
      </c>
      <c r="C86" s="13" t="inlineStr">
        <is>
          <t>Common / Comum</t>
        </is>
      </c>
      <c r="D86" s="13" t="inlineStr">
        <is>
          <t>Target blocking creature gets +3/+1 until end of turn.</t>
        </is>
      </c>
      <c r="E86" s="13" t="inlineStr">
        <is>
          <t>{1}{R}</t>
        </is>
      </c>
      <c r="F86" s="13" t="inlineStr">
        <is>
          <t>Vermelho</t>
        </is>
      </c>
      <c r="G86" s="8" t="n">
        <v>0.06</v>
      </c>
      <c r="H86" s="13" t="inlineStr">
        <is>
          <t>Homelands (HML)</t>
        </is>
      </c>
      <c r="I86" s="13" t="inlineStr">
        <is>
          <t>Não</t>
        </is>
      </c>
      <c r="J86" s="13" t="n">
        <v>1995</v>
      </c>
      <c r="L86" s="13" t="n">
        <v>1</v>
      </c>
      <c r="M86" s="8">
        <f>L86*G86</f>
        <v/>
      </c>
      <c r="P86" s="9" t="n"/>
    </row>
    <row r="87">
      <c r="A87" s="13" t="inlineStr">
        <is>
          <t>Allies at Last</t>
        </is>
      </c>
      <c r="B87" s="13" t="inlineStr">
        <is>
          <t>Instant</t>
        </is>
      </c>
      <c r="C87" s="13" t="inlineStr">
        <is>
          <t>Uncommon / Incomum</t>
        </is>
      </c>
      <c r="D87" s="13" t="inlineStr">
        <is>
          <t>Affinity for Allies (This spell costs {1} less to cast for each Ally you control.) Up to two target creatures you control each deal damage equal to their power to target creature an opponent controls.</t>
        </is>
      </c>
      <c r="E87" s="13" t="inlineStr">
        <is>
          <t>{2}{G}</t>
        </is>
      </c>
      <c r="F87" s="13" t="inlineStr">
        <is>
          <t>Verde</t>
        </is>
      </c>
      <c r="G87" s="8" t="n">
        <v>0.12</v>
      </c>
      <c r="H87" s="13" t="inlineStr">
        <is>
          <t>Avatar: The Last Airbender (TLA)</t>
        </is>
      </c>
      <c r="I87" s="13" t="inlineStr">
        <is>
          <t>Não</t>
        </is>
      </c>
      <c r="J87" s="13" t="n">
        <v>2025</v>
      </c>
      <c r="L87" s="13" t="n">
        <v>2</v>
      </c>
      <c r="M87" s="8">
        <f>L87*G87</f>
        <v/>
      </c>
      <c r="P87" s="9" t="n"/>
    </row>
    <row r="88">
      <c r="A88" s="13" t="inlineStr">
        <is>
          <t>Alluring Suitor / Pretendente Fascinante</t>
        </is>
      </c>
      <c r="B88" s="13" t="inlineStr">
        <is>
          <t>Creature — Vampire / Criatura — Vampiro</t>
        </is>
      </c>
      <c r="C88" s="13" t="inlineStr">
        <is>
          <t>Uncommon / Incomum</t>
        </is>
      </c>
      <c r="D88" s="13" t="inlineStr">
        <is>
          <t>When you attack with exactly two creatures, transform this creature. / Quando você atacar com exatamente duas criaturas, transforme Pretendente Fascinante.</t>
        </is>
      </c>
      <c r="E88" s="13" t="inlineStr">
        <is>
          <t>{2}{R}</t>
        </is>
      </c>
      <c r="F88" s="13" t="inlineStr">
        <is>
          <t>Vermelho</t>
        </is>
      </c>
      <c r="G88" s="8" t="n">
        <v>0.09</v>
      </c>
      <c r="H88" s="13" t="inlineStr">
        <is>
          <t>Innistrad: Crimson Vow (VOW)</t>
        </is>
      </c>
      <c r="I88" s="13" t="inlineStr">
        <is>
          <t>Não</t>
        </is>
      </c>
      <c r="J88" s="13" t="n">
        <v>2021</v>
      </c>
      <c r="K88" s="10" t="n">
        <v>46083</v>
      </c>
      <c r="L88" s="13" t="n">
        <v>1</v>
      </c>
      <c r="M88" s="8">
        <f>L88*G88</f>
        <v/>
      </c>
      <c r="P88" s="9" t="n"/>
    </row>
    <row r="89">
      <c r="A89" s="13" t="inlineStr">
        <is>
          <t>Almighty Brushwagg / Tojo Todo-poderoso</t>
        </is>
      </c>
      <c r="B89" s="13" t="inlineStr">
        <is>
          <t>Creature — Brushwagg / Criatura — Tojo</t>
        </is>
      </c>
      <c r="C89" s="13" t="inlineStr">
        <is>
          <t>Common / Comum</t>
        </is>
      </c>
      <c r="D89" s="13" t="inlineStr">
        <is>
          <t>Trample. {3}{G}: Almighty Brushwagg gets +3/+3 until end of turn. / Atropelar. {3}{G}: Tojo Todo-poderoso recebe +3/+3 até o final do turno.</t>
        </is>
      </c>
      <c r="E89" s="13" t="inlineStr">
        <is>
          <t>{G}</t>
        </is>
      </c>
      <c r="F89" s="13" t="inlineStr">
        <is>
          <t>Verde</t>
        </is>
      </c>
      <c r="G89" s="8" t="n">
        <v>0.04</v>
      </c>
      <c r="H89" s="13" t="inlineStr">
        <is>
          <t>Ikoria: Lair of Behemoths (IKO)</t>
        </is>
      </c>
      <c r="I89" s="13" t="inlineStr">
        <is>
          <t>Não</t>
        </is>
      </c>
      <c r="J89" s="13" t="n">
        <v>2020</v>
      </c>
      <c r="K89" s="10" t="n">
        <v>46023</v>
      </c>
      <c r="L89" s="13" t="n">
        <v>1</v>
      </c>
      <c r="M89" s="8">
        <f>L89*G89</f>
        <v/>
      </c>
      <c r="P89" s="9" t="n"/>
    </row>
    <row r="90">
      <c r="A90" s="13" t="inlineStr">
        <is>
          <t>Aloe Alchemist / Alquimista da Babosa</t>
        </is>
      </c>
      <c r="B90" s="13" t="inlineStr">
        <is>
          <t>Creature — Plant Warlock / Criatura — Planta Bruxo</t>
        </is>
      </c>
      <c r="C90" s="13" t="inlineStr">
        <is>
          <t>Uncommon / Incomum</t>
        </is>
      </c>
      <c r="D90" s="13"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90" s="13" t="inlineStr">
        <is>
          <t>{1}{G}</t>
        </is>
      </c>
      <c r="F90" s="13" t="inlineStr">
        <is>
          <t>Verde</t>
        </is>
      </c>
      <c r="G90" s="8" t="n">
        <v>0.19</v>
      </c>
      <c r="H90" s="13" t="inlineStr">
        <is>
          <t>Outlaws of Thunder Junction (OTJ)</t>
        </is>
      </c>
      <c r="I90" s="13" t="inlineStr">
        <is>
          <t>Não</t>
        </is>
      </c>
      <c r="J90" s="13" t="n">
        <v>2024</v>
      </c>
      <c r="K90" s="10" t="n">
        <v>46056</v>
      </c>
      <c r="L90" s="13" t="n">
        <v>1</v>
      </c>
      <c r="M90" s="8">
        <f>L90*G90</f>
        <v/>
      </c>
      <c r="P90" s="9" t="n"/>
    </row>
    <row r="91">
      <c r="A91" s="13" t="inlineStr">
        <is>
          <t>Alojamento do Desertor</t>
        </is>
      </c>
      <c r="B91" s="13" t="inlineStr">
        <is>
          <t>Artefato</t>
        </is>
      </c>
      <c r="C91" s="13" t="inlineStr">
        <is>
          <t>Incomum</t>
        </is>
      </c>
      <c r="D91" s="13" t="inlineStr">
        <is>
          <t>Você pode escolher não desvirar Alojamento do Desertor durante sua etapa de desvirar. 6, {T}: Vire a criatura alvo. Ela não será desvirada durante a etapa de desvirar de seu controlador enquanto Alojamento do Desertor permanecer virado.</t>
        </is>
      </c>
      <c r="E91" s="13" t="n">
        <v>2</v>
      </c>
      <c r="F91" s="13" t="inlineStr">
        <is>
          <t>Incolor</t>
        </is>
      </c>
      <c r="G91" s="8" t="n">
        <v>0.05</v>
      </c>
      <c r="H91" s="13" t="inlineStr">
        <is>
          <t>Journey into Nyx</t>
        </is>
      </c>
      <c r="I91" s="13" t="inlineStr">
        <is>
          <t>Não</t>
        </is>
      </c>
      <c r="J91" s="13" t="n">
        <v>2014</v>
      </c>
      <c r="L91" s="13" t="n">
        <v>1</v>
      </c>
      <c r="M91" s="8">
        <f>L91*G91</f>
        <v/>
      </c>
      <c r="P91" s="9" t="n"/>
    </row>
    <row r="92">
      <c r="A92" s="13" t="inlineStr">
        <is>
          <t>Alojamento do Desertor</t>
        </is>
      </c>
      <c r="B92" s="13" t="inlineStr">
        <is>
          <t>Artefato</t>
        </is>
      </c>
      <c r="C92" s="13" t="inlineStr">
        <is>
          <t>Incomum</t>
        </is>
      </c>
      <c r="D92" s="13" t="inlineStr">
        <is>
          <t>Você pode escolher não desvirar Alojamento do Desertor durante sua etapa de desvirar. 6, {T}: Vire a criatura alvo. Ela não será desvirada durante a etapa de desvirar de seu controlador enquanto Alojamento do Desertor permanecer virado.</t>
        </is>
      </c>
      <c r="E92" s="13" t="n">
        <v>2</v>
      </c>
      <c r="F92" s="13" t="inlineStr">
        <is>
          <t>Incolor</t>
        </is>
      </c>
      <c r="G92" s="8" t="n">
        <v>0.25</v>
      </c>
      <c r="H92" s="13" t="inlineStr">
        <is>
          <t>Journey into Nyx</t>
        </is>
      </c>
      <c r="I92" s="13" t="inlineStr">
        <is>
          <t>Sim</t>
        </is>
      </c>
      <c r="J92" s="13" t="n">
        <v>2014</v>
      </c>
      <c r="L92" s="13" t="n">
        <v>1</v>
      </c>
      <c r="M92" s="8">
        <f>L92*G92</f>
        <v/>
      </c>
      <c r="P92" s="9" t="n"/>
    </row>
    <row r="93">
      <c r="A93" s="13" t="inlineStr">
        <is>
          <t>Alpharael, Stonechosen</t>
        </is>
      </c>
      <c r="B93" s="13" t="inlineStr">
        <is>
          <t>Legendary Creature — Human Cleric</t>
        </is>
      </c>
      <c r="C93" s="13" t="inlineStr">
        <is>
          <t>Mythic</t>
        </is>
      </c>
      <c r="D93" s="13" t="inlineStr">
        <is>
          <t>Ward—Discard a card at random. Void — Whenever Alpharael attacks, if a nonland permanent left the battlefield this turn or a spell was warped this turn, defending player loses half their life, rounded up.</t>
        </is>
      </c>
      <c r="E93" s="13" t="inlineStr">
        <is>
          <t>{3}{B}{B}</t>
        </is>
      </c>
      <c r="F93" s="13" t="inlineStr">
        <is>
          <t>Preto</t>
        </is>
      </c>
      <c r="G93" s="8" t="n">
        <v>0.85</v>
      </c>
      <c r="H93" s="13" t="inlineStr">
        <is>
          <t>EOE</t>
        </is>
      </c>
      <c r="I93" s="13" t="inlineStr">
        <is>
          <t>Não</t>
        </is>
      </c>
      <c r="J93" s="13" t="n">
        <v>2025</v>
      </c>
      <c r="K93" s="10" t="n">
        <v>46084</v>
      </c>
      <c r="L93" s="13" t="n">
        <v>1</v>
      </c>
      <c r="M93" s="8">
        <f>L93*G93</f>
        <v/>
      </c>
      <c r="P93" s="9" t="n"/>
    </row>
    <row r="94">
      <c r="A94" s="13" t="inlineStr">
        <is>
          <t>Ambition's Cost / Custo da Ambição</t>
        </is>
      </c>
      <c r="B94" s="13" t="inlineStr">
        <is>
          <t>Sorcery / Feitiço</t>
        </is>
      </c>
      <c r="C94" s="13" t="inlineStr">
        <is>
          <t>Uncommon / Incomum</t>
        </is>
      </c>
      <c r="D94" s="13" t="inlineStr">
        <is>
          <t>You draw three cards and you lose 3 life. / Você compra três cards e perde 3 pontos de vida.</t>
        </is>
      </c>
      <c r="E94" s="13" t="inlineStr">
        <is>
          <t>{3}{B}</t>
        </is>
      </c>
      <c r="F94" s="13" t="inlineStr">
        <is>
          <t>Preto</t>
        </is>
      </c>
      <c r="G94" s="8" t="n">
        <v>0.48</v>
      </c>
      <c r="H94" s="13" t="inlineStr">
        <is>
          <t>Eighth Edition (8ED)</t>
        </is>
      </c>
      <c r="I94" s="13" t="inlineStr">
        <is>
          <t>Sim</t>
        </is>
      </c>
      <c r="J94" s="13" t="n">
        <v>2003</v>
      </c>
      <c r="L94" s="13" t="n">
        <v>1</v>
      </c>
      <c r="M94" s="8">
        <f>L94*G94</f>
        <v/>
      </c>
      <c r="P94" s="9" t="n"/>
    </row>
    <row r="95">
      <c r="A95" s="13" t="inlineStr">
        <is>
          <t>Ambrosia Whiteheart / Ambrosia Coração-Branco</t>
        </is>
      </c>
      <c r="B95" s="13" t="inlineStr">
        <is>
          <t>Criatura Lendária — Ave</t>
        </is>
      </c>
      <c r="C95" s="13" t="inlineStr">
        <is>
          <t>Incomum</t>
        </is>
      </c>
      <c r="D95" s="13" t="inlineStr">
        <is>
          <t>Lampejo. Quando Ambrosia Coração-Branco entrar, você pode devolver outra permanente que você controla para a mão de seu dono. Aterragem — Sempre que um terreno que você controla entrar, Ambrosia Coração-Branco receberá +1/+0 até o final do turno.</t>
        </is>
      </c>
      <c r="E95" s="13" t="inlineStr">
        <is>
          <t>1{W}</t>
        </is>
      </c>
      <c r="F95" s="13" t="inlineStr">
        <is>
          <t>Branco</t>
        </is>
      </c>
      <c r="G95" s="8" t="n">
        <v>0.24</v>
      </c>
      <c r="H95" s="13" t="inlineStr">
        <is>
          <t>Final Fantasy</t>
        </is>
      </c>
      <c r="I95" s="13" t="inlineStr">
        <is>
          <t>Não</t>
        </is>
      </c>
      <c r="J95" s="13" t="n">
        <v>2025</v>
      </c>
      <c r="K95" s="10" t="n">
        <v>46055</v>
      </c>
      <c r="L95" s="13" t="n">
        <v>2</v>
      </c>
      <c r="M95" s="8">
        <f>L95*G95</f>
        <v/>
      </c>
      <c r="P95" s="9" t="n"/>
    </row>
    <row r="96">
      <c r="A96" s="13" t="inlineStr">
        <is>
          <t>Ambush Party / Grupo de Emboscada</t>
        </is>
      </c>
      <c r="B96" s="13" t="inlineStr">
        <is>
          <t>Creature — Human Rogue</t>
        </is>
      </c>
      <c r="C96" s="13" t="inlineStr">
        <is>
          <t>Common / Comum</t>
        </is>
      </c>
      <c r="D96" s="13" t="inlineStr">
        <is>
          <t>First strike, haste</t>
        </is>
      </c>
      <c r="E96" s="13" t="inlineStr">
        <is>
          <t>{4}{R}</t>
        </is>
      </c>
      <c r="F96" s="13" t="inlineStr">
        <is>
          <t>Vermelho</t>
        </is>
      </c>
      <c r="G96" s="8" t="n">
        <v>0.06</v>
      </c>
      <c r="H96" s="13" t="inlineStr">
        <is>
          <t>Homelands (HML)</t>
        </is>
      </c>
      <c r="I96" s="13" t="inlineStr">
        <is>
          <t>Não</t>
        </is>
      </c>
      <c r="J96" s="13" t="n">
        <v>1995</v>
      </c>
      <c r="K96" s="10" t="n">
        <v>46025</v>
      </c>
      <c r="L96" s="13" t="n">
        <v>1</v>
      </c>
      <c r="M96" s="8">
        <f>L96*G96</f>
        <v/>
      </c>
      <c r="P96" s="9" t="n"/>
    </row>
    <row r="97">
      <c r="A97" s="13" t="inlineStr">
        <is>
          <t>Ambush Wolf</t>
        </is>
      </c>
      <c r="B97" s="13" t="inlineStr">
        <is>
          <t>Creature — Wolf</t>
        </is>
      </c>
      <c r="C97" s="13" t="inlineStr">
        <is>
          <t>Common / Comum</t>
        </is>
      </c>
      <c r="D97" s="13" t="inlineStr">
        <is>
          <t>Flash (You may cast this spell any time you could cast an instant.) When this creature enters, exile up to one target card from a graveyard.</t>
        </is>
      </c>
      <c r="E97" s="13" t="inlineStr">
        <is>
          <t>{2}{G}</t>
        </is>
      </c>
      <c r="F97" s="13" t="inlineStr">
        <is>
          <t>Verde</t>
        </is>
      </c>
      <c r="G97" s="8" t="n">
        <v>0.05</v>
      </c>
      <c r="H97" s="13" t="inlineStr">
        <is>
          <t>Foundations (FDN)</t>
        </is>
      </c>
      <c r="I97" s="13" t="inlineStr">
        <is>
          <t>Não</t>
        </is>
      </c>
      <c r="J97" s="13" t="n">
        <v>2024</v>
      </c>
      <c r="K97" s="10" t="n">
        <v>46057</v>
      </c>
      <c r="L97" s="13" t="n">
        <v>1</v>
      </c>
      <c r="M97" s="8">
        <f>L97*G97</f>
        <v/>
      </c>
      <c r="P97" s="9" t="n"/>
    </row>
    <row r="98">
      <c r="A98" s="13" t="inlineStr">
        <is>
          <t>Amped Raptor / Raptor Amplificado</t>
        </is>
      </c>
      <c r="B98" s="13" t="inlineStr">
        <is>
          <t>Creature — Dinosaur / Criatura — Dinossauro</t>
        </is>
      </c>
      <c r="C98" s="13" t="inlineStr">
        <is>
          <t>Uncommon / Incomum</t>
        </is>
      </c>
      <c r="D98" s="13"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98" s="13" t="inlineStr">
        <is>
          <t>{1}{R}</t>
        </is>
      </c>
      <c r="F98" s="13" t="inlineStr">
        <is>
          <t>Vermelho</t>
        </is>
      </c>
      <c r="G98" s="8" t="n">
        <v>0.16</v>
      </c>
      <c r="H98" s="13" t="inlineStr">
        <is>
          <t>Modern Horizons 3 (MH3)</t>
        </is>
      </c>
      <c r="I98" s="13" t="inlineStr">
        <is>
          <t>Sim</t>
        </is>
      </c>
      <c r="J98" s="13" t="n">
        <v>2024</v>
      </c>
      <c r="K98" s="10" t="n">
        <v>46024</v>
      </c>
      <c r="L98" s="13" t="n">
        <v>1</v>
      </c>
      <c r="M98" s="8">
        <f>L98*G98</f>
        <v/>
      </c>
      <c r="P98" s="9" t="n"/>
    </row>
    <row r="99">
      <c r="A99" s="13" t="inlineStr">
        <is>
          <t>Amplifire / Amplifogo</t>
        </is>
      </c>
      <c r="B99" s="13" t="inlineStr">
        <is>
          <t>Criatura — Elemental</t>
        </is>
      </c>
      <c r="C99" s="13" t="inlineStr">
        <is>
          <t>Raro</t>
        </is>
      </c>
      <c r="D99" s="13"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99" s="13" t="inlineStr">
        <is>
          <t>2{R}{R}</t>
        </is>
      </c>
      <c r="F99" s="13" t="inlineStr">
        <is>
          <t>Vermelho</t>
        </is>
      </c>
      <c r="G99" s="8" t="n">
        <v>0.05</v>
      </c>
      <c r="H99" s="13" t="inlineStr">
        <is>
          <t>Ravnica Allegiance</t>
        </is>
      </c>
      <c r="I99" s="13" t="inlineStr">
        <is>
          <t>Não</t>
        </is>
      </c>
      <c r="J99" s="13" t="n">
        <v>2019</v>
      </c>
      <c r="K99" s="10" t="n">
        <v>46023</v>
      </c>
      <c r="L99" s="13" t="n">
        <v>1</v>
      </c>
      <c r="M99" s="8">
        <f>L99*G99</f>
        <v/>
      </c>
      <c r="P99" s="9" t="n"/>
    </row>
    <row r="100">
      <c r="A100" s="13" t="inlineStr">
        <is>
          <t>Ampryn Tactician / Estrategista Ampryn</t>
        </is>
      </c>
      <c r="B100" s="13" t="inlineStr">
        <is>
          <t>Creature — Human Soldier / Criatura — Humano Soldado</t>
        </is>
      </c>
      <c r="C100" s="13" t="inlineStr">
        <is>
          <t>Common / Comum</t>
        </is>
      </c>
      <c r="D100" s="13" t="inlineStr">
        <is>
          <t>When this creature enters, creatures you control get +1/+1 until end of turn. / Quando Estrategista Ampryn entra no campo de batalha, as criaturas que você controla recebem +1/+1 até o final do turno.</t>
        </is>
      </c>
      <c r="E100" s="13" t="inlineStr">
        <is>
          <t>{2}{W}{W}</t>
        </is>
      </c>
      <c r="F100" s="13" t="inlineStr">
        <is>
          <t>Branco</t>
        </is>
      </c>
      <c r="G100" s="8" t="n">
        <v>0.06</v>
      </c>
      <c r="H100" s="13" t="inlineStr">
        <is>
          <t>Magic Origins (ORI)</t>
        </is>
      </c>
      <c r="I100" s="13" t="inlineStr">
        <is>
          <t>Não</t>
        </is>
      </c>
      <c r="J100" s="13" t="n">
        <v>2015</v>
      </c>
      <c r="K100" s="10" t="n">
        <v>46084</v>
      </c>
      <c r="L100" s="13" t="n">
        <v>1</v>
      </c>
      <c r="M100" s="8">
        <f>L100*G100</f>
        <v/>
      </c>
      <c r="N100" s="13" t="inlineStr">
        <is>
          <t>Bulk Shopee</t>
        </is>
      </c>
      <c r="P100" s="9" t="n"/>
    </row>
    <row r="101">
      <c r="A101" s="13" t="inlineStr">
        <is>
          <t>Amulet of Kroog / Amuleto de Kroog</t>
        </is>
      </c>
      <c r="B101" s="13" t="inlineStr">
        <is>
          <t>Artifact</t>
        </is>
      </c>
      <c r="C101" s="13" t="inlineStr">
        <is>
          <t>Common / Comum</t>
        </is>
      </c>
      <c r="D101" s="13" t="inlineStr">
        <is>
          <t>{2}, {T}: Prevent the next 1 damage that would be dealt to any target this turn.</t>
        </is>
      </c>
      <c r="E101" s="13" t="inlineStr">
        <is>
          <t>{2}</t>
        </is>
      </c>
      <c r="F101" s="13" t="inlineStr">
        <is>
          <t>Incolor</t>
        </is>
      </c>
      <c r="G101" s="8" t="n">
        <v>0.05</v>
      </c>
      <c r="H101" s="13" t="inlineStr">
        <is>
          <t>Fourth Edition</t>
        </is>
      </c>
      <c r="I101" s="13" t="inlineStr">
        <is>
          <t>Não</t>
        </is>
      </c>
      <c r="J101" s="13" t="n">
        <v>1995</v>
      </c>
      <c r="L101" s="13" t="n">
        <v>2</v>
      </c>
      <c r="M101" s="8">
        <f>L101*G101</f>
        <v/>
      </c>
      <c r="P101" s="9" t="n"/>
    </row>
    <row r="102">
      <c r="A102" s="13" t="inlineStr">
        <is>
          <t>Amulet of Kroog / Amuleto de Kroog</t>
        </is>
      </c>
      <c r="B102" s="13" t="inlineStr">
        <is>
          <t>Artifact</t>
        </is>
      </c>
      <c r="C102" s="13" t="inlineStr">
        <is>
          <t>Common / Comum</t>
        </is>
      </c>
      <c r="D102" s="13" t="inlineStr">
        <is>
          <t>{2}, {T}: Prevent the next 1 damage that would be dealt to any target this turn.</t>
        </is>
      </c>
      <c r="E102" s="13" t="inlineStr">
        <is>
          <t>{2}</t>
        </is>
      </c>
      <c r="F102" s="13" t="inlineStr">
        <is>
          <t>Incolor</t>
        </is>
      </c>
      <c r="G102" s="8" t="n">
        <v>0.18</v>
      </c>
      <c r="H102" s="13" t="inlineStr">
        <is>
          <t>Fourth Edition (BB)</t>
        </is>
      </c>
      <c r="I102" s="13" t="inlineStr">
        <is>
          <t>Não</t>
        </is>
      </c>
      <c r="J102" s="13" t="n">
        <v>1995</v>
      </c>
      <c r="L102" s="13" t="n">
        <v>3</v>
      </c>
      <c r="M102" s="8">
        <f>L102*G102</f>
        <v/>
      </c>
      <c r="P102" s="9" t="n"/>
    </row>
    <row r="103">
      <c r="A103" s="13" t="inlineStr">
        <is>
          <t>Amulet of Kroog / Amuleto de Kroog</t>
        </is>
      </c>
      <c r="B103" s="13" t="inlineStr">
        <is>
          <t>Artifact</t>
        </is>
      </c>
      <c r="C103" s="13" t="inlineStr">
        <is>
          <t>Common</t>
        </is>
      </c>
      <c r="D103" s="13" t="inlineStr">
        <is>
          <t>{2}, {T}: Prevent 1 damage to any creature or player.</t>
        </is>
      </c>
      <c r="E103" s="13" t="inlineStr">
        <is>
          <t>{2}</t>
        </is>
      </c>
      <c r="F103" s="13" t="inlineStr">
        <is>
          <t>Colorless</t>
        </is>
      </c>
      <c r="G103" s="8" t="n">
        <v>0.09</v>
      </c>
      <c r="H103" s="13" t="inlineStr">
        <is>
          <t>Weatherlight (WTH)</t>
        </is>
      </c>
      <c r="I103" s="13" t="inlineStr">
        <is>
          <t>No</t>
        </is>
      </c>
      <c r="J103" s="13" t="n">
        <v>1997</v>
      </c>
      <c r="L103" s="13" t="n">
        <v>1</v>
      </c>
      <c r="M103" s="8">
        <f>L103*G103</f>
        <v/>
      </c>
      <c r="P103" s="9" t="n"/>
    </row>
    <row r="104">
      <c r="A104" s="13" t="inlineStr">
        <is>
          <t>Amulet of Kroog / Amuleto de Kroog</t>
        </is>
      </c>
      <c r="B104" s="13" t="inlineStr">
        <is>
          <t>Artifact</t>
        </is>
      </c>
      <c r="C104" s="13" t="inlineStr">
        <is>
          <t>Common</t>
        </is>
      </c>
      <c r="D104" s="13" t="inlineStr">
        <is>
          <t>{2}, {T}: Prevent 1 damage to any creature or player.</t>
        </is>
      </c>
      <c r="E104" s="13" t="inlineStr">
        <is>
          <t>{2}</t>
        </is>
      </c>
      <c r="F104" s="13" t="inlineStr">
        <is>
          <t>Colorless</t>
        </is>
      </c>
      <c r="G104" s="8" t="n">
        <v>0.05</v>
      </c>
      <c r="H104" s="13" t="inlineStr">
        <is>
          <t>Weatherlight (WTH)</t>
        </is>
      </c>
      <c r="I104" s="13" t="inlineStr">
        <is>
          <t>No</t>
        </is>
      </c>
      <c r="J104" s="13" t="n">
        <v>1995</v>
      </c>
      <c r="L104" s="13" t="n">
        <v>1</v>
      </c>
      <c r="M104" s="8">
        <f>L104*G104</f>
        <v/>
      </c>
      <c r="P104" s="9" t="n"/>
    </row>
    <row r="105">
      <c r="A105" s="13" t="inlineStr">
        <is>
          <t>Amuleto do Viajante / Traveler's Amulet</t>
        </is>
      </c>
      <c r="B105" s="13" t="inlineStr">
        <is>
          <t>Artefato</t>
        </is>
      </c>
      <c r="C105" s="13" t="inlineStr">
        <is>
          <t>Comum</t>
        </is>
      </c>
      <c r="D105" s="13" t="inlineStr">
        <is>
          <t>{1}, sacrifique Amuleto do Viajante: Procure um card de terreno básico em seu grimório, revele-o, coloque-o em sua mão e, depois, embaralhe seu grimório.</t>
        </is>
      </c>
      <c r="E105" s="13" t="inlineStr">
        <is>
          <t>{1}</t>
        </is>
      </c>
      <c r="F105" s="13" t="inlineStr">
        <is>
          <t>Incolor</t>
        </is>
      </c>
      <c r="G105" s="8" t="n">
        <v>0.04</v>
      </c>
      <c r="H105" s="13" t="inlineStr">
        <is>
          <t>Theros Beyond Death (THB)</t>
        </is>
      </c>
      <c r="I105" s="13" t="inlineStr">
        <is>
          <t>Não</t>
        </is>
      </c>
      <c r="J105" s="13" t="n">
        <v>2020</v>
      </c>
      <c r="L105" s="13" t="n">
        <v>1</v>
      </c>
      <c r="M105" s="8">
        <f>L105*G105</f>
        <v/>
      </c>
      <c r="P105" s="9" t="n"/>
    </row>
    <row r="106">
      <c r="A106" s="13" t="inlineStr">
        <is>
          <t>Anaba Ancestor / Ancestral de Anaba</t>
        </is>
      </c>
      <c r="B106" s="13" t="inlineStr">
        <is>
          <t>Creature — Minotaur Spirit</t>
        </is>
      </c>
      <c r="C106" s="13" t="inlineStr">
        <is>
          <t>Rare / Rara</t>
        </is>
      </c>
      <c r="D106" s="13" t="inlineStr">
        <is>
          <t>{T}: Another target Minotaur creature gets +1/+1 until end of turn.</t>
        </is>
      </c>
      <c r="E106" s="13" t="inlineStr">
        <is>
          <t>{1}{R}</t>
        </is>
      </c>
      <c r="F106" s="13" t="inlineStr">
        <is>
          <t>Vermelho</t>
        </is>
      </c>
      <c r="G106" s="8" t="n">
        <v>3</v>
      </c>
      <c r="H106" s="13" t="inlineStr">
        <is>
          <t>Homelands (HML)</t>
        </is>
      </c>
      <c r="I106" s="13" t="inlineStr">
        <is>
          <t>Não</t>
        </is>
      </c>
      <c r="J106" s="13" t="n">
        <v>1995</v>
      </c>
      <c r="K106" s="10" t="n">
        <v>46023</v>
      </c>
      <c r="L106" s="13" t="n">
        <v>1</v>
      </c>
      <c r="M106" s="8">
        <f>L106*G106</f>
        <v/>
      </c>
      <c r="P106" s="9" t="n"/>
    </row>
    <row r="107">
      <c r="A107" s="13" t="inlineStr">
        <is>
          <t>Anaba Bodyguard / Guarda-Costas de Anaba</t>
        </is>
      </c>
      <c r="B107" s="13" t="inlineStr">
        <is>
          <t>Creature — Minotaur / Criatura — Minotauro</t>
        </is>
      </c>
      <c r="C107" s="13" t="inlineStr">
        <is>
          <t>Common / Comum</t>
        </is>
      </c>
      <c r="D107" s="13" t="inlineStr">
        <is>
          <t>First strike (This creature deals combat damage before creatures without first strike.) / Iniciativa (Esta criatura causa dano de combate antes de criaturas sem a habilidade de iniciativa.)</t>
        </is>
      </c>
      <c r="E107" s="13" t="inlineStr">
        <is>
          <t>{3}{R}</t>
        </is>
      </c>
      <c r="F107" s="13" t="inlineStr">
        <is>
          <t>Vermelho</t>
        </is>
      </c>
      <c r="G107" s="8" t="n">
        <v>0.05</v>
      </c>
      <c r="H107" s="13" t="inlineStr">
        <is>
          <t>Homelands (HML)</t>
        </is>
      </c>
      <c r="I107" s="13" t="inlineStr">
        <is>
          <t>Não</t>
        </is>
      </c>
      <c r="J107" s="13" t="n">
        <v>1995</v>
      </c>
      <c r="K107" s="10" t="n">
        <v>46083</v>
      </c>
      <c r="L107" s="13" t="n">
        <v>2</v>
      </c>
      <c r="M107" s="8">
        <f>L107*G107</f>
        <v/>
      </c>
      <c r="P107" s="9" t="n"/>
    </row>
    <row r="108">
      <c r="A108" s="13" t="inlineStr">
        <is>
          <t>Anaba Shaman / Xamã de Anaba</t>
        </is>
      </c>
      <c r="B108" s="13" t="inlineStr">
        <is>
          <t>Creature — Minotaur Shaman / Criatura — Xamã Minotauro</t>
        </is>
      </c>
      <c r="C108" s="13" t="inlineStr">
        <is>
          <t>Common / Comum</t>
        </is>
      </c>
      <c r="D108" s="13" t="inlineStr">
        <is>
          <t>{R}, {T}: This creature deals 1 damage to any target. / {R}, {T}: Xamã de Anaba causa 1 ponto de dano à criatura ou ao jogador alvo.</t>
        </is>
      </c>
      <c r="E108" s="13" t="inlineStr">
        <is>
          <t>{3}{R}</t>
        </is>
      </c>
      <c r="F108" s="13" t="inlineStr">
        <is>
          <t>Vermelho</t>
        </is>
      </c>
      <c r="G108" s="8" t="n">
        <v>0.06</v>
      </c>
      <c r="H108" s="13" t="inlineStr">
        <is>
          <t>Homelands (HML)</t>
        </is>
      </c>
      <c r="I108" s="13" t="inlineStr">
        <is>
          <t>Não</t>
        </is>
      </c>
      <c r="J108" s="13" t="n">
        <v>1995</v>
      </c>
      <c r="K108" s="10" t="n">
        <v>46055</v>
      </c>
      <c r="L108" s="13" t="n">
        <v>3</v>
      </c>
      <c r="M108" s="8">
        <f>L108*G108</f>
        <v/>
      </c>
      <c r="P108" s="9" t="n"/>
    </row>
    <row r="109">
      <c r="A109" s="13" t="inlineStr">
        <is>
          <t>Ancestral Anger / Ira Ancestral</t>
        </is>
      </c>
      <c r="B109" s="13" t="inlineStr">
        <is>
          <t>Sorcery / Feitiço</t>
        </is>
      </c>
      <c r="C109" s="13" t="inlineStr">
        <is>
          <t>Common / Comum</t>
        </is>
      </c>
      <c r="D109" s="13"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109" s="13" t="inlineStr">
        <is>
          <t>{R}</t>
        </is>
      </c>
      <c r="F109" s="13" t="inlineStr">
        <is>
          <t>Vermelho</t>
        </is>
      </c>
      <c r="G109" s="8" t="n">
        <v>0.07000000000000001</v>
      </c>
      <c r="H109" s="13" t="inlineStr">
        <is>
          <t>Shadows of Sothia (SOS)</t>
        </is>
      </c>
      <c r="I109" s="13" t="inlineStr">
        <is>
          <t>No</t>
        </is>
      </c>
      <c r="J109" s="13" t="n">
        <v>2026</v>
      </c>
      <c r="L109" s="13" t="n">
        <v>1</v>
      </c>
      <c r="M109" s="8">
        <f>L109*G109</f>
        <v/>
      </c>
      <c r="P109" s="9" t="n"/>
    </row>
    <row r="110">
      <c r="A110" s="13" t="inlineStr">
        <is>
          <t>Ancestral Blade / Lâmina Ancestral</t>
        </is>
      </c>
      <c r="B110" s="13" t="inlineStr">
        <is>
          <t>Artifact — Equipment / Artefato — Equipamento</t>
        </is>
      </c>
      <c r="C110" s="13" t="inlineStr">
        <is>
          <t>Uncommon / Incomum</t>
        </is>
      </c>
      <c r="D110" s="13"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110" s="13" t="inlineStr">
        <is>
          <t>{1}{W}</t>
        </is>
      </c>
      <c r="F110" s="13" t="inlineStr">
        <is>
          <t>Branco</t>
        </is>
      </c>
      <c r="G110" s="8" t="n">
        <v>0.06</v>
      </c>
      <c r="H110" s="13" t="inlineStr">
        <is>
          <t>Core Set 2020 (M20)</t>
        </is>
      </c>
      <c r="I110" s="13" t="inlineStr">
        <is>
          <t>Não</t>
        </is>
      </c>
      <c r="J110" s="13" t="n">
        <v>2019</v>
      </c>
      <c r="L110" s="13" t="n">
        <v>1</v>
      </c>
      <c r="M110" s="8">
        <f>L110*G110</f>
        <v/>
      </c>
      <c r="P110" s="9" t="n"/>
    </row>
    <row r="111">
      <c r="A111" s="13" t="inlineStr">
        <is>
          <t>Anchovy &amp; Banana Pizza</t>
        </is>
      </c>
      <c r="B111" s="13" t="inlineStr">
        <is>
          <t>Artifact — Food</t>
        </is>
      </c>
      <c r="C111" s="13" t="inlineStr">
        <is>
          <t>Common / Comum</t>
        </is>
      </c>
      <c r="D111" s="13" t="inlineStr">
        <is>
          <t>When this artifact enters, destroy target creature. {2}, {T}, Sacrifice this artifact: You gain 3 life.</t>
        </is>
      </c>
      <c r="E111" s="13" t="inlineStr">
        <is>
          <t>{2}{B}{B}</t>
        </is>
      </c>
      <c r="F111" s="13" t="inlineStr">
        <is>
          <t>Preto</t>
        </is>
      </c>
      <c r="G111" s="8" t="n">
        <v>0.1</v>
      </c>
      <c r="H111" s="13" t="inlineStr">
        <is>
          <t>Teenage Mutant Ninja Turtles (TMT)</t>
        </is>
      </c>
      <c r="I111" s="13" t="inlineStr">
        <is>
          <t>Não</t>
        </is>
      </c>
      <c r="J111" s="13" t="n">
        <v>2026</v>
      </c>
      <c r="L111" s="13" t="n">
        <v>4</v>
      </c>
      <c r="M111" s="8">
        <f>L111*G111</f>
        <v/>
      </c>
      <c r="P111" s="9" t="n"/>
    </row>
    <row r="112">
      <c r="A112" s="13" t="inlineStr">
        <is>
          <t>Ancient Animus / Animus Ancestral</t>
        </is>
      </c>
      <c r="B112" s="13" t="inlineStr">
        <is>
          <t>Instant / Mágica Instantânea</t>
        </is>
      </c>
      <c r="C112" s="13" t="inlineStr">
        <is>
          <t>Common / Comum</t>
        </is>
      </c>
      <c r="D112" s="13"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112" s="13" t="inlineStr">
        <is>
          <t>{1}{G}</t>
        </is>
      </c>
      <c r="F112" s="13" t="inlineStr">
        <is>
          <t>Verde</t>
        </is>
      </c>
      <c r="G112" s="8" t="n">
        <v>0.05</v>
      </c>
      <c r="H112" s="13" t="inlineStr">
        <is>
          <t>Commander Legends (CMR)</t>
        </is>
      </c>
      <c r="I112" s="13" t="inlineStr">
        <is>
          <t>Não</t>
        </is>
      </c>
      <c r="J112" s="13" t="n">
        <v>2020</v>
      </c>
      <c r="L112" s="13" t="n">
        <v>2</v>
      </c>
      <c r="M112" s="8">
        <f>L112*G112</f>
        <v/>
      </c>
      <c r="P112" s="9" t="n"/>
    </row>
    <row r="113">
      <c r="A113" s="13" t="inlineStr">
        <is>
          <t>Ancient Crab / Caranguejo Ancião</t>
        </is>
      </c>
      <c r="B113" s="13" t="inlineStr">
        <is>
          <t>Creature — Crab / Criatura — Caranguejo</t>
        </is>
      </c>
      <c r="C113" s="13" t="inlineStr">
        <is>
          <t>Common / Comum</t>
        </is>
      </c>
      <c r="E113" s="13" t="inlineStr">
        <is>
          <t>{1}{U}{U}</t>
        </is>
      </c>
      <c r="F113" s="13" t="inlineStr">
        <is>
          <t>Azul</t>
        </is>
      </c>
      <c r="G113" s="8" t="n">
        <v>0.05</v>
      </c>
      <c r="H113" s="13" t="inlineStr">
        <is>
          <t>Oath of the Gatewatch (OGW)</t>
        </is>
      </c>
      <c r="I113" s="13" t="inlineStr">
        <is>
          <t>Não</t>
        </is>
      </c>
      <c r="J113" s="13" t="n">
        <v>2016</v>
      </c>
      <c r="K113" s="10" t="n">
        <v>46143</v>
      </c>
      <c r="L113" s="13" t="n">
        <v>3</v>
      </c>
      <c r="M113" s="8">
        <f>L113*G113</f>
        <v/>
      </c>
      <c r="P113" s="9" t="n"/>
    </row>
    <row r="114">
      <c r="A114" s="13" t="inlineStr">
        <is>
          <t>Ancient Grudge / Rancor Antigo</t>
        </is>
      </c>
      <c r="B114" s="13" t="inlineStr">
        <is>
          <t>Instant / Mágica Instantânea</t>
        </is>
      </c>
      <c r="C114" s="13" t="inlineStr">
        <is>
          <t>Common / Comum</t>
        </is>
      </c>
      <c r="D114" s="13" t="inlineStr">
        <is>
          <t>Destroy target artifact. Flashback {G} (You may cast this card from your graveyard for its flashback cost. Then exile it.) / Destrua o artefato alvo. Recapitular {G} (Você pode conjurar este card de seu cemitério pagando seu custo de recapitular. Depois, exile-o.)</t>
        </is>
      </c>
      <c r="E114" s="13" t="inlineStr">
        <is>
          <t>{1}{R}</t>
        </is>
      </c>
      <c r="F114" s="13" t="inlineStr">
        <is>
          <t>Vermelho</t>
        </is>
      </c>
      <c r="G114" s="8" t="n">
        <v>0.3</v>
      </c>
      <c r="H114" s="13" t="inlineStr">
        <is>
          <t>Time Spiral Remastered (TSR)</t>
        </is>
      </c>
      <c r="I114" s="13" t="inlineStr">
        <is>
          <t>Não</t>
        </is>
      </c>
      <c r="J114" s="13" t="n">
        <v>2020</v>
      </c>
      <c r="L114" s="13" t="n">
        <v>2</v>
      </c>
      <c r="M114" s="8">
        <f>L114*G114</f>
        <v/>
      </c>
      <c r="P114" s="9" t="n"/>
    </row>
    <row r="115">
      <c r="A115" s="13" t="inlineStr">
        <is>
          <t>Angel of Deliverance / Anjo do Livramento</t>
        </is>
      </c>
      <c r="B115" s="13" t="inlineStr">
        <is>
          <t>Creature — Angel / Criatura — Anjo</t>
        </is>
      </c>
      <c r="C115" s="13" t="inlineStr">
        <is>
          <t>Rare / Rara</t>
        </is>
      </c>
      <c r="D115" s="13"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115" s="13" t="inlineStr">
        <is>
          <t>{6}{W}{W}</t>
        </is>
      </c>
      <c r="F115" s="13" t="inlineStr">
        <is>
          <t>Branco</t>
        </is>
      </c>
      <c r="G115" s="8" t="n">
        <v>0.3</v>
      </c>
      <c r="H115" s="13" t="inlineStr">
        <is>
          <t>Shadows over Innistrad (SOI)</t>
        </is>
      </c>
      <c r="I115" s="13" t="inlineStr">
        <is>
          <t>Sim</t>
        </is>
      </c>
      <c r="J115" s="13" t="n">
        <v>2016</v>
      </c>
      <c r="K115" s="10" t="n">
        <v>46179</v>
      </c>
      <c r="L115" s="13" t="n">
        <v>1</v>
      </c>
      <c r="M115" s="8">
        <f>L115*G115</f>
        <v/>
      </c>
      <c r="P115" s="9" t="n"/>
    </row>
    <row r="116">
      <c r="A116" s="13" t="inlineStr">
        <is>
          <t>Angel of Mercy / Anjo da Misericórdia</t>
        </is>
      </c>
      <c r="B116" s="13" t="inlineStr">
        <is>
          <t>Creature — Angel</t>
        </is>
      </c>
      <c r="C116" s="13" t="inlineStr">
        <is>
          <t>Uncommon</t>
        </is>
      </c>
      <c r="D116" s="13" t="inlineStr">
        <is>
          <t>Flying. When Angel of Mercy comes into play, you gain 3 life.</t>
        </is>
      </c>
      <c r="E116" s="13" t="inlineStr">
        <is>
          <t>{4}{W}</t>
        </is>
      </c>
      <c r="F116" s="13" t="inlineStr">
        <is>
          <t>Branco</t>
        </is>
      </c>
      <c r="G116" s="8" t="n">
        <v>0.15</v>
      </c>
      <c r="H116" s="13" t="inlineStr">
        <is>
          <t>Invasion (INV)</t>
        </is>
      </c>
      <c r="I116" s="13" t="inlineStr">
        <is>
          <t>Não</t>
        </is>
      </c>
      <c r="J116" s="13" t="n">
        <v>2000</v>
      </c>
      <c r="K116" s="10" t="n">
        <v>46084</v>
      </c>
      <c r="L116" s="13" t="n">
        <v>2</v>
      </c>
      <c r="M116" s="8">
        <f>L116*G116</f>
        <v/>
      </c>
      <c r="P116" s="9" t="n"/>
    </row>
    <row r="117">
      <c r="A117" s="13" t="inlineStr">
        <is>
          <t>Angel of Mercy / Anjo de Misericórdia</t>
        </is>
      </c>
      <c r="B117" s="13" t="inlineStr">
        <is>
          <t>Creature — Angel / Criatura — Anjo</t>
        </is>
      </c>
      <c r="C117" s="13" t="inlineStr">
        <is>
          <t>Common / Comum</t>
        </is>
      </c>
      <c r="D117" s="13" t="inlineStr">
        <is>
          <t>Flying When this creature enters, you gain 3 life. / Voar (Esta criatura só pode ser bloqueada por criaturas com a habilidade de voar.) Quando Anjo de Misericórdia entra em jogo, você ganha 3 pontos de vida.</t>
        </is>
      </c>
      <c r="E117" s="13" t="inlineStr">
        <is>
          <t>{4}{W}</t>
        </is>
      </c>
      <c r="F117" s="13" t="inlineStr">
        <is>
          <t>Branco</t>
        </is>
      </c>
      <c r="G117" s="8" t="n">
        <v>0.08</v>
      </c>
      <c r="H117" s="13" t="inlineStr">
        <is>
          <t>Iconic Masters (IMA)</t>
        </is>
      </c>
      <c r="I117" s="13" t="inlineStr">
        <is>
          <t>Não</t>
        </is>
      </c>
      <c r="J117" s="13" t="n">
        <v>2017</v>
      </c>
      <c r="K117" s="10" t="n">
        <v>46084</v>
      </c>
      <c r="L117" s="13" t="n">
        <v>4</v>
      </c>
      <c r="M117" s="8">
        <f>L117*G117</f>
        <v/>
      </c>
      <c r="P117" s="9" t="n"/>
    </row>
    <row r="118">
      <c r="A118" s="13" t="inlineStr">
        <is>
          <t>Angelic Cub</t>
        </is>
      </c>
      <c r="B118" s="13" t="inlineStr">
        <is>
          <t>Creature — Cat Angel</t>
        </is>
      </c>
      <c r="C118" s="13" t="inlineStr">
        <is>
          <t>Uncommon / Incomum</t>
        </is>
      </c>
      <c r="D118" s="13" t="inlineStr">
        <is>
          <t>Whenever this creature becomes the target of a spell or ability for the first time each turn, put a +1/+1 counter on it. As long as this creature has three or more +1/+1 counters on it, it has flying.</t>
        </is>
      </c>
      <c r="E118" s="13" t="inlineStr">
        <is>
          <t>{1}{W}</t>
        </is>
      </c>
      <c r="F118" s="13" t="inlineStr">
        <is>
          <t>Branco</t>
        </is>
      </c>
      <c r="G118" s="8" t="n">
        <v>0.8</v>
      </c>
      <c r="H118" s="13" t="inlineStr">
        <is>
          <t>Jumpstart 2022 (J22)</t>
        </is>
      </c>
      <c r="I118" s="13" t="inlineStr">
        <is>
          <t>Não</t>
        </is>
      </c>
      <c r="J118" s="13" t="n">
        <v>2022</v>
      </c>
      <c r="K118" s="10" t="n">
        <v>46023</v>
      </c>
      <c r="L118" s="13" t="n">
        <v>1</v>
      </c>
      <c r="M118" s="8">
        <f>L118*G118</f>
        <v/>
      </c>
      <c r="P118" s="9" t="n"/>
    </row>
    <row r="119">
      <c r="A119" s="13" t="inlineStr">
        <is>
          <t>Angelic Exaltation / Exaltação Angelical</t>
        </is>
      </c>
      <c r="B119" s="13" t="inlineStr">
        <is>
          <t>Enchantment / Encantamento</t>
        </is>
      </c>
      <c r="C119" s="13" t="inlineStr">
        <is>
          <t>Uncommon / Incomum</t>
        </is>
      </c>
      <c r="D119" s="13"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119" s="13" t="inlineStr">
        <is>
          <t>{3}{W}</t>
        </is>
      </c>
      <c r="F119" s="13" t="inlineStr">
        <is>
          <t>Branco</t>
        </is>
      </c>
      <c r="G119" s="8" t="n">
        <v>0.04</v>
      </c>
      <c r="H119" s="13" t="inlineStr">
        <is>
          <t>Ravnica Allegiance (RNA)</t>
        </is>
      </c>
      <c r="I119" s="13" t="inlineStr">
        <is>
          <t>Não</t>
        </is>
      </c>
      <c r="J119" s="13" t="n">
        <v>2019</v>
      </c>
      <c r="L119" s="13" t="n">
        <v>1</v>
      </c>
      <c r="M119" s="8">
        <f>L119*G119</f>
        <v/>
      </c>
      <c r="P119" s="9" t="n"/>
    </row>
    <row r="120">
      <c r="A120" s="13" t="inlineStr">
        <is>
          <t>Angelic Favor / Favor Angelical</t>
        </is>
      </c>
      <c r="B120" s="13" t="inlineStr">
        <is>
          <t>Instant</t>
        </is>
      </c>
      <c r="C120" s="13" t="inlineStr">
        <is>
          <t>Rare</t>
        </is>
      </c>
      <c r="D120" s="13" t="inlineStr">
        <is>
          <t>If you control a plains, you may tap an untapped creature you control instead of paying Angelic Favor's mana cost. Play Angelic Favor only during combat. Put a 4/4 white Angel creature token with flying into play. Remove it from the game at end of turn.</t>
        </is>
      </c>
      <c r="E120" s="13" t="inlineStr">
        <is>
          <t>{3}{W}</t>
        </is>
      </c>
      <c r="F120" s="13" t="inlineStr">
        <is>
          <t>Branco</t>
        </is>
      </c>
      <c r="G120" s="8" t="n">
        <v>0.75</v>
      </c>
      <c r="H120" s="13" t="inlineStr">
        <is>
          <t>Prophecy (PCY)</t>
        </is>
      </c>
      <c r="I120" s="13" t="inlineStr">
        <is>
          <t>Não</t>
        </is>
      </c>
      <c r="J120" s="13" t="n">
        <v>2000</v>
      </c>
      <c r="L120" s="13" t="n">
        <v>1</v>
      </c>
      <c r="M120" s="8">
        <f>L120*G120</f>
        <v/>
      </c>
      <c r="P120" s="9" t="n"/>
    </row>
    <row r="121">
      <c r="A121" s="13" t="inlineStr">
        <is>
          <t>Angelic Protector / Protetor Angelical</t>
        </is>
      </c>
      <c r="B121" s="13" t="inlineStr">
        <is>
          <t>Creature — Angel</t>
        </is>
      </c>
      <c r="C121" s="13" t="inlineStr">
        <is>
          <t>Uncommon / Incomum</t>
        </is>
      </c>
      <c r="D121" s="13" t="inlineStr">
        <is>
          <t>Flying Whenever this creature becomes the target of a spell or ability, this creature gets +0/+3 until end of turn.</t>
        </is>
      </c>
      <c r="E121" s="13" t="inlineStr">
        <is>
          <t>{3}{W}</t>
        </is>
      </c>
      <c r="F121" s="13" t="inlineStr">
        <is>
          <t>Branco</t>
        </is>
      </c>
      <c r="G121" s="8" t="n">
        <v>0.3</v>
      </c>
      <c r="H121" s="13" t="inlineStr">
        <is>
          <t>Jumpstart 2022 (J22)</t>
        </is>
      </c>
      <c r="I121" s="13" t="inlineStr">
        <is>
          <t>Não</t>
        </is>
      </c>
      <c r="J121" s="13" t="n">
        <v>2022</v>
      </c>
      <c r="K121" s="10" t="n">
        <v>46055</v>
      </c>
      <c r="L121" s="13" t="n">
        <v>1</v>
      </c>
      <c r="M121" s="8">
        <f>L121*G121</f>
        <v/>
      </c>
      <c r="P121" s="9" t="n"/>
    </row>
    <row r="122">
      <c r="A122" s="13" t="inlineStr">
        <is>
          <t>Angelic Purge / Purgação Angelical</t>
        </is>
      </c>
      <c r="B122" s="13" t="inlineStr">
        <is>
          <t>Sorcery / Feitiço</t>
        </is>
      </c>
      <c r="C122" s="13" t="inlineStr">
        <is>
          <t>Common / Comum</t>
        </is>
      </c>
      <c r="D122" s="13" t="inlineStr">
        <is>
          <t>As an additional cost to cast this spell, sacrifice a permanent. Exile target artifact, creature, or enchantment. / Como custo adicional para conjurar Purgação Angelical, sacrifique uma permanente. Exile o artefato, criatura ou encantamento alvo.</t>
        </is>
      </c>
      <c r="E122" s="13" t="inlineStr">
        <is>
          <t>{2}{W}</t>
        </is>
      </c>
      <c r="F122" s="13" t="inlineStr">
        <is>
          <t>Branco</t>
        </is>
      </c>
      <c r="G122" s="8" t="n">
        <v>0.05</v>
      </c>
      <c r="H122" s="13" t="inlineStr">
        <is>
          <t>Shadows over Innistrad (SOI)</t>
        </is>
      </c>
      <c r="I122" s="13" t="inlineStr">
        <is>
          <t>Não</t>
        </is>
      </c>
      <c r="J122" s="13" t="n">
        <v>2016</v>
      </c>
      <c r="L122" s="13" t="n">
        <v>1</v>
      </c>
      <c r="M122" s="8">
        <f>L122*G122</f>
        <v/>
      </c>
      <c r="N122" s="13" t="inlineStr">
        <is>
          <t>Bulk Shopee</t>
        </is>
      </c>
      <c r="P122" s="9" t="n"/>
    </row>
    <row r="123">
      <c r="A123" s="13" t="inlineStr">
        <is>
          <t>Angelic Renewal / Renovação Angelical</t>
        </is>
      </c>
      <c r="B123" s="13" t="inlineStr">
        <is>
          <t>Enchantment</t>
        </is>
      </c>
      <c r="C123" s="13" t="inlineStr">
        <is>
          <t>Common / Comum</t>
        </is>
      </c>
      <c r="D123" s="13" t="inlineStr">
        <is>
          <t>Whenever a creature is put into your graveyard from the battlefield, you may sacrifice this enchantment. If you do, return that card to the battlefield.</t>
        </is>
      </c>
      <c r="E123" s="13" t="inlineStr">
        <is>
          <t>{1}{W}</t>
        </is>
      </c>
      <c r="F123" s="13" t="inlineStr">
        <is>
          <t>Branco</t>
        </is>
      </c>
      <c r="G123" s="8" t="n">
        <v>0.75</v>
      </c>
      <c r="H123" s="13" t="inlineStr">
        <is>
          <t>Weatherlight (WTH)</t>
        </is>
      </c>
      <c r="I123" s="13" t="inlineStr">
        <is>
          <t>Não</t>
        </is>
      </c>
      <c r="J123" s="13" t="n">
        <v>1997</v>
      </c>
      <c r="L123" s="13" t="n">
        <v>1</v>
      </c>
      <c r="M123" s="8">
        <f>L123*G123</f>
        <v/>
      </c>
      <c r="P123" s="9" t="n"/>
    </row>
    <row r="124">
      <c r="A124" s="13" t="inlineStr">
        <is>
          <t>Angelic Wall / Barreira Angelical</t>
        </is>
      </c>
      <c r="B124" s="13" t="inlineStr">
        <is>
          <t>Creature — Wall / Criatura — Barreira</t>
        </is>
      </c>
      <c r="C124" s="13" t="inlineStr">
        <is>
          <t>Common / Comum</t>
        </is>
      </c>
      <c r="D124" s="13" t="inlineStr">
        <is>
          <t>Defender (This creature can't attack.) Flying / Defensor (Esta criatura não pode atacar.)Voar</t>
        </is>
      </c>
      <c r="E124" s="13" t="inlineStr">
        <is>
          <t>{1}{W}</t>
        </is>
      </c>
      <c r="F124" s="13" t="inlineStr">
        <is>
          <t>Branco</t>
        </is>
      </c>
      <c r="G124" s="8" t="n">
        <v>0.08</v>
      </c>
      <c r="H124" s="13" t="inlineStr">
        <is>
          <t>Avacyn Restored (AVR)</t>
        </is>
      </c>
      <c r="I124" s="13" t="inlineStr">
        <is>
          <t>Não</t>
        </is>
      </c>
      <c r="J124" s="13" t="n">
        <v>2012</v>
      </c>
      <c r="K124" s="13" t="inlineStr">
        <is>
          <t>0/4</t>
        </is>
      </c>
      <c r="L124" s="13" t="n">
        <v>5</v>
      </c>
      <c r="M124" s="8">
        <f>L124*G124</f>
        <v/>
      </c>
      <c r="P124" s="9" t="n"/>
    </row>
    <row r="125">
      <c r="A125" s="13" t="inlineStr">
        <is>
          <t>Animal Magnetism / Magnetismo Animal</t>
        </is>
      </c>
      <c r="B125" s="13" t="inlineStr">
        <is>
          <t>Sorcery / Feitiço</t>
        </is>
      </c>
      <c r="C125" s="13" t="inlineStr">
        <is>
          <t>Uncommon / Incomum</t>
        </is>
      </c>
      <c r="D125" s="13"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125" s="13" t="inlineStr">
        <is>
          <t>{4}{G}</t>
        </is>
      </c>
      <c r="F125" s="13" t="inlineStr">
        <is>
          <t>Verde</t>
        </is>
      </c>
      <c r="G125" s="8" t="n">
        <v>0.15</v>
      </c>
      <c r="H125" s="13" t="inlineStr">
        <is>
          <t>Commander Masters (CMM)</t>
        </is>
      </c>
      <c r="I125" s="13" t="inlineStr">
        <is>
          <t>Não</t>
        </is>
      </c>
      <c r="J125" s="13" t="n">
        <v>2023</v>
      </c>
      <c r="L125" s="13" t="n">
        <v>1</v>
      </c>
      <c r="M125" s="8">
        <f>L125*G125</f>
        <v/>
      </c>
      <c r="P125" s="9" t="n"/>
    </row>
    <row r="126">
      <c r="A126" s="13" t="inlineStr">
        <is>
          <t>Anões Guerreiros / Dwarven Warriors</t>
        </is>
      </c>
      <c r="B126" s="13" t="inlineStr">
        <is>
          <t>Invocar Anões / Summon Dwarves</t>
        </is>
      </c>
      <c r="C126" s="13" t="inlineStr">
        <is>
          <t>Comum / Common</t>
        </is>
      </c>
      <c r="D126" s="13"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26" s="13" t="inlineStr">
        <is>
          <t>{2}{R}</t>
        </is>
      </c>
      <c r="F126" s="13" t="inlineStr">
        <is>
          <t>Vermelho</t>
        </is>
      </c>
      <c r="G126" s="8" t="n">
        <v>0.05</v>
      </c>
      <c r="H126" s="13" t="inlineStr">
        <is>
          <t xml:space="preserve">Fourth Edition </t>
        </is>
      </c>
      <c r="I126" s="13" t="inlineStr">
        <is>
          <t>Não</t>
        </is>
      </c>
      <c r="J126" s="13" t="n">
        <v>1995</v>
      </c>
      <c r="K126" s="10" t="n">
        <v>46023</v>
      </c>
      <c r="L126" s="13" t="n">
        <v>5</v>
      </c>
      <c r="M126" s="8">
        <f>L126*G126</f>
        <v/>
      </c>
      <c r="P126" s="9" t="n"/>
    </row>
    <row r="127">
      <c r="A127" s="13" t="inlineStr">
        <is>
          <t>Anões Guerreiros / Dwarven Warriors</t>
        </is>
      </c>
      <c r="B127" s="13" t="inlineStr">
        <is>
          <t>Invocar Anões / Summon Dwarves</t>
        </is>
      </c>
      <c r="C127" s="13" t="inlineStr">
        <is>
          <t>Comum / Common</t>
        </is>
      </c>
      <c r="D127" s="13"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27" s="13" t="inlineStr">
        <is>
          <t>{2}{R}</t>
        </is>
      </c>
      <c r="F127" s="13" t="inlineStr">
        <is>
          <t>Vermelho</t>
        </is>
      </c>
      <c r="G127" s="8" t="n">
        <v>0.16</v>
      </c>
      <c r="H127" s="13" t="inlineStr">
        <is>
          <t>Fourth Edition (BB)</t>
        </is>
      </c>
      <c r="I127" s="13" t="inlineStr">
        <is>
          <t>Não</t>
        </is>
      </c>
      <c r="J127" s="13" t="n">
        <v>1995</v>
      </c>
      <c r="K127" s="10" t="n">
        <v>46023</v>
      </c>
      <c r="L127" s="13" t="n">
        <v>1</v>
      </c>
      <c r="M127" s="8">
        <f>L127*G127</f>
        <v/>
      </c>
      <c r="P127" s="9" t="n"/>
    </row>
    <row r="128">
      <c r="A128" s="13" t="inlineStr">
        <is>
          <t>Anões Guerreiros / Dwarven Warriors</t>
        </is>
      </c>
      <c r="B128" s="13" t="inlineStr">
        <is>
          <t>Invocar Anões / Summon Dwarves</t>
        </is>
      </c>
      <c r="C128" s="13" t="inlineStr">
        <is>
          <t>Comum / Common</t>
        </is>
      </c>
      <c r="D128" s="13"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128" s="13" t="inlineStr">
        <is>
          <t>{2}{R}</t>
        </is>
      </c>
      <c r="F128" s="13" t="inlineStr">
        <is>
          <t>Vermelho</t>
        </is>
      </c>
      <c r="G128" s="8" t="n">
        <v>0.12</v>
      </c>
      <c r="H128" s="13" t="inlineStr">
        <is>
          <t>Revised Edition</t>
        </is>
      </c>
      <c r="I128" s="13" t="inlineStr">
        <is>
          <t>Não</t>
        </is>
      </c>
      <c r="J128" s="13" t="n">
        <v>1994</v>
      </c>
      <c r="K128" s="10" t="n">
        <v>46023</v>
      </c>
      <c r="L128" s="13" t="n">
        <v>1</v>
      </c>
      <c r="M128" s="8">
        <f>L128*G128</f>
        <v/>
      </c>
      <c r="P128" s="9" t="n"/>
    </row>
    <row r="129">
      <c r="A129" s="13" t="inlineStr">
        <is>
          <t>Ant-Man's Army / Exército do Homem-Formiga</t>
        </is>
      </c>
      <c r="B129" s="13" t="inlineStr">
        <is>
          <t>Criatura — Inseto</t>
        </is>
      </c>
      <c r="C129" s="13" t="inlineStr">
        <is>
          <t>Comum</t>
        </is>
      </c>
      <c r="D129" s="13"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129" s="13" t="inlineStr">
        <is>
          <t>2{G}</t>
        </is>
      </c>
      <c r="F129" s="13" t="inlineStr">
        <is>
          <t>Verde</t>
        </is>
      </c>
      <c r="G129" s="8" t="n">
        <v>0.13</v>
      </c>
      <c r="H129" s="13" t="inlineStr">
        <is>
          <t>Marvel</t>
        </is>
      </c>
      <c r="I129" s="13" t="inlineStr">
        <is>
          <t>Não</t>
        </is>
      </c>
      <c r="J129" s="13" t="n">
        <v>2026</v>
      </c>
      <c r="K129" s="10" t="n">
        <v>46056</v>
      </c>
      <c r="L129" s="13" t="n">
        <v>1</v>
      </c>
      <c r="M129" s="8">
        <f>L129*G129</f>
        <v/>
      </c>
      <c r="P129" s="9" t="n"/>
    </row>
    <row r="130">
      <c r="A130" s="13" t="inlineStr">
        <is>
          <t>Anticipate / Antecipar</t>
        </is>
      </c>
      <c r="B130" s="13" t="inlineStr">
        <is>
          <t>Instant / Mágica Instantânea</t>
        </is>
      </c>
      <c r="C130" s="13" t="inlineStr">
        <is>
          <t>Common / Comum</t>
        </is>
      </c>
      <c r="D130" s="13"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130" s="13" t="inlineStr">
        <is>
          <t>{1}{U}</t>
        </is>
      </c>
      <c r="F130" s="13" t="inlineStr">
        <is>
          <t>Azul</t>
        </is>
      </c>
      <c r="G130" s="8" t="n">
        <v>0.06</v>
      </c>
      <c r="H130" s="13" t="inlineStr">
        <is>
          <t>Battle for Zendikar (BFZ)</t>
        </is>
      </c>
      <c r="I130" s="13" t="inlineStr">
        <is>
          <t>Não</t>
        </is>
      </c>
      <c r="J130" s="13" t="n">
        <v>2015</v>
      </c>
      <c r="L130" s="13" t="n">
        <v>1</v>
      </c>
      <c r="M130" s="8">
        <f>L130*G130</f>
        <v/>
      </c>
      <c r="P130" s="9" t="n"/>
    </row>
    <row r="131">
      <c r="A131" s="13" t="inlineStr">
        <is>
          <t>Aphetto Dredging</t>
        </is>
      </c>
      <c r="B131" s="13" t="inlineStr">
        <is>
          <t>Sorcery</t>
        </is>
      </c>
      <c r="C131" s="13" t="inlineStr">
        <is>
          <t>Common</t>
        </is>
      </c>
      <c r="D131" s="13" t="inlineStr">
        <is>
          <t>Return up to three target creature cards of the creature type of your choice from your graveyard to your hand.</t>
        </is>
      </c>
      <c r="E131" s="13" t="inlineStr">
        <is>
          <t>{3}{B}</t>
        </is>
      </c>
      <c r="F131" s="13" t="inlineStr">
        <is>
          <t>Preto</t>
        </is>
      </c>
      <c r="G131" s="8" t="n">
        <v>5.85</v>
      </c>
      <c r="H131" s="8" t="inlineStr">
        <is>
          <t>Onslaught (ONS)</t>
        </is>
      </c>
      <c r="I131" s="13" t="inlineStr">
        <is>
          <t>Sim</t>
        </is>
      </c>
      <c r="J131" s="13" t="n">
        <v>2002</v>
      </c>
      <c r="L131" s="13" t="n">
        <v>1</v>
      </c>
      <c r="M131" s="8">
        <f>L131*G131</f>
        <v/>
      </c>
      <c r="P131" s="9" t="n"/>
    </row>
    <row r="132">
      <c r="A132" s="13" t="inlineStr">
        <is>
          <t>Apostle's Blessing / Bênção do Apóstolo</t>
        </is>
      </c>
      <c r="B132" s="13" t="inlineStr">
        <is>
          <t>Instant / Mágica Instantânea</t>
        </is>
      </c>
      <c r="C132" s="13" t="inlineStr">
        <is>
          <t>Common / Comum</t>
        </is>
      </c>
      <c r="D132" s="13"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32" s="13" t="inlineStr">
        <is>
          <t>{1}{W/P}</t>
        </is>
      </c>
      <c r="F132" s="13" t="inlineStr">
        <is>
          <t>Branco</t>
        </is>
      </c>
      <c r="G132" s="8" t="n">
        <v>2.48</v>
      </c>
      <c r="H132" s="13" t="inlineStr">
        <is>
          <t>Modern Masters 2015 (MM2)</t>
        </is>
      </c>
      <c r="I132" s="13" t="inlineStr">
        <is>
          <t>Não</t>
        </is>
      </c>
      <c r="J132" s="13" t="n">
        <v>2015</v>
      </c>
      <c r="L132" s="13" t="n">
        <v>4</v>
      </c>
      <c r="M132" s="8">
        <f>L132*G132</f>
        <v/>
      </c>
      <c r="P132" s="9" t="n"/>
    </row>
    <row r="133">
      <c r="A133" s="13" t="inlineStr">
        <is>
          <t>Appeal to Eirdu</t>
        </is>
      </c>
      <c r="B133" s="13" t="inlineStr">
        <is>
          <t>Instant</t>
        </is>
      </c>
      <c r="C133" s="13" t="inlineStr">
        <is>
          <t>Common / Comum</t>
        </is>
      </c>
      <c r="D133" s="13" t="inlineStr">
        <is>
          <t>Convoke (Your creatures can help cast this spell. Each creature you tap while casting this spell pays for {1} or one mana of that creature's color.) One or two target creatures each get +2/+1 until end of turn.</t>
        </is>
      </c>
      <c r="E133" s="13" t="inlineStr">
        <is>
          <t>{3}{W}</t>
        </is>
      </c>
      <c r="F133" s="13" t="inlineStr">
        <is>
          <t>Branco</t>
        </is>
      </c>
      <c r="G133" s="8" t="n">
        <v>0.05</v>
      </c>
      <c r="H133" s="13" t="inlineStr">
        <is>
          <t>Lorwyn Eclipsed (ECL)</t>
        </is>
      </c>
      <c r="I133" s="13" t="inlineStr">
        <is>
          <t>Não</t>
        </is>
      </c>
      <c r="J133" s="13" t="n">
        <v>2026</v>
      </c>
      <c r="L133" s="13" t="n">
        <v>1</v>
      </c>
      <c r="M133" s="8">
        <f>L133*G133</f>
        <v/>
      </c>
      <c r="P133" s="9" t="n"/>
    </row>
    <row r="134">
      <c r="A134" s="13" t="inlineStr">
        <is>
          <t>Appendage Amalgam</t>
        </is>
      </c>
      <c r="B134" s="13" t="inlineStr">
        <is>
          <t>Enchantment Creature — Horror</t>
        </is>
      </c>
      <c r="C134" s="13" t="inlineStr">
        <is>
          <t>Common / Comum</t>
        </is>
      </c>
      <c r="D134" s="13" t="inlineStr">
        <is>
          <t>Flash Whenever this creature attacks, surveil 1. (Look at the top card of your library. You may put it into your graveyard.)</t>
        </is>
      </c>
      <c r="E134" s="13" t="inlineStr">
        <is>
          <t>{2}{B}</t>
        </is>
      </c>
      <c r="F134" s="13" t="inlineStr">
        <is>
          <t>Preto</t>
        </is>
      </c>
      <c r="G134" s="8" t="n">
        <v>0.17</v>
      </c>
      <c r="H134" s="13" t="inlineStr">
        <is>
          <t>Duskmourn: House of Horror (DSK)</t>
        </is>
      </c>
      <c r="I134" s="13" t="inlineStr">
        <is>
          <t>Sim</t>
        </is>
      </c>
      <c r="J134" s="13" t="n">
        <v>2024</v>
      </c>
      <c r="K134" s="10" t="n">
        <v>46056</v>
      </c>
      <c r="L134" s="13" t="n">
        <v>1</v>
      </c>
      <c r="M134" s="8">
        <f>L134*G134</f>
        <v/>
      </c>
      <c r="P134" s="9" t="n"/>
    </row>
    <row r="135">
      <c r="A135" s="13" t="inlineStr">
        <is>
          <t>Apprentice Sharpshooter / Atiradora de Elite Aprendiz</t>
        </is>
      </c>
      <c r="B135" s="13" t="inlineStr">
        <is>
          <t>Creature — Human Archer / Criatura — Humano Arqueiro</t>
        </is>
      </c>
      <c r="C135" s="13" t="inlineStr">
        <is>
          <t>Common / Comum</t>
        </is>
      </c>
      <c r="D135" s="13" t="inlineStr">
        <is>
          <t>Reach Training (Whenever this creature attacks with another creature with greater power, put a +1/+1 counter on this creature.) / Alcance Treinamento (Toda vez que esta criatura atacar com outra criatura de poder superior, coloque um marcador +1/+1 nesta criatura.)</t>
        </is>
      </c>
      <c r="E135" s="13" t="inlineStr">
        <is>
          <t>{2}{G}</t>
        </is>
      </c>
      <c r="F135" s="13" t="inlineStr">
        <is>
          <t>Verde</t>
        </is>
      </c>
      <c r="G135" s="8" t="n">
        <v>0.09</v>
      </c>
      <c r="H135" s="13" t="inlineStr">
        <is>
          <t>Innistrad: Crimson Vow (VOW)</t>
        </is>
      </c>
      <c r="I135" s="13" t="inlineStr">
        <is>
          <t>Não</t>
        </is>
      </c>
      <c r="J135" s="13" t="n">
        <v>2021</v>
      </c>
      <c r="K135" s="10" t="n">
        <v>46113</v>
      </c>
      <c r="L135" s="13" t="n">
        <v>2</v>
      </c>
      <c r="M135" s="8">
        <f>L135*G135</f>
        <v/>
      </c>
      <c r="P135" s="9" t="n"/>
    </row>
    <row r="136">
      <c r="A136" s="13" t="inlineStr">
        <is>
          <t>April O'Neil, Kunoichi Trainee</t>
        </is>
      </c>
      <c r="B136" s="13" t="inlineStr">
        <is>
          <t>Legendary Creature — Human Ninja</t>
        </is>
      </c>
      <c r="C136" s="13" t="inlineStr">
        <is>
          <t>Common / Comum</t>
        </is>
      </c>
      <c r="D136" s="13" t="inlineStr">
        <is>
          <t>When April O'Neil enters, scry 2. (Look at the top two cards of your library, then put any number of them on the bottom and the rest on top in any order.) April O'Neil can't be blocked by creatures with power 3 or greater.</t>
        </is>
      </c>
      <c r="E136" s="13" t="inlineStr">
        <is>
          <t>{1}{W}</t>
        </is>
      </c>
      <c r="F136" s="13" t="inlineStr">
        <is>
          <t>Branco</t>
        </is>
      </c>
      <c r="G136" s="8" t="n">
        <v>0.1</v>
      </c>
      <c r="H136" s="13" t="inlineStr">
        <is>
          <t>Teenage Mutant Ninja Turtles (TMT)</t>
        </is>
      </c>
      <c r="I136" s="13" t="inlineStr">
        <is>
          <t>Não</t>
        </is>
      </c>
      <c r="J136" s="13" t="n">
        <v>2026</v>
      </c>
      <c r="K136" s="10" t="n">
        <v>46055</v>
      </c>
      <c r="L136" s="13" t="n">
        <v>5</v>
      </c>
      <c r="M136" s="8">
        <f>L136*G136</f>
        <v/>
      </c>
      <c r="P136" s="9" t="n"/>
    </row>
    <row r="137">
      <c r="A137" s="13" t="inlineStr">
        <is>
          <t>April O'Neil, Kunoichi Trainee</t>
        </is>
      </c>
      <c r="B137" s="13" t="inlineStr">
        <is>
          <t>Legendary Creature — Human Ninja</t>
        </is>
      </c>
      <c r="C137" s="13" t="inlineStr">
        <is>
          <t>Common / Comum</t>
        </is>
      </c>
      <c r="D137" s="13" t="inlineStr">
        <is>
          <t>When April O'Neil enters, scry 2. (Look at the top two cards of your library, then put any number of them on the bottom and the rest on top in any order.) April O'Neil can't be blocked by creatures with power 3 or greater.</t>
        </is>
      </c>
      <c r="E137" s="13" t="inlineStr">
        <is>
          <t>{1}{W}</t>
        </is>
      </c>
      <c r="F137" s="13" t="inlineStr">
        <is>
          <t>Branco</t>
        </is>
      </c>
      <c r="G137" s="8" t="n">
        <v>0.1</v>
      </c>
      <c r="H137" s="13" t="inlineStr">
        <is>
          <t>Teenage Mutant Ninja Turtles (TMT)</t>
        </is>
      </c>
      <c r="I137" s="13" t="inlineStr">
        <is>
          <t>Não</t>
        </is>
      </c>
      <c r="J137" s="13" t="n">
        <v>2026</v>
      </c>
      <c r="K137" s="10" t="n">
        <v>46055</v>
      </c>
      <c r="L137" s="13" t="n">
        <v>2</v>
      </c>
      <c r="M137" s="8">
        <f>L137*G137</f>
        <v/>
      </c>
      <c r="P137" s="9" t="n"/>
    </row>
    <row r="138">
      <c r="A138" s="13" t="inlineStr">
        <is>
          <t>April, Reporter of the Weird</t>
        </is>
      </c>
      <c r="B138" s="13" t="inlineStr">
        <is>
          <t>Legendary Creature — Human Detective</t>
        </is>
      </c>
      <c r="C138" s="13" t="inlineStr">
        <is>
          <t>Uncommon / Incomum</t>
        </is>
      </c>
      <c r="D138" s="13" t="inlineStr">
        <is>
          <t>Whenever April deals combat damage to a player, draw that many cards, then discard a card.</t>
        </is>
      </c>
      <c r="E138" s="13" t="inlineStr">
        <is>
          <t>{2}{U}</t>
        </is>
      </c>
      <c r="F138" s="13" t="inlineStr">
        <is>
          <t>Azul</t>
        </is>
      </c>
      <c r="G138" s="8" t="n">
        <v>0.15</v>
      </c>
      <c r="H138" s="13" t="inlineStr">
        <is>
          <t>Teenage Mutant Ninja Turtles (TMT)</t>
        </is>
      </c>
      <c r="I138" s="13" t="inlineStr">
        <is>
          <t>Não</t>
        </is>
      </c>
      <c r="J138" s="13" t="n">
        <v>2026</v>
      </c>
      <c r="K138" s="10" t="n">
        <v>46055</v>
      </c>
      <c r="L138" s="13" t="n">
        <v>2</v>
      </c>
      <c r="M138" s="8">
        <f>L138*G138</f>
        <v/>
      </c>
      <c r="P138" s="9" t="n"/>
    </row>
    <row r="139">
      <c r="A139" s="13" t="inlineStr">
        <is>
          <t>Aquamoeba / Aquameba</t>
        </is>
      </c>
      <c r="B139" s="13" t="inlineStr">
        <is>
          <t>Creature — Elemental Beast / Criatura — Elemental Besta</t>
        </is>
      </c>
      <c r="C139" s="13" t="inlineStr">
        <is>
          <t>Common / Comum</t>
        </is>
      </c>
      <c r="D139" s="13" t="inlineStr">
        <is>
          <t>Discard a card: Switch this creature's power and toughness until end of turn. / Descarte um card: Permute o poder e a resistência de Aquameba até o final do turno.</t>
        </is>
      </c>
      <c r="E139" s="13" t="inlineStr">
        <is>
          <t>{1}{U}</t>
        </is>
      </c>
      <c r="F139" s="13" t="inlineStr">
        <is>
          <t>Azul</t>
        </is>
      </c>
      <c r="G139" s="8" t="n">
        <v>0.14</v>
      </c>
      <c r="H139" s="13" t="inlineStr">
        <is>
          <t>Dominaria Remastered (DMR)</t>
        </is>
      </c>
      <c r="I139" s="13" t="inlineStr">
        <is>
          <t>Não</t>
        </is>
      </c>
      <c r="J139" s="13" t="n">
        <v>2023</v>
      </c>
      <c r="K139" s="10" t="n">
        <v>46082</v>
      </c>
      <c r="L139" s="13" t="n">
        <v>1</v>
      </c>
      <c r="M139" s="8">
        <f>L139*G139</f>
        <v/>
      </c>
      <c r="P139" s="9" t="n"/>
    </row>
    <row r="140">
      <c r="A140" s="13" t="inlineStr">
        <is>
          <t>Aquamorph Entity / Entidade Aquamorfa</t>
        </is>
      </c>
      <c r="B140" s="13" t="inlineStr">
        <is>
          <t>Criatura — Transmorfo</t>
        </is>
      </c>
      <c r="C140" s="13" t="inlineStr">
        <is>
          <t>Comum</t>
        </is>
      </c>
      <c r="D140" s="13"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40" s="13" t="inlineStr">
        <is>
          <t>2UU</t>
        </is>
      </c>
      <c r="F140" s="13" t="inlineStr">
        <is>
          <t>Azul</t>
        </is>
      </c>
      <c r="G140" s="8" t="n">
        <v>0.06</v>
      </c>
      <c r="H140" s="13" t="inlineStr">
        <is>
          <t>Duel Decks: Speed vs. Cunning</t>
        </is>
      </c>
      <c r="I140" s="13" t="inlineStr">
        <is>
          <t>Não</t>
        </is>
      </c>
      <c r="J140" s="13" t="n">
        <v>2014</v>
      </c>
      <c r="K140" s="13" t="inlineStr">
        <is>
          <t>*/*</t>
        </is>
      </c>
      <c r="L140" s="13" t="n">
        <v>2</v>
      </c>
      <c r="M140" s="8">
        <f>L140*G140</f>
        <v/>
      </c>
      <c r="P140" s="9" t="n"/>
    </row>
    <row r="141">
      <c r="A141" s="13" t="inlineStr">
        <is>
          <t>Aqueous Form / Forma Aquosa</t>
        </is>
      </c>
      <c r="B141" s="13" t="inlineStr">
        <is>
          <t>Enchantment — Aura / Encantamento — Aura</t>
        </is>
      </c>
      <c r="C141" s="13" t="inlineStr">
        <is>
          <t>Common / Comum</t>
        </is>
      </c>
      <c r="D141" s="13"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41" s="13" t="inlineStr">
        <is>
          <t>{U}</t>
        </is>
      </c>
      <c r="F141" s="13" t="inlineStr">
        <is>
          <t>Azul</t>
        </is>
      </c>
      <c r="G141" s="8" t="n">
        <v>0.43</v>
      </c>
      <c r="H141" s="13" t="inlineStr">
        <is>
          <t>Theros (THS)</t>
        </is>
      </c>
      <c r="I141" s="13" t="inlineStr">
        <is>
          <t>Não</t>
        </is>
      </c>
      <c r="J141" s="13" t="n">
        <v>2013</v>
      </c>
      <c r="L141" s="13" t="n">
        <v>1</v>
      </c>
      <c r="M141" s="8">
        <f>L141*G141</f>
        <v/>
      </c>
      <c r="P141" s="9" t="n"/>
    </row>
    <row r="142">
      <c r="A142" s="13" t="inlineStr">
        <is>
          <t>Aquitect's Defenses</t>
        </is>
      </c>
      <c r="B142" s="13" t="inlineStr">
        <is>
          <t>Enchantment — Aura</t>
        </is>
      </c>
      <c r="C142" s="13" t="inlineStr">
        <is>
          <t>Common</t>
        </is>
      </c>
      <c r="D142" s="13" t="inlineStr">
        <is>
          <t>Flash. Enchant creature you control. When this Aura enters, enchanted creature gains hexproof until end of turn. (It can't be the target of spells or abilities your opponents control.) Enchanted creature gets +1/+2.</t>
        </is>
      </c>
      <c r="E142" s="13" t="inlineStr">
        <is>
          <t>{1}{U}</t>
        </is>
      </c>
      <c r="F142" s="13" t="inlineStr">
        <is>
          <t>Azul</t>
        </is>
      </c>
      <c r="G142" s="8" t="n">
        <v>0.1</v>
      </c>
      <c r="H142" s="13" t="inlineStr">
        <is>
          <t>Lorwyn Eclipsed (ECL)</t>
        </is>
      </c>
      <c r="I142" s="13" t="inlineStr">
        <is>
          <t>Não</t>
        </is>
      </c>
      <c r="J142" s="13" t="n">
        <v>2026</v>
      </c>
      <c r="L142" s="13" t="n">
        <v>1</v>
      </c>
      <c r="M142" s="8">
        <f>L142*G142</f>
        <v/>
      </c>
      <c r="P142" s="9" t="n"/>
    </row>
    <row r="143">
      <c r="A143" s="13" t="inlineStr">
        <is>
          <t>Arashin Sunshield</t>
        </is>
      </c>
      <c r="B143" s="13" t="inlineStr">
        <is>
          <t>Creature — Human Warrior</t>
        </is>
      </c>
      <c r="C143" s="13" t="inlineStr">
        <is>
          <t>Common / Comum</t>
        </is>
      </c>
      <c r="D143" s="13" t="inlineStr">
        <is>
          <t>When this creature enters, exile up to two target cards from a single graveyard. {W}, {T}: Tap target creature.</t>
        </is>
      </c>
      <c r="E143" s="13" t="inlineStr">
        <is>
          <t>{3}{W}</t>
        </is>
      </c>
      <c r="F143" s="13" t="inlineStr">
        <is>
          <t>Branco</t>
        </is>
      </c>
      <c r="G143" s="8" t="n">
        <v>0.05</v>
      </c>
      <c r="H143" s="13" t="inlineStr">
        <is>
          <t>Tarkir: Dragonstorm (TDM)</t>
        </is>
      </c>
      <c r="I143" s="13" t="inlineStr">
        <is>
          <t>Não</t>
        </is>
      </c>
      <c r="J143" s="13" t="n">
        <v>2025</v>
      </c>
      <c r="K143" s="10" t="n">
        <v>46115</v>
      </c>
      <c r="L143" s="13" t="n">
        <v>2</v>
      </c>
      <c r="M143" s="8">
        <f>L143*G143</f>
        <v/>
      </c>
      <c r="P143" s="9" t="n"/>
    </row>
    <row r="144">
      <c r="A144" s="13" t="inlineStr">
        <is>
          <t>Arborback Stomper / Pisoteador Dorsoverde</t>
        </is>
      </c>
      <c r="B144" s="13" t="inlineStr">
        <is>
          <t>Creature — Beast / Criatura — Besta</t>
        </is>
      </c>
      <c r="C144" s="13" t="inlineStr">
        <is>
          <t>Uncommon / Incomum</t>
        </is>
      </c>
      <c r="D144" s="13" t="inlineStr">
        <is>
          <t>Trample. When Arborback Stomper enters the battlefield, you gain 5 life. / Atropelar. Quando Pisoteador Dorsoverde entra no campo de batalha, você ganha 5 pontos de vida.</t>
        </is>
      </c>
      <c r="E144" s="13" t="inlineStr">
        <is>
          <t>{3}{G}{G}</t>
        </is>
      </c>
      <c r="F144" s="13" t="inlineStr">
        <is>
          <t>Verde</t>
        </is>
      </c>
      <c r="G144" s="8" t="n">
        <v>0.06</v>
      </c>
      <c r="H144" s="13" t="inlineStr">
        <is>
          <t>Kaladesh (KLD)</t>
        </is>
      </c>
      <c r="I144" s="13" t="inlineStr">
        <is>
          <t>Não</t>
        </is>
      </c>
      <c r="J144" s="13" t="n">
        <v>2016</v>
      </c>
      <c r="K144" s="10" t="n">
        <v>46117</v>
      </c>
      <c r="L144" s="13" t="n">
        <v>4</v>
      </c>
      <c r="M144" s="8">
        <f>L144*G144</f>
        <v/>
      </c>
      <c r="P144" s="9" t="n"/>
    </row>
    <row r="145">
      <c r="A145" s="13" t="inlineStr">
        <is>
          <t>Arc Trail / Trilha de Arco</t>
        </is>
      </c>
      <c r="B145" s="13" t="inlineStr">
        <is>
          <t>Feitiço</t>
        </is>
      </c>
      <c r="C145" s="13" t="inlineStr">
        <is>
          <t>Incomum</t>
        </is>
      </c>
      <c r="D145" s="13" t="inlineStr">
        <is>
          <t>Trilha de Arco causa 2 de dano à criatura ou ao jogador alvo e 1 de dano a outra criatura ou outro jogador alvo.</t>
        </is>
      </c>
      <c r="E145" s="13" t="inlineStr">
        <is>
          <t>1R</t>
        </is>
      </c>
      <c r="F145" s="13" t="inlineStr">
        <is>
          <t>Vermelho</t>
        </is>
      </c>
      <c r="G145" s="8" t="n">
        <v>0.09</v>
      </c>
      <c r="H145" s="13" t="inlineStr">
        <is>
          <t>Duel Decks: Speed vs. Cunning</t>
        </is>
      </c>
      <c r="I145" s="13" t="inlineStr">
        <is>
          <t>Não</t>
        </is>
      </c>
      <c r="J145" s="13" t="n">
        <v>2014</v>
      </c>
      <c r="L145" s="13" t="n">
        <v>1</v>
      </c>
      <c r="M145" s="8">
        <f>L145*G145</f>
        <v/>
      </c>
      <c r="P145" s="9" t="n"/>
    </row>
    <row r="146">
      <c r="A146" s="13" t="inlineStr">
        <is>
          <t>Arcanis the Omnipotent / Arcanis, o Onipotente</t>
        </is>
      </c>
      <c r="B146" s="13" t="inlineStr">
        <is>
          <t>Criatura Lendária — Mago</t>
        </is>
      </c>
      <c r="C146" s="13" t="inlineStr">
        <is>
          <t>Mítica Rara</t>
        </is>
      </c>
      <c r="D146" s="13" t="inlineStr">
        <is>
          <t>{T}: Compre três cards. {2}{U}{U}: Devolva Arcanis, o Onipotente para a mão de seu dono.</t>
        </is>
      </c>
      <c r="E146" s="13" t="inlineStr">
        <is>
          <t>3UUU</t>
        </is>
      </c>
      <c r="F146" s="13" t="inlineStr">
        <is>
          <t>Azul</t>
        </is>
      </c>
      <c r="G146" s="8" t="n">
        <v>3.5</v>
      </c>
      <c r="H146" s="13" t="inlineStr">
        <is>
          <t>Duel Decks: Speed vs. Cunning</t>
        </is>
      </c>
      <c r="I146" s="13" t="inlineStr">
        <is>
          <t>Sim</t>
        </is>
      </c>
      <c r="J146" s="13" t="n">
        <v>2014</v>
      </c>
      <c r="K146" s="10" t="n">
        <v>46115</v>
      </c>
      <c r="L146" s="13" t="n">
        <v>1</v>
      </c>
      <c r="M146" s="8">
        <f>L146*G146</f>
        <v/>
      </c>
      <c r="P146" s="9" t="n"/>
    </row>
    <row r="147">
      <c r="A147" s="13" t="inlineStr">
        <is>
          <t>Arcanist's Owl / Coruja do Arcanista</t>
        </is>
      </c>
      <c r="B147" s="13" t="inlineStr">
        <is>
          <t>Artifact Creature — Bird / Criatura Artefato — Ave</t>
        </is>
      </c>
      <c r="C147" s="13" t="inlineStr">
        <is>
          <t>Uncommon / Incomum</t>
        </is>
      </c>
      <c r="D147" s="13"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147" s="13" t="inlineStr">
        <is>
          <t>{W/U}{W/U}{W/U}{W/U}</t>
        </is>
      </c>
      <c r="F147" s="13" t="inlineStr">
        <is>
          <t>Azul, Branco</t>
        </is>
      </c>
      <c r="G147" s="8" t="n">
        <v>0.1</v>
      </c>
      <c r="H147" s="13" t="inlineStr">
        <is>
          <t>Throne of Eldraine (ELD)</t>
        </is>
      </c>
      <c r="I147" s="13" t="inlineStr">
        <is>
          <t>Não</t>
        </is>
      </c>
      <c r="J147" s="13" t="n">
        <v>2019</v>
      </c>
      <c r="K147" s="10" t="n">
        <v>46084</v>
      </c>
      <c r="L147" s="13" t="n">
        <v>1</v>
      </c>
      <c r="M147" s="8">
        <f>L147*G147</f>
        <v/>
      </c>
      <c r="P147" s="9" t="n"/>
    </row>
    <row r="148">
      <c r="A148" s="13" t="inlineStr">
        <is>
          <t>Arcbound Javelineer / Zagaieiro Arconexo</t>
        </is>
      </c>
      <c r="B148" s="13" t="inlineStr">
        <is>
          <t>Artifact Creature — Soldier / Criatura Artefato — Soldado</t>
        </is>
      </c>
      <c r="C148" s="13" t="inlineStr">
        <is>
          <t>Uncommon / Incomum</t>
        </is>
      </c>
      <c r="D148" s="13"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148" s="13" t="inlineStr">
        <is>
          <t>{W}</t>
        </is>
      </c>
      <c r="F148" s="13" t="inlineStr">
        <is>
          <t>Branco</t>
        </is>
      </c>
      <c r="G148" s="8" t="n">
        <v>0.1</v>
      </c>
      <c r="H148" s="13" t="inlineStr">
        <is>
          <t>Modern Horizons 2 (MH2)</t>
        </is>
      </c>
      <c r="I148" s="13" t="inlineStr">
        <is>
          <t>Não</t>
        </is>
      </c>
      <c r="J148" s="13" t="n">
        <v>2021</v>
      </c>
      <c r="K148" s="13" t="inlineStr">
        <is>
          <t>0/1</t>
        </is>
      </c>
      <c r="L148" s="13" t="n">
        <v>1</v>
      </c>
      <c r="M148" s="8">
        <f>L148*G148</f>
        <v/>
      </c>
      <c r="P148" s="9" t="n"/>
    </row>
    <row r="149">
      <c r="A149" s="13" t="inlineStr">
        <is>
          <t>Arcbound Wanderer / Andarilho Arcbound</t>
        </is>
      </c>
      <c r="B149" s="13" t="inlineStr">
        <is>
          <t>Artifact Creature — Golem / Criatura Artefato — Golem</t>
        </is>
      </c>
      <c r="C149" s="13" t="inlineStr">
        <is>
          <t>Uncommon / Incomum</t>
        </is>
      </c>
      <c r="D149" s="13"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149" s="13" t="inlineStr">
        <is>
          <t>{6}</t>
        </is>
      </c>
      <c r="F149" s="13" t="inlineStr">
        <is>
          <t>Incolor</t>
        </is>
      </c>
      <c r="G149" s="8" t="n">
        <v>0.13</v>
      </c>
      <c r="H149" s="13" t="inlineStr">
        <is>
          <t>Modern Masters (MMA)</t>
        </is>
      </c>
      <c r="I149" s="13" t="inlineStr">
        <is>
          <t>No</t>
        </is>
      </c>
      <c r="J149" s="13" t="n">
        <v>2013</v>
      </c>
      <c r="K149" s="13" t="inlineStr">
        <is>
          <t>0/0</t>
        </is>
      </c>
      <c r="L149" s="13" t="n">
        <v>1</v>
      </c>
      <c r="M149" s="8">
        <f>L149*G149</f>
        <v/>
      </c>
      <c r="P149" s="9" t="n"/>
    </row>
    <row r="150">
      <c r="A150" s="13" t="inlineStr">
        <is>
          <t>Archfiend of Ifnir / Arquidemônio de Ifnir</t>
        </is>
      </c>
      <c r="B150" s="13" t="inlineStr">
        <is>
          <t>Creature — Demon / Criatura — Demônio</t>
        </is>
      </c>
      <c r="C150" s="13" t="inlineStr">
        <is>
          <t>Rare / Rara</t>
        </is>
      </c>
      <c r="D150" s="13"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150" s="13" t="inlineStr">
        <is>
          <t>{3}{B}{B}</t>
        </is>
      </c>
      <c r="F150" s="13" t="inlineStr">
        <is>
          <t>Preto</t>
        </is>
      </c>
      <c r="G150" s="8" t="n">
        <v>3.25</v>
      </c>
      <c r="H150" s="13" t="inlineStr">
        <is>
          <t>Amonkhet (AKH)</t>
        </is>
      </c>
      <c r="I150" s="13" t="inlineStr">
        <is>
          <t>Não</t>
        </is>
      </c>
      <c r="J150" s="13" t="n">
        <v>2017</v>
      </c>
      <c r="K150" s="10" t="n">
        <v>46117</v>
      </c>
      <c r="L150" s="13" t="n">
        <v>2</v>
      </c>
      <c r="M150" s="8">
        <f>L150*G150</f>
        <v/>
      </c>
      <c r="N150" s="13" t="inlineStr">
        <is>
          <t>Pasta</t>
        </is>
      </c>
      <c r="P150" s="9" t="n"/>
    </row>
    <row r="151">
      <c r="A151" s="13" t="inlineStr">
        <is>
          <t>Architects of Will / Arquitetos do Arbítrio</t>
        </is>
      </c>
      <c r="B151" s="13" t="inlineStr">
        <is>
          <t>Artifact Creature — Human Wizard / Criatura Artefato — Humano Mago</t>
        </is>
      </c>
      <c r="C151" s="13" t="inlineStr">
        <is>
          <t>Common / Comum</t>
        </is>
      </c>
      <c r="D151" s="13"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51" s="13" t="inlineStr">
        <is>
          <t>{2}{U}{B}</t>
        </is>
      </c>
      <c r="F151" s="13" t="inlineStr">
        <is>
          <t>Preto, Azul</t>
        </is>
      </c>
      <c r="G151" s="8" t="n">
        <v>0.45</v>
      </c>
      <c r="H151" s="13" t="inlineStr">
        <is>
          <t>Alara Reborn (ARB)</t>
        </is>
      </c>
      <c r="I151" s="13" t="inlineStr">
        <is>
          <t>Não</t>
        </is>
      </c>
      <c r="J151" s="13" t="n">
        <v>2009</v>
      </c>
      <c r="K151" s="10" t="n">
        <v>46084</v>
      </c>
      <c r="L151" s="13" t="n">
        <v>1</v>
      </c>
      <c r="M151" s="8">
        <f>L151*G151</f>
        <v/>
      </c>
      <c r="P151" s="9" t="n"/>
    </row>
    <row r="152">
      <c r="A152" s="13" t="inlineStr">
        <is>
          <t>Archway Angel / Anjo do Arco</t>
        </is>
      </c>
      <c r="B152" s="13" t="inlineStr">
        <is>
          <t>Creature — Angel / Criatura — Anjo</t>
        </is>
      </c>
      <c r="C152" s="13" t="inlineStr">
        <is>
          <t>Uncommon / Incomum</t>
        </is>
      </c>
      <c r="D152" s="13" t="inlineStr">
        <is>
          <t>Flying When this creature enters, you gain 2 life for each Gate you control. / Voar Quando Anjo do Arco entra no campo de batalha, você ganha 2 pontos de vida para cada Portão que você controla.</t>
        </is>
      </c>
      <c r="E152" s="13" t="inlineStr">
        <is>
          <t>{5}{W}</t>
        </is>
      </c>
      <c r="F152" s="13" t="inlineStr">
        <is>
          <t>Branco</t>
        </is>
      </c>
      <c r="G152" s="8" t="n">
        <v>0.08</v>
      </c>
      <c r="H152" s="13" t="inlineStr">
        <is>
          <t>Ravnica Allegiance (RNA)</t>
        </is>
      </c>
      <c r="I152" s="13" t="inlineStr">
        <is>
          <t>Não</t>
        </is>
      </c>
      <c r="J152" s="13" t="n">
        <v>2019</v>
      </c>
      <c r="K152" s="10" t="n">
        <v>46115</v>
      </c>
      <c r="L152" s="13" t="n">
        <v>1</v>
      </c>
      <c r="M152" s="8">
        <f>L152*G152</f>
        <v/>
      </c>
      <c r="P152" s="9" t="n"/>
    </row>
    <row r="153">
      <c r="A153" s="13" t="inlineStr">
        <is>
          <t>Ardent Soldier / Soldado Ardente</t>
        </is>
      </c>
      <c r="B153" s="13" t="inlineStr">
        <is>
          <t>Creature — Soldier / Criatura — Soldado</t>
        </is>
      </c>
      <c r="C153" s="13" t="inlineStr">
        <is>
          <t>Common / Comum</t>
        </is>
      </c>
      <c r="D153" s="13"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153" s="13" t="inlineStr">
        <is>
          <t>{1}{W}</t>
        </is>
      </c>
      <c r="F153" s="13" t="inlineStr">
        <is>
          <t>Branco</t>
        </is>
      </c>
      <c r="G153" s="8" t="n">
        <v>0.09</v>
      </c>
      <c r="H153" s="13" t="inlineStr">
        <is>
          <t>Invasion (INV)</t>
        </is>
      </c>
      <c r="I153" s="13" t="inlineStr">
        <is>
          <t>No</t>
        </is>
      </c>
      <c r="J153" s="13" t="n">
        <v>2000</v>
      </c>
      <c r="K153" s="10" t="n">
        <v>46054</v>
      </c>
      <c r="L153" s="13" t="n">
        <v>1</v>
      </c>
      <c r="M153" s="8">
        <f>L153*G153</f>
        <v/>
      </c>
      <c r="P153" s="9" t="n"/>
    </row>
    <row r="154">
      <c r="A154" s="13" t="inlineStr">
        <is>
          <t>Ardent Soldier / Soldado Fervoroso</t>
        </is>
      </c>
      <c r="B154" s="13" t="inlineStr">
        <is>
          <t>Creature — Human Soldier</t>
        </is>
      </c>
      <c r="C154" s="13" t="inlineStr">
        <is>
          <t>Common / Comum</t>
        </is>
      </c>
      <c r="D154" s="13" t="inlineStr">
        <is>
          <t>Kicker {2} (You may pay an additional {2} as you cast this spell.) Vigilance If this creature was kicked, it enters with a +1/+1 counter on it.</t>
        </is>
      </c>
      <c r="E154" s="13" t="inlineStr">
        <is>
          <t>{1}{W}</t>
        </is>
      </c>
      <c r="F154" s="13" t="inlineStr">
        <is>
          <t>Branco</t>
        </is>
      </c>
      <c r="G154" s="8" t="n">
        <v>4.49</v>
      </c>
      <c r="H154" s="13" t="inlineStr">
        <is>
          <t>Invasion (INV)</t>
        </is>
      </c>
      <c r="I154" s="13" t="inlineStr">
        <is>
          <t>Sim</t>
        </is>
      </c>
      <c r="J154" s="13" t="n">
        <v>2000</v>
      </c>
      <c r="K154" s="10" t="n">
        <v>46054</v>
      </c>
      <c r="L154" s="13" t="n">
        <v>1</v>
      </c>
      <c r="M154" s="8">
        <f>L154*G154</f>
        <v/>
      </c>
      <c r="N154" s="13" t="inlineStr">
        <is>
          <t>Pasta</t>
        </is>
      </c>
      <c r="P154" s="9" t="n"/>
    </row>
    <row r="155">
      <c r="A155" s="13" t="inlineStr">
        <is>
          <t>Ardyn, the Usurper / Ardyn, o Usurpador</t>
        </is>
      </c>
      <c r="B155" s="13" t="inlineStr">
        <is>
          <t>Criatura Lendária — Ancião Humano Nobre</t>
        </is>
      </c>
      <c r="C155" s="13" t="inlineStr">
        <is>
          <t>Rara</t>
        </is>
      </c>
      <c r="D155" s="13"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155" s="13" t="inlineStr">
        <is>
          <t>5{B}{B}{B}</t>
        </is>
      </c>
      <c r="F155" s="13" t="inlineStr">
        <is>
          <t>Preto</t>
        </is>
      </c>
      <c r="G155" s="8" t="n">
        <v>4.79</v>
      </c>
      <c r="H155" s="13" t="inlineStr">
        <is>
          <t>Final Fantasy</t>
        </is>
      </c>
      <c r="I155" s="13" t="inlineStr">
        <is>
          <t>Não</t>
        </is>
      </c>
      <c r="J155" s="13" t="n">
        <v>2025</v>
      </c>
      <c r="K155" s="10" t="n">
        <v>46116</v>
      </c>
      <c r="L155" s="13" t="n">
        <v>1</v>
      </c>
      <c r="M155" s="8">
        <f>L155*G155</f>
        <v/>
      </c>
      <c r="P155" s="9" t="n"/>
    </row>
    <row r="156">
      <c r="A156" s="13" t="inlineStr">
        <is>
          <t>Área Fortificada / Fortified Area</t>
        </is>
      </c>
      <c r="B156" s="13" t="inlineStr">
        <is>
          <t>Encantamento / Enchantment</t>
        </is>
      </c>
      <c r="C156" s="13" t="inlineStr">
        <is>
          <t>Incomum / Uncommon</t>
        </is>
      </c>
      <c r="D156" s="13" t="inlineStr">
        <is>
          <t>Todas as barreiras que você controla ganham +1/+0 e a habilidade de formar bando. / All Walls you control get +1/+0 and gain banding.</t>
        </is>
      </c>
      <c r="E156" s="13" t="inlineStr">
        <is>
          <t>{1}{W}{W}</t>
        </is>
      </c>
      <c r="F156" s="13" t="inlineStr">
        <is>
          <t>Branco</t>
        </is>
      </c>
      <c r="G156" s="8" t="n">
        <v>0.05</v>
      </c>
      <c r="H156" s="13" t="inlineStr">
        <is>
          <t>Fourth Edition</t>
        </is>
      </c>
      <c r="I156" s="13" t="inlineStr">
        <is>
          <t>Não</t>
        </is>
      </c>
      <c r="J156" s="13" t="n">
        <v>1995</v>
      </c>
      <c r="L156" s="13" t="n">
        <v>2</v>
      </c>
      <c r="M156" s="8">
        <f>L156*G156</f>
        <v/>
      </c>
      <c r="P156" s="9" t="n"/>
    </row>
    <row r="157">
      <c r="A157" s="13" t="inlineStr">
        <is>
          <t>Área Fortificada / Fortified Area</t>
        </is>
      </c>
      <c r="B157" s="13" t="inlineStr">
        <is>
          <t>Encantamento / Enchantment</t>
        </is>
      </c>
      <c r="C157" s="13" t="inlineStr">
        <is>
          <t>Incomum / Uncommon</t>
        </is>
      </c>
      <c r="D157" s="13" t="inlineStr">
        <is>
          <t>Todas as barreiras que você controla ganham +1/+0 e a habilidade de formar bando. / All Walls you control get +1/+0 and gain banding.</t>
        </is>
      </c>
      <c r="E157" s="13" t="inlineStr">
        <is>
          <t>{1}{W}{W}</t>
        </is>
      </c>
      <c r="F157" s="13" t="inlineStr">
        <is>
          <t>Branco</t>
        </is>
      </c>
      <c r="G157" s="8" t="n">
        <v>0.19</v>
      </c>
      <c r="H157" s="13" t="inlineStr">
        <is>
          <t>Fourth Edition (BB)</t>
        </is>
      </c>
      <c r="I157" s="13" t="inlineStr">
        <is>
          <t>Não</t>
        </is>
      </c>
      <c r="J157" s="13" t="n">
        <v>1995</v>
      </c>
      <c r="L157" s="13" t="n">
        <v>4</v>
      </c>
      <c r="M157" s="8">
        <f>L157*G157</f>
        <v/>
      </c>
      <c r="P157" s="9" t="n"/>
    </row>
    <row r="158">
      <c r="A158" s="13" t="inlineStr">
        <is>
          <t>Arena Trickster / Trapaceiro da Arena</t>
        </is>
      </c>
      <c r="B158" s="13" t="inlineStr">
        <is>
          <t>Creature — Human Shaman / Criatura — Humano Xamã</t>
        </is>
      </c>
      <c r="C158" s="13" t="inlineStr">
        <is>
          <t>Common / Comum</t>
        </is>
      </c>
      <c r="D158" s="13" t="inlineStr">
        <is>
          <t>Whenever you cast your first spell during each opponent's turn, put a +1/+1 counter on this creature. / Toda vez que você conjurar sua primeira mágica durante o turno de cada oponente, coloque um marcador +1/+1 em Trapaceiro da Arena.</t>
        </is>
      </c>
      <c r="E158" s="13" t="inlineStr">
        <is>
          <t>{3}{R}</t>
        </is>
      </c>
      <c r="F158" s="13" t="inlineStr">
        <is>
          <t>Vermelho</t>
        </is>
      </c>
      <c r="G158" s="8" t="n">
        <v>0.03</v>
      </c>
      <c r="H158" s="13" t="inlineStr">
        <is>
          <t>Theros Beyond Death (THB)</t>
        </is>
      </c>
      <c r="I158" s="13" t="inlineStr">
        <is>
          <t>Não</t>
        </is>
      </c>
      <c r="J158" s="13" t="n">
        <v>2020</v>
      </c>
      <c r="K158" s="10" t="n">
        <v>46084</v>
      </c>
      <c r="L158" s="13" t="n">
        <v>1</v>
      </c>
      <c r="M158" s="8">
        <f>L158*G158</f>
        <v/>
      </c>
      <c r="P158" s="9" t="n"/>
    </row>
    <row r="159">
      <c r="A159" s="13" t="inlineStr">
        <is>
          <t>Arenson's Aura</t>
        </is>
      </c>
      <c r="B159" s="13" t="inlineStr">
        <is>
          <t>Encantamento / Enchantment</t>
        </is>
      </c>
      <c r="C159" s="13" t="inlineStr">
        <is>
          <t>Incomum / Uncommon</t>
        </is>
      </c>
      <c r="D159" s="13" t="inlineStr">
        <is>
          <t>{W}: Sacrifice an enchantment to destroy target enchantment. {3}{U}{U}: Counter target enchantment.</t>
        </is>
      </c>
      <c r="E159" s="13" t="inlineStr">
        <is>
          <t>{2}{W}</t>
        </is>
      </c>
      <c r="F159" s="13" t="inlineStr">
        <is>
          <t>Branco</t>
        </is>
      </c>
      <c r="G159" s="8" t="n">
        <v>0.01</v>
      </c>
      <c r="H159" s="13" t="inlineStr">
        <is>
          <t>Ice Age (ICE)</t>
        </is>
      </c>
      <c r="I159" s="13" t="inlineStr">
        <is>
          <t>Não</t>
        </is>
      </c>
      <c r="J159" s="13" t="n">
        <v>1995</v>
      </c>
      <c r="L159" s="13" t="n">
        <v>2</v>
      </c>
      <c r="M159" s="8">
        <f>L159*G159</f>
        <v/>
      </c>
      <c r="P159" s="9" t="n"/>
    </row>
    <row r="160">
      <c r="A160" s="13" t="inlineStr">
        <is>
          <t>Aríete / Battering Ram</t>
        </is>
      </c>
      <c r="B160" s="13" t="inlineStr">
        <is>
          <t>Criatura Artefato / Artifact Creature</t>
        </is>
      </c>
      <c r="C160" s="13" t="inlineStr">
        <is>
          <t>Comum / Common</t>
        </is>
      </c>
      <c r="D160" s="13" t="inlineStr">
        <is>
          <t>Forma Bando quando ataca. No fim do combate, destrói qualquer barreira que esteja bloqueando um Aríete. / Bands with artifacts when attacking. At end of combat, destroy all Walls blocking Battering Ram.</t>
        </is>
      </c>
      <c r="E160" s="13" t="inlineStr">
        <is>
          <t>{2}</t>
        </is>
      </c>
      <c r="F160" s="13" t="inlineStr">
        <is>
          <t>Incolor</t>
        </is>
      </c>
      <c r="G160" s="8" t="n">
        <v>0.05</v>
      </c>
      <c r="H160" s="13" t="inlineStr">
        <is>
          <t>Fourth Edition</t>
        </is>
      </c>
      <c r="I160" s="13" t="inlineStr">
        <is>
          <t>Não</t>
        </is>
      </c>
      <c r="J160" s="13" t="n">
        <v>1995</v>
      </c>
      <c r="K160" s="10" t="n">
        <v>46023</v>
      </c>
      <c r="L160" s="13" t="n">
        <v>5</v>
      </c>
      <c r="M160" s="8">
        <f>L160*G160</f>
        <v/>
      </c>
      <c r="P160" s="9" t="n"/>
    </row>
    <row r="161">
      <c r="A161" s="13" t="inlineStr">
        <is>
          <t>Aríete / Battering Ram</t>
        </is>
      </c>
      <c r="B161" s="13" t="inlineStr">
        <is>
          <t>Criatura Artefato / Artifact Creature</t>
        </is>
      </c>
      <c r="C161" s="13" t="inlineStr">
        <is>
          <t>Comum / Common</t>
        </is>
      </c>
      <c r="D161" s="13" t="inlineStr">
        <is>
          <t>Forma Bando quando ataca. No fim do combate, destrói qualquer barreira que esteja bloqueando um Aríete. / Bands with artifacts when attacking. At end of combat, destroy all Walls blocking Battering Ram.</t>
        </is>
      </c>
      <c r="E161" s="13" t="inlineStr">
        <is>
          <t>{2}</t>
        </is>
      </c>
      <c r="F161" s="13" t="inlineStr">
        <is>
          <t>Incolor</t>
        </is>
      </c>
      <c r="G161" s="8" t="n">
        <v>0.08</v>
      </c>
      <c r="H161" s="13" t="inlineStr">
        <is>
          <t>Fourth Edition (BB)</t>
        </is>
      </c>
      <c r="I161" s="13" t="inlineStr">
        <is>
          <t>Não</t>
        </is>
      </c>
      <c r="J161" s="13" t="n">
        <v>1995</v>
      </c>
      <c r="K161" s="10" t="n">
        <v>46023</v>
      </c>
      <c r="L161" s="13" t="n">
        <v>6</v>
      </c>
      <c r="M161" s="8">
        <f>L161*G161</f>
        <v/>
      </c>
      <c r="P161" s="9" t="n"/>
    </row>
    <row r="162">
      <c r="A162" s="13" t="inlineStr">
        <is>
          <t>Armadura Divina / Divine Armor</t>
        </is>
      </c>
      <c r="B162" s="13" t="inlineStr">
        <is>
          <t>Encantar Criatura</t>
        </is>
      </c>
      <c r="C162" s="13" t="inlineStr">
        <is>
          <t>Comum</t>
        </is>
      </c>
      <c r="D162" s="13" t="inlineStr">
        <is>
          <t>A criatura-alvo ganha +0/+2. {W}: A criatura-alvo encantada pela Armadura Divina ganha +0/+1 até o final do turno.</t>
        </is>
      </c>
      <c r="E162" s="13" t="inlineStr">
        <is>
          <t>{W}</t>
        </is>
      </c>
      <c r="F162" s="13" t="inlineStr">
        <is>
          <t>Branco</t>
        </is>
      </c>
      <c r="G162" s="8" t="n">
        <v>0.17</v>
      </c>
      <c r="H162" s="13" t="inlineStr">
        <is>
          <t>Fourth Edition (4ED)</t>
        </is>
      </c>
      <c r="I162" s="13" t="inlineStr">
        <is>
          <t>Não</t>
        </is>
      </c>
      <c r="J162" s="13" t="n">
        <v>1995</v>
      </c>
      <c r="L162" s="13" t="n">
        <v>2</v>
      </c>
      <c r="M162" s="8">
        <f>L162*G162</f>
        <v/>
      </c>
      <c r="P162" s="9" t="n"/>
    </row>
    <row r="163">
      <c r="A163" s="13" t="inlineStr">
        <is>
          <t>Armageddon Clock</t>
        </is>
      </c>
      <c r="B163" s="13" t="inlineStr">
        <is>
          <t>Artefato / Artifact</t>
        </is>
      </c>
      <c r="C163" s="13" t="inlineStr">
        <is>
          <t>Rara / Rare</t>
        </is>
      </c>
      <c r="D163" s="13"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163" s="13" t="inlineStr">
        <is>
          <t>{6}</t>
        </is>
      </c>
      <c r="F163" s="13" t="inlineStr">
        <is>
          <t>Incolor</t>
        </is>
      </c>
      <c r="G163" s="8" t="n">
        <v>0.43</v>
      </c>
      <c r="H163" s="13" t="inlineStr">
        <is>
          <t>Fourth Edition</t>
        </is>
      </c>
      <c r="I163" s="13" t="inlineStr">
        <is>
          <t>Não</t>
        </is>
      </c>
      <c r="J163" s="13" t="n">
        <v>1995</v>
      </c>
      <c r="L163" s="13" t="n">
        <v>1</v>
      </c>
      <c r="M163" s="8">
        <f>L163*G163</f>
        <v/>
      </c>
      <c r="P163" s="9" t="n"/>
    </row>
    <row r="164">
      <c r="A164" s="13" t="inlineStr">
        <is>
          <t>Armaggon, Future Shark</t>
        </is>
      </c>
      <c r="B164" s="13" t="inlineStr">
        <is>
          <t>Legendary Creature — Shark Horror Mutant</t>
        </is>
      </c>
      <c r="C164" s="13" t="inlineStr">
        <is>
          <t>Rare / Rara</t>
        </is>
      </c>
      <c r="D164" s="13" t="inlineStr">
        <is>
          <t>Flash When Armaggon enters, destroy up to three target creatures.</t>
        </is>
      </c>
      <c r="E164" s="13" t="inlineStr">
        <is>
          <t>{6}{B}{B}</t>
        </is>
      </c>
      <c r="F164" s="13" t="inlineStr">
        <is>
          <t>Preto</t>
        </is>
      </c>
      <c r="G164" s="8" t="n">
        <v>0.95</v>
      </c>
      <c r="H164" s="13" t="inlineStr">
        <is>
          <t>Teenage Mutant Ninja Turtles (TMT)</t>
        </is>
      </c>
      <c r="I164" s="13" t="inlineStr">
        <is>
          <t>Não</t>
        </is>
      </c>
      <c r="J164" s="13" t="n">
        <v>2026</v>
      </c>
      <c r="K164" s="10" t="n">
        <v>46182</v>
      </c>
      <c r="L164" s="13" t="n">
        <v>1</v>
      </c>
      <c r="M164" s="8">
        <f>L164*G164</f>
        <v/>
      </c>
      <c r="P164" s="9" t="n"/>
    </row>
    <row r="165">
      <c r="A165" s="13" t="inlineStr">
        <is>
          <t>Armament of Nyx / Armamento de Nyx</t>
        </is>
      </c>
      <c r="B165" s="13" t="inlineStr">
        <is>
          <t>Enchantment — Aura / Encantamento — Aura</t>
        </is>
      </c>
      <c r="C165" s="13" t="inlineStr">
        <is>
          <t>Common / Comum</t>
        </is>
      </c>
      <c r="D165" s="13"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165" s="13" t="inlineStr">
        <is>
          <t>{2}{W}</t>
        </is>
      </c>
      <c r="F165" s="13" t="inlineStr">
        <is>
          <t>Branco</t>
        </is>
      </c>
      <c r="G165" s="8" t="n">
        <v>0.06</v>
      </c>
      <c r="H165" s="13" t="inlineStr">
        <is>
          <t>Journey into Nyx (JOU)</t>
        </is>
      </c>
      <c r="I165" s="13" t="inlineStr">
        <is>
          <t>Não</t>
        </is>
      </c>
      <c r="J165" s="13" t="n">
        <v>2014</v>
      </c>
      <c r="L165" s="13" t="n">
        <v>2</v>
      </c>
      <c r="M165" s="8">
        <f>L165*G165</f>
        <v/>
      </c>
      <c r="P165" s="9" t="n"/>
    </row>
    <row r="166">
      <c r="A166" s="13" t="inlineStr">
        <is>
          <t>Armasaur Guide</t>
        </is>
      </c>
      <c r="B166" s="13" t="inlineStr">
        <is>
          <t>Creature — Dinosaur</t>
        </is>
      </c>
      <c r="C166" s="13" t="inlineStr">
        <is>
          <t>Common / Comum</t>
        </is>
      </c>
      <c r="D166" s="13" t="inlineStr">
        <is>
          <t>Vigilance (Attacking doesn't cause this creature to tap.) Whenever you attack with three or more creatures, put a +1/+1 counter on target creature you control.</t>
        </is>
      </c>
      <c r="E166" s="13" t="inlineStr">
        <is>
          <t>{4}{W}</t>
        </is>
      </c>
      <c r="F166" s="13" t="inlineStr">
        <is>
          <t>Branco</t>
        </is>
      </c>
      <c r="G166" s="8" t="n">
        <v>0.05</v>
      </c>
      <c r="H166" s="13" t="inlineStr">
        <is>
          <t>Foundations (FDN)</t>
        </is>
      </c>
      <c r="I166" s="13" t="inlineStr">
        <is>
          <t>Não</t>
        </is>
      </c>
      <c r="J166" s="13" t="n">
        <v>2024</v>
      </c>
      <c r="K166" s="10" t="n">
        <v>46116</v>
      </c>
      <c r="L166" s="13" t="n">
        <v>1</v>
      </c>
      <c r="M166" s="8">
        <f>L166*G166</f>
        <v/>
      </c>
      <c r="P166" s="9" t="n"/>
    </row>
    <row r="167">
      <c r="A167" s="13" t="inlineStr">
        <is>
          <t>Armorcraft Judge / Jurada de Armoraria</t>
        </is>
      </c>
      <c r="B167" s="13" t="inlineStr">
        <is>
          <t>Creature — Elf Artificer / Criatura — Elfo Artesão</t>
        </is>
      </c>
      <c r="C167" s="13" t="inlineStr">
        <is>
          <t>Uncommon / Incomum</t>
        </is>
      </c>
      <c r="D167" s="13" t="inlineStr">
        <is>
          <t>When this creature enters, draw a card for each creature you control with a +1/+1 counter on it. / Quando Jurada de Armoraria entrar no campo de batalha, compre um card para cada criatura que você controla com um marcador +1/+1.</t>
        </is>
      </c>
      <c r="E167" s="13" t="inlineStr">
        <is>
          <t>{3}{G}</t>
        </is>
      </c>
      <c r="F167" s="13" t="inlineStr">
        <is>
          <t>Verde</t>
        </is>
      </c>
      <c r="G167" s="8" t="n">
        <v>0.25</v>
      </c>
      <c r="H167" s="13" t="inlineStr">
        <is>
          <t>Commander Masters (CMM)</t>
        </is>
      </c>
      <c r="I167" s="13" t="inlineStr">
        <is>
          <t>Não</t>
        </is>
      </c>
      <c r="J167" s="13" t="n">
        <v>2023</v>
      </c>
      <c r="K167" s="10" t="n">
        <v>46084</v>
      </c>
      <c r="L167" s="13" t="n">
        <v>1</v>
      </c>
      <c r="M167" s="8">
        <f>L167*G167</f>
        <v/>
      </c>
      <c r="P167" s="9" t="n"/>
    </row>
    <row r="168">
      <c r="A168" s="13" t="inlineStr">
        <is>
          <t>Armored Kincaller / Invocador da Raça Blindado</t>
        </is>
      </c>
      <c r="B168" s="13" t="inlineStr">
        <is>
          <t>Creature — Dinosaur / Criatura — Dinossauro</t>
        </is>
      </c>
      <c r="C168" s="13" t="inlineStr">
        <is>
          <t>Common / Comum</t>
        </is>
      </c>
      <c r="D168" s="13"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68" s="13" t="inlineStr">
        <is>
          <t>{2}{G}</t>
        </is>
      </c>
      <c r="F168" s="13" t="inlineStr">
        <is>
          <t>Verde</t>
        </is>
      </c>
      <c r="G168" s="8" t="n">
        <v>0.09</v>
      </c>
      <c r="H168" s="13" t="inlineStr">
        <is>
          <t>The Lost Caverns of Ixalan (LCI)</t>
        </is>
      </c>
      <c r="I168" s="13" t="inlineStr">
        <is>
          <t>Não</t>
        </is>
      </c>
      <c r="J168" s="13" t="n">
        <v>2023</v>
      </c>
      <c r="K168" s="10" t="n">
        <v>46084</v>
      </c>
      <c r="L168" s="13" t="n">
        <v>1</v>
      </c>
      <c r="M168" s="8">
        <f>L168*G168</f>
        <v/>
      </c>
      <c r="P168" s="9" t="n"/>
    </row>
    <row r="169">
      <c r="A169" s="13" t="inlineStr">
        <is>
          <t>Armory Guard / Guarda do Arsenal</t>
        </is>
      </c>
      <c r="B169" s="13" t="inlineStr">
        <is>
          <t>Creature — Giant Soldier / Criatura — Gigante Soldado</t>
        </is>
      </c>
      <c r="C169" s="13" t="inlineStr">
        <is>
          <t>Common / Comum</t>
        </is>
      </c>
      <c r="D169" s="13" t="inlineStr">
        <is>
          <t>This creature has vigilance as long as you control a Gate. / Guarda do Arsenal terá vigilância enquanto você controlar um terreno do tipo Portão.</t>
        </is>
      </c>
      <c r="E169" s="13" t="inlineStr">
        <is>
          <t>{3}{W}</t>
        </is>
      </c>
      <c r="F169" s="13" t="inlineStr">
        <is>
          <t>Branco</t>
        </is>
      </c>
      <c r="G169" s="8" t="n">
        <v>0.05</v>
      </c>
      <c r="H169" s="13" t="inlineStr">
        <is>
          <t>Return to Ravnica (RTR)</t>
        </is>
      </c>
      <c r="I169" s="13" t="inlineStr">
        <is>
          <t>Não</t>
        </is>
      </c>
      <c r="J169" s="13" t="n">
        <v>2012</v>
      </c>
      <c r="K169" s="10" t="n">
        <v>46144</v>
      </c>
      <c r="L169" s="13" t="n">
        <v>1</v>
      </c>
      <c r="M169" s="8">
        <f>L169*G169</f>
        <v/>
      </c>
      <c r="P169" s="9" t="n"/>
    </row>
    <row r="170">
      <c r="A170" s="13" t="inlineStr">
        <is>
          <t>Arnyn, Deathbloom Botanist</t>
        </is>
      </c>
      <c r="B170" s="13" t="inlineStr">
        <is>
          <t>Legendary Creature — Vampire Druid</t>
        </is>
      </c>
      <c r="C170" s="13" t="inlineStr">
        <is>
          <t>Uncommon</t>
        </is>
      </c>
      <c r="D170" s="13" t="inlineStr">
        <is>
          <t>Deathtouch. Whenever a creature you control with power or toughness 1 or less dies, target opponent loses 2 life and you gain 2 life.</t>
        </is>
      </c>
      <c r="E170" s="13" t="inlineStr">
        <is>
          <t>{2}{B}</t>
        </is>
      </c>
      <c r="F170" s="13" t="inlineStr">
        <is>
          <t>Preto</t>
        </is>
      </c>
      <c r="G170" s="8" t="n">
        <v>0.3</v>
      </c>
      <c r="H170" s="13" t="inlineStr">
        <is>
          <t>SOS</t>
        </is>
      </c>
      <c r="I170" s="13" t="inlineStr">
        <is>
          <t>Não</t>
        </is>
      </c>
      <c r="J170" s="13" t="n">
        <v>2026</v>
      </c>
      <c r="K170" s="10" t="n">
        <v>46055</v>
      </c>
      <c r="L170" s="13" t="n">
        <v>1</v>
      </c>
      <c r="M170" s="8">
        <f>L170*G170</f>
        <v/>
      </c>
      <c r="P170" s="9" t="n"/>
    </row>
    <row r="171">
      <c r="A171" s="13" t="inlineStr">
        <is>
          <t>Aron, Benalia's Ruin / Aron, Ruína de Benália</t>
        </is>
      </c>
      <c r="B171" s="13" t="inlineStr">
        <is>
          <t>Legendary Creature — Phyrexian Human / Criatura Lendária — Phyrexiano Humano</t>
        </is>
      </c>
      <c r="C171" s="13" t="inlineStr">
        <is>
          <t>Uncommon / Incomum</t>
        </is>
      </c>
      <c r="D171" s="13"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71" s="13" t="inlineStr">
        <is>
          <t>{W}{W}{B}</t>
        </is>
      </c>
      <c r="F171" s="13" t="inlineStr">
        <is>
          <t>Preto, Branco</t>
        </is>
      </c>
      <c r="G171" s="8" t="n">
        <v>0.1</v>
      </c>
      <c r="H171" s="13" t="inlineStr">
        <is>
          <t>Dominaria United (DMU)</t>
        </is>
      </c>
      <c r="I171" s="13" t="inlineStr">
        <is>
          <t>Não</t>
        </is>
      </c>
      <c r="J171" s="13" t="n">
        <v>2022</v>
      </c>
      <c r="K171" s="10" t="n">
        <v>46084</v>
      </c>
      <c r="L171" s="13" t="n">
        <v>1</v>
      </c>
      <c r="M171" s="8">
        <f>L171*G171</f>
        <v/>
      </c>
      <c r="P171" s="9" t="n"/>
    </row>
    <row r="172">
      <c r="A172" s="13" t="inlineStr">
        <is>
          <t>Arrester's Zeal / Zelo do Encarcerador</t>
        </is>
      </c>
      <c r="B172" s="13" t="inlineStr">
        <is>
          <t>Instant / Mágica Instantânea</t>
        </is>
      </c>
      <c r="C172" s="13" t="inlineStr">
        <is>
          <t>Common / Comum</t>
        </is>
      </c>
      <c r="D172" s="13"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172" s="13" t="inlineStr">
        <is>
          <t>{W}</t>
        </is>
      </c>
      <c r="F172" s="13" t="inlineStr">
        <is>
          <t>Branco</t>
        </is>
      </c>
      <c r="G172" s="8" t="n">
        <v>0.09</v>
      </c>
      <c r="H172" s="13" t="inlineStr">
        <is>
          <t>Ravnica Remastered (RVR)</t>
        </is>
      </c>
      <c r="I172" s="13" t="inlineStr">
        <is>
          <t>Não</t>
        </is>
      </c>
      <c r="J172" s="13" t="n">
        <v>2024</v>
      </c>
      <c r="L172" s="13" t="n">
        <v>1</v>
      </c>
      <c r="M172" s="8">
        <f>L172*G172</f>
        <v/>
      </c>
      <c r="P172" s="9" t="n"/>
    </row>
    <row r="173">
      <c r="A173" s="13" t="inlineStr">
        <is>
          <t>Arrow Volley Trap / Armadilha de Salva de Flechas</t>
        </is>
      </c>
      <c r="B173" s="13" t="inlineStr">
        <is>
          <t>Mágica Instantânea — Armadilha</t>
        </is>
      </c>
      <c r="C173" s="13" t="inlineStr">
        <is>
          <t>Incomum</t>
        </is>
      </c>
      <c r="D173" s="13"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73" s="13" t="inlineStr">
        <is>
          <t>3WW</t>
        </is>
      </c>
      <c r="F173" s="13" t="inlineStr">
        <is>
          <t>Branco</t>
        </is>
      </c>
      <c r="G173" s="8" t="n">
        <v>0.08</v>
      </c>
      <c r="H173" s="13" t="inlineStr">
        <is>
          <t>Duel Decks: Speed vs. Cunning</t>
        </is>
      </c>
      <c r="I173" s="13" t="inlineStr">
        <is>
          <t>Não</t>
        </is>
      </c>
      <c r="J173" s="13" t="n">
        <v>2014</v>
      </c>
      <c r="L173" s="13" t="n">
        <v>1</v>
      </c>
      <c r="M173" s="8">
        <f>L173*G173</f>
        <v/>
      </c>
      <c r="P173" s="9" t="n"/>
    </row>
    <row r="174">
      <c r="A174" s="13" t="inlineStr">
        <is>
          <t>Artificer's Assistant / Assistente de Artesão</t>
        </is>
      </c>
      <c r="B174" s="13" t="inlineStr">
        <is>
          <t>Creature — Bird / Criatura — Ave</t>
        </is>
      </c>
      <c r="C174" s="13" t="inlineStr">
        <is>
          <t>Common / Comum</t>
        </is>
      </c>
      <c r="D174" s="13"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174" s="13" t="inlineStr">
        <is>
          <t>{U}</t>
        </is>
      </c>
      <c r="F174" s="13" t="inlineStr">
        <is>
          <t>Azul</t>
        </is>
      </c>
      <c r="G174" s="8" t="n">
        <v>0.03</v>
      </c>
      <c r="H174" s="13" t="inlineStr">
        <is>
          <t>Dominaria (DOM)</t>
        </is>
      </c>
      <c r="I174" s="13" t="inlineStr">
        <is>
          <t>Não</t>
        </is>
      </c>
      <c r="J174" s="13" t="n">
        <v>2018</v>
      </c>
      <c r="K174" s="10" t="n">
        <v>46023</v>
      </c>
      <c r="L174" s="13" t="n">
        <v>1</v>
      </c>
      <c r="M174" s="8">
        <f>L174*G174</f>
        <v/>
      </c>
      <c r="P174" s="9" t="n"/>
    </row>
    <row r="175">
      <c r="A175" s="13" t="inlineStr">
        <is>
          <t>Artimanhas de Saruman / Saruman's Trickery</t>
        </is>
      </c>
      <c r="B175" s="13" t="inlineStr">
        <is>
          <t>Mágica Instantânea</t>
        </is>
      </c>
      <c r="C175" s="13" t="inlineStr">
        <is>
          <t>Incomum</t>
        </is>
      </c>
      <c r="D175" s="13" t="inlineStr">
        <is>
          <t>Anule a mágica alvo. Arregimente Orcs 1. (Coloque um marcador +1/+1 em um Exército que você controla. Ele também é um Orc. Se você não controlar um Exército, crie antes uma ficha de criatura Orc Exército preta 0/0.)</t>
        </is>
      </c>
      <c r="E175" s="13" t="inlineStr">
        <is>
          <t>1{U}{U}</t>
        </is>
      </c>
      <c r="F175" s="13" t="inlineStr">
        <is>
          <t>Azul</t>
        </is>
      </c>
      <c r="G175" s="8" t="n">
        <v>0.31</v>
      </c>
      <c r="H175" s="13" t="inlineStr">
        <is>
          <t>The Lord of the Rings: Tales of Middle-earth (LTR)</t>
        </is>
      </c>
      <c r="I175" s="13" t="inlineStr">
        <is>
          <t>Não</t>
        </is>
      </c>
      <c r="J175" s="13" t="n">
        <v>2023</v>
      </c>
      <c r="L175" s="13" t="n">
        <v>2</v>
      </c>
      <c r="M175" s="8">
        <f>L175*G175</f>
        <v/>
      </c>
      <c r="P175" s="9" t="n"/>
    </row>
    <row r="176">
      <c r="A176" s="13" t="inlineStr">
        <is>
          <t>Aryel, Knight of Windgrace / Aryel, Cavaleira de Windgrace</t>
        </is>
      </c>
      <c r="B176" s="13" t="inlineStr">
        <is>
          <t>Legendary Creature — Human Knight / Criatura Lendária — Humano Cavaleiro</t>
        </is>
      </c>
      <c r="C176" s="13" t="inlineStr">
        <is>
          <t>Uncommon / Incomum</t>
        </is>
      </c>
      <c r="D176" s="13"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176" s="13" t="inlineStr">
        <is>
          <t>{2}{W}{B}</t>
        </is>
      </c>
      <c r="F176" s="13" t="inlineStr">
        <is>
          <t>Preto, Branco</t>
        </is>
      </c>
      <c r="G176" s="8" t="n">
        <v>0.39</v>
      </c>
      <c r="H176" s="13" t="inlineStr">
        <is>
          <t>Commander Masters (CMM)</t>
        </is>
      </c>
      <c r="I176" s="13" t="inlineStr">
        <is>
          <t>Sim</t>
        </is>
      </c>
      <c r="J176" s="13" t="n">
        <v>2023</v>
      </c>
      <c r="K176" s="10" t="n">
        <v>46116</v>
      </c>
      <c r="L176" s="13" t="n">
        <v>1</v>
      </c>
      <c r="M176" s="8">
        <f>L176*G176</f>
        <v/>
      </c>
      <c r="P176" s="9" t="n"/>
    </row>
    <row r="177">
      <c r="A177" s="13" t="inlineStr">
        <is>
          <t>Ascendant Dustspeaker / Porta-poeira Ascendente</t>
        </is>
      </c>
      <c r="B177" s="13" t="inlineStr">
        <is>
          <t>Criatura — Orc Clérigo</t>
        </is>
      </c>
      <c r="C177" s="13" t="inlineStr">
        <is>
          <t>Comum</t>
        </is>
      </c>
      <c r="D177" s="13" t="inlineStr">
        <is>
          <t>Voar. Quando esta criatura entrar, coloque um marcador +1/+1 em outra criatura alvo que você controla. No início do combate no seu turno, exile até um card alvo de um cemitério.</t>
        </is>
      </c>
      <c r="E177" s="13" t="inlineStr">
        <is>
          <t>4{W}</t>
        </is>
      </c>
      <c r="F177" s="13" t="inlineStr">
        <is>
          <t>Branco</t>
        </is>
      </c>
      <c r="G177" s="8" t="n">
        <v>0.05</v>
      </c>
      <c r="H177" s="13" t="inlineStr">
        <is>
          <t>Strixhaven: School of Mages (SOS)</t>
        </is>
      </c>
      <c r="I177" s="13" t="inlineStr">
        <is>
          <t>Não</t>
        </is>
      </c>
      <c r="J177" s="13" t="n">
        <v>2026</v>
      </c>
      <c r="K177" s="10" t="n">
        <v>46115</v>
      </c>
      <c r="L177" s="13" t="n">
        <v>1</v>
      </c>
      <c r="M177" s="8">
        <f>L177*G177</f>
        <v/>
      </c>
      <c r="P177" s="9" t="n"/>
    </row>
    <row r="178">
      <c r="A178" s="13" t="inlineStr">
        <is>
          <t>Ascendant Packleader / Líder de Alcateia em Ascensão</t>
        </is>
      </c>
      <c r="B178" s="13" t="inlineStr">
        <is>
          <t>Creature — Wolf / Criatura — Lobo</t>
        </is>
      </c>
      <c r="C178" s="13" t="inlineStr">
        <is>
          <t>Rare / Rara</t>
        </is>
      </c>
      <c r="D178" s="13"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78" s="13" t="inlineStr">
        <is>
          <t>{G}</t>
        </is>
      </c>
      <c r="F178" s="13" t="inlineStr">
        <is>
          <t>Verde</t>
        </is>
      </c>
      <c r="G178" s="8" t="n">
        <v>0.43</v>
      </c>
      <c r="H178" s="8" t="inlineStr">
        <is>
          <t>Innistrad: Crimson Vow (VOW)</t>
        </is>
      </c>
      <c r="I178" s="13" t="inlineStr">
        <is>
          <t>Não</t>
        </is>
      </c>
      <c r="J178" s="13" t="n">
        <v>2021</v>
      </c>
      <c r="K178" s="10" t="n">
        <v>46024</v>
      </c>
      <c r="L178" s="13" t="n">
        <v>1</v>
      </c>
      <c r="M178" s="8">
        <f>L178*G178</f>
        <v/>
      </c>
      <c r="P178" s="9" t="n"/>
    </row>
    <row r="179">
      <c r="A179" s="13" t="inlineStr">
        <is>
          <t>Ashe, Princess of Dalmasca / Ashe, Princesa de Dalmasca</t>
        </is>
      </c>
      <c r="B179" s="13" t="inlineStr">
        <is>
          <t>Criatura Lendária — Humano Rebelde Nobre</t>
        </is>
      </c>
      <c r="C179" s="13" t="inlineStr">
        <is>
          <t>Incomum</t>
        </is>
      </c>
      <c r="D179" s="13" t="inlineStr">
        <is>
          <t>Sempre que Ashe atacar, olhe os cinco cards do topo de seu grimório. Você pode revelar um card de artefato dentre eles e colocá-lo em sua mão. Coloque o restante no fundo de seu grimório em ordem aleatória.</t>
        </is>
      </c>
      <c r="E179" s="13" t="inlineStr">
        <is>
          <t>2{W}</t>
        </is>
      </c>
      <c r="F179" s="13" t="inlineStr">
        <is>
          <t>Branco</t>
        </is>
      </c>
      <c r="G179" s="8" t="n">
        <v>0.24</v>
      </c>
      <c r="H179" s="13" t="inlineStr">
        <is>
          <t>Final Fantasy</t>
        </is>
      </c>
      <c r="I179" s="13" t="inlineStr">
        <is>
          <t>Não</t>
        </is>
      </c>
      <c r="J179" s="13" t="n">
        <v>2025</v>
      </c>
      <c r="K179" s="10" t="n">
        <v>46056</v>
      </c>
      <c r="L179" s="13" t="n">
        <v>2</v>
      </c>
      <c r="M179" s="8">
        <f>L179*G179</f>
        <v/>
      </c>
      <c r="P179" s="9" t="n"/>
    </row>
    <row r="180">
      <c r="A180" s="13" t="inlineStr">
        <is>
          <t>Ashen Ghoul / Carniçal Cinéreo</t>
        </is>
      </c>
      <c r="B180" s="13" t="inlineStr">
        <is>
          <t>Creature — Zombie</t>
        </is>
      </c>
      <c r="C180" s="13" t="inlineStr">
        <is>
          <t>Uncommon / Incomum</t>
        </is>
      </c>
      <c r="D180" s="13" t="inlineStr">
        <is>
          <t>Haste {B}: Return this card from your graveyard to the battlefield. Activate only during your upkeep and only if three or more creature cards are above this card.</t>
        </is>
      </c>
      <c r="E180" s="13" t="inlineStr">
        <is>
          <t>{3}{B}</t>
        </is>
      </c>
      <c r="F180" s="13" t="inlineStr">
        <is>
          <t>Preto</t>
        </is>
      </c>
      <c r="G180" s="8" t="n">
        <v>0.8</v>
      </c>
      <c r="H180" s="13" t="inlineStr">
        <is>
          <t>Ice Age (ICE)</t>
        </is>
      </c>
      <c r="I180" s="13" t="inlineStr">
        <is>
          <t>Não</t>
        </is>
      </c>
      <c r="J180" s="13" t="n">
        <v>1995</v>
      </c>
      <c r="K180" s="10" t="n">
        <v>46025</v>
      </c>
      <c r="L180" s="13" t="n">
        <v>1</v>
      </c>
      <c r="M180" s="8">
        <f>L180*G180</f>
        <v/>
      </c>
      <c r="P180" s="9" t="n"/>
    </row>
    <row r="181">
      <c r="A181" s="13" t="inlineStr">
        <is>
          <t>Ashnod's Battle Gear / Armadura de Ashnod</t>
        </is>
      </c>
      <c r="B181" s="13" t="inlineStr">
        <is>
          <t>Artifact</t>
        </is>
      </c>
      <c r="C181" s="13" t="inlineStr">
        <is>
          <t>Uncommon / Incomum</t>
        </is>
      </c>
      <c r="D181" s="13" t="inlineStr">
        <is>
          <t>You may choose not to untap this artifact during your untap step. {2}, {T}: Target creature you control gets +2/-2 for as long as this artifact remains tapped.</t>
        </is>
      </c>
      <c r="E181" s="13" t="inlineStr">
        <is>
          <t>{2}</t>
        </is>
      </c>
      <c r="F181" s="13" t="inlineStr">
        <is>
          <t>Incolor</t>
        </is>
      </c>
      <c r="G181" s="8" t="n">
        <v>0.1</v>
      </c>
      <c r="H181" s="13" t="inlineStr">
        <is>
          <t>Fourth Edition</t>
        </is>
      </c>
      <c r="I181" s="13" t="inlineStr">
        <is>
          <t>Não</t>
        </is>
      </c>
      <c r="J181" s="13" t="n">
        <v>1995</v>
      </c>
      <c r="L181" s="13" t="n">
        <v>1</v>
      </c>
      <c r="M181" s="8">
        <f>L181*G181</f>
        <v/>
      </c>
      <c r="P181" s="9" t="n"/>
    </row>
    <row r="182">
      <c r="A182" s="13" t="inlineStr">
        <is>
          <t>Ashnod's Battle Gear / Armadura de Ashnod</t>
        </is>
      </c>
      <c r="B182" s="13" t="inlineStr">
        <is>
          <t>Artifact</t>
        </is>
      </c>
      <c r="C182" s="13" t="inlineStr">
        <is>
          <t>Uncommon / Incomum</t>
        </is>
      </c>
      <c r="D182" s="13" t="inlineStr">
        <is>
          <t>You may choose not to untap this artifact during your untap step. {2}, {T}: Target creature you control gets +2/-2 for as long as this artifact remains tapped.</t>
        </is>
      </c>
      <c r="E182" s="13" t="inlineStr">
        <is>
          <t>{2}</t>
        </is>
      </c>
      <c r="F182" s="13" t="inlineStr">
        <is>
          <t>Incolor</t>
        </is>
      </c>
      <c r="G182" s="8" t="n">
        <v>0.64</v>
      </c>
      <c r="H182" s="13" t="inlineStr">
        <is>
          <t>Fourth Edition (BB)</t>
        </is>
      </c>
      <c r="I182" s="13" t="inlineStr">
        <is>
          <t>Não</t>
        </is>
      </c>
      <c r="J182" s="13" t="n">
        <v>1995</v>
      </c>
      <c r="L182" s="13" t="n">
        <v>1</v>
      </c>
      <c r="M182" s="8">
        <f>L182*G182</f>
        <v/>
      </c>
      <c r="P182" s="9" t="n"/>
    </row>
    <row r="183">
      <c r="A183" s="13" t="inlineStr">
        <is>
          <t>Ashnod's Transmogrant / Transmogratificador de Ashnod</t>
        </is>
      </c>
      <c r="B183" s="13" t="inlineStr">
        <is>
          <t>Artifact / Artefato</t>
        </is>
      </c>
      <c r="C183" s="13" t="inlineStr">
        <is>
          <t>Uncommon / Incomum</t>
        </is>
      </c>
      <c r="D183" s="13"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183" s="13" t="inlineStr">
        <is>
          <t>{1}</t>
        </is>
      </c>
      <c r="F183" s="13" t="inlineStr">
        <is>
          <t>Incolor</t>
        </is>
      </c>
      <c r="G183" s="8" t="n">
        <v>0.28</v>
      </c>
      <c r="H183" s="13" t="inlineStr">
        <is>
          <t>Chronicles (CHR)</t>
        </is>
      </c>
      <c r="I183" s="13" t="inlineStr">
        <is>
          <t>No</t>
        </is>
      </c>
      <c r="J183" s="13" t="n">
        <v>1995</v>
      </c>
      <c r="L183" s="13" t="n">
        <v>2</v>
      </c>
      <c r="M183" s="8">
        <f>L183*G183</f>
        <v/>
      </c>
      <c r="P183" s="9" t="n"/>
    </row>
    <row r="184">
      <c r="A184" s="13" t="inlineStr">
        <is>
          <t>Ashroot Animist</t>
        </is>
      </c>
      <c r="B184" s="13" t="inlineStr">
        <is>
          <t>Creature — Lizard Druid</t>
        </is>
      </c>
      <c r="C184" s="13" t="inlineStr">
        <is>
          <t>Rare / Rara</t>
        </is>
      </c>
      <c r="D184" s="13" t="inlineStr">
        <is>
          <t>Trample Whenever this creature attacks, another target creature you control gains trample and gets +X/+X until end of turn, where X is this creature's power.</t>
        </is>
      </c>
      <c r="E184" s="13" t="inlineStr">
        <is>
          <t>{2}{R}{G}</t>
        </is>
      </c>
      <c r="F184" s="13" t="inlineStr">
        <is>
          <t>Verde, Vermelho</t>
        </is>
      </c>
      <c r="G184" s="8" t="n">
        <v>0.33</v>
      </c>
      <c r="H184" s="13" t="inlineStr">
        <is>
          <t>Foundations (FDN)</t>
        </is>
      </c>
      <c r="I184" s="13" t="inlineStr">
        <is>
          <t>Não</t>
        </is>
      </c>
      <c r="J184" s="13" t="n">
        <v>2024</v>
      </c>
      <c r="K184" s="10" t="n">
        <v>46116</v>
      </c>
      <c r="L184" s="13" t="n">
        <v>1</v>
      </c>
      <c r="M184" s="8">
        <f>L184*G184</f>
        <v/>
      </c>
      <c r="P184" s="9" t="n"/>
    </row>
    <row r="185">
      <c r="A185" s="13" t="inlineStr">
        <is>
          <t>Ashroot Animist</t>
        </is>
      </c>
      <c r="B185" s="13" t="inlineStr">
        <is>
          <t>Creature — Lizard Druid</t>
        </is>
      </c>
      <c r="C185" s="13" t="inlineStr">
        <is>
          <t>Rare / Rara</t>
        </is>
      </c>
      <c r="D185" s="13" t="inlineStr">
        <is>
          <t>Trample Whenever this creature attacks, another target creature you control gains trample and gets +X/+X until end of turn, where X is this creature's power.</t>
        </is>
      </c>
      <c r="E185" s="13" t="inlineStr">
        <is>
          <t>{2}{R}{G}</t>
        </is>
      </c>
      <c r="F185" s="13" t="inlineStr">
        <is>
          <t>Verde, Vermelho</t>
        </is>
      </c>
      <c r="G185" s="8" t="n">
        <v>0.33</v>
      </c>
      <c r="H185" s="13" t="inlineStr">
        <is>
          <t>Foundations (FDN)</t>
        </is>
      </c>
      <c r="I185" s="13" t="inlineStr">
        <is>
          <t>Não</t>
        </is>
      </c>
      <c r="J185" s="13" t="n">
        <v>2024</v>
      </c>
      <c r="K185" s="10" t="n">
        <v>46116</v>
      </c>
      <c r="L185" s="13" t="n">
        <v>1</v>
      </c>
      <c r="M185" s="8">
        <f>L185*G185</f>
        <v/>
      </c>
      <c r="P185" s="9" t="n"/>
    </row>
    <row r="186">
      <c r="A186" s="13" t="inlineStr">
        <is>
          <t>Aspect of Gorgon / Aspecto de Górgona</t>
        </is>
      </c>
      <c r="B186" s="13" t="inlineStr">
        <is>
          <t>Enchantment — Aura / Encantamento — Aura</t>
        </is>
      </c>
      <c r="C186" s="13" t="inlineStr">
        <is>
          <t>Common / Comum</t>
        </is>
      </c>
      <c r="D186" s="13"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186" s="13" t="inlineStr">
        <is>
          <t>{2}{B}</t>
        </is>
      </c>
      <c r="F186" s="13" t="inlineStr">
        <is>
          <t>Preto</t>
        </is>
      </c>
      <c r="G186" s="8" t="n">
        <v>0.03</v>
      </c>
      <c r="H186" s="13" t="inlineStr">
        <is>
          <t>Journey into Nyx (JOU)</t>
        </is>
      </c>
      <c r="I186" s="13" t="inlineStr">
        <is>
          <t>Não</t>
        </is>
      </c>
      <c r="J186" s="13" t="n">
        <v>2014</v>
      </c>
      <c r="L186" s="13" t="n">
        <v>4</v>
      </c>
      <c r="M186" s="8">
        <f>L186*G186</f>
        <v/>
      </c>
      <c r="P186" s="9" t="n"/>
    </row>
    <row r="187">
      <c r="A187" s="13" t="inlineStr">
        <is>
          <t>Aspect of Manticore / Aspecto da Mantícora</t>
        </is>
      </c>
      <c r="B187" s="13" t="inlineStr">
        <is>
          <t>Enchantment — Aura / Encantamento — Aura</t>
        </is>
      </c>
      <c r="C187" s="13" t="inlineStr">
        <is>
          <t>Common / Comum</t>
        </is>
      </c>
      <c r="D187" s="13"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87" s="13" t="inlineStr">
        <is>
          <t>{2}{R}</t>
        </is>
      </c>
      <c r="F187" s="13" t="inlineStr">
        <is>
          <t>Vermelho</t>
        </is>
      </c>
      <c r="G187" s="8" t="n">
        <v>0.03</v>
      </c>
      <c r="H187" s="13" t="inlineStr">
        <is>
          <t>Theros Beyond Death (THB)</t>
        </is>
      </c>
      <c r="I187" s="13" t="inlineStr">
        <is>
          <t>Não</t>
        </is>
      </c>
      <c r="J187" s="13" t="n">
        <v>2020</v>
      </c>
      <c r="L187" s="13" t="n">
        <v>1</v>
      </c>
      <c r="M187" s="8">
        <f>L187*G187</f>
        <v/>
      </c>
      <c r="P187" s="9" t="n"/>
    </row>
    <row r="188">
      <c r="A188" s="13" t="inlineStr">
        <is>
          <t>Assembly-Worker / Operário de Linha de Montagem</t>
        </is>
      </c>
      <c r="B188" s="13" t="inlineStr">
        <is>
          <t>Artifact Creature — Assembly-Worker / Criatura Artefato — Operário de Linha de Montagem</t>
        </is>
      </c>
      <c r="C188" s="13" t="inlineStr">
        <is>
          <t>Common / Comum</t>
        </is>
      </c>
      <c r="D188" s="13" t="inlineStr">
        <is>
          <t>{T}: Target Assembly-Worker creature gets +1/+1 until end of turn. / {T}: A criatura Operário de Linha de Montagem alvo recebe +1/+1 até o final do turno.</t>
        </is>
      </c>
      <c r="E188" s="13" t="inlineStr">
        <is>
          <t>{3}</t>
        </is>
      </c>
      <c r="F188" s="13" t="inlineStr">
        <is>
          <t>Incolor</t>
        </is>
      </c>
      <c r="G188" s="8" t="n">
        <v>0.17</v>
      </c>
      <c r="H188" s="13" t="inlineStr">
        <is>
          <t>Jumpstart 2022 (J22)</t>
        </is>
      </c>
      <c r="I188" s="13" t="inlineStr">
        <is>
          <t>No</t>
        </is>
      </c>
      <c r="J188" s="13" t="n">
        <v>2022</v>
      </c>
      <c r="K188" s="10" t="n">
        <v>46055</v>
      </c>
      <c r="L188" s="13" t="n">
        <v>1</v>
      </c>
      <c r="M188" s="8">
        <f>L188*G188</f>
        <v/>
      </c>
      <c r="P188" s="9" t="n"/>
    </row>
    <row r="189">
      <c r="A189" s="13" t="inlineStr">
        <is>
          <t>Assert Perfection</t>
        </is>
      </c>
      <c r="B189" s="13" t="inlineStr">
        <is>
          <t>Sorcery</t>
        </is>
      </c>
      <c r="C189" s="13" t="inlineStr">
        <is>
          <t>Common</t>
        </is>
      </c>
      <c r="D189" s="13" t="inlineStr">
        <is>
          <t>Target creature you control gets +1/+0 until end of turn. It deals damage equal to its power to up to one target creature an opponent controls.</t>
        </is>
      </c>
      <c r="E189" s="13" t="inlineStr">
        <is>
          <t>{1}{G}</t>
        </is>
      </c>
      <c r="F189" s="13" t="inlineStr">
        <is>
          <t>Verde</t>
        </is>
      </c>
      <c r="G189" s="8" t="n">
        <v>0.1</v>
      </c>
      <c r="H189" s="13" t="inlineStr">
        <is>
          <t>Lorwyn Eclipsed (ECL)</t>
        </is>
      </c>
      <c r="I189" s="13" t="inlineStr">
        <is>
          <t>Não</t>
        </is>
      </c>
      <c r="J189" s="13" t="n">
        <v>2026</v>
      </c>
      <c r="L189" s="13" t="n">
        <v>1</v>
      </c>
      <c r="M189" s="8">
        <f>L189*G189</f>
        <v/>
      </c>
      <c r="P189" s="9" t="n"/>
    </row>
    <row r="190">
      <c r="A190" s="13" t="inlineStr">
        <is>
          <t>Assistente de Oficina / Workshop Assistant</t>
        </is>
      </c>
      <c r="B190" s="13" t="inlineStr">
        <is>
          <t>Artifact Creature — Construct / Criatura Artefato — Constructo</t>
        </is>
      </c>
      <c r="C190" s="13" t="inlineStr">
        <is>
          <t>Common / Comum</t>
        </is>
      </c>
      <c r="D190" s="13" t="inlineStr">
        <is>
          <t>When Workshop Assistant dies, return another target artifact card from your graveyard to your hand. / Quando Assistente de Oficina morrer, devolva outro card de artefato alvo de seu cemitério para sua mão.</t>
        </is>
      </c>
      <c r="E190" s="13" t="inlineStr">
        <is>
          <t>{3}</t>
        </is>
      </c>
      <c r="F190" s="13" t="inlineStr">
        <is>
          <t>Incolor</t>
        </is>
      </c>
      <c r="G190" s="8" t="n">
        <v>0.03</v>
      </c>
      <c r="H190" s="13" t="inlineStr">
        <is>
          <t>Kaladesh (KLD)</t>
        </is>
      </c>
      <c r="I190" s="13" t="inlineStr">
        <is>
          <t>No</t>
        </is>
      </c>
      <c r="J190" s="13" t="n">
        <v>2016</v>
      </c>
      <c r="K190" s="10" t="n">
        <v>46054</v>
      </c>
      <c r="L190" s="13" t="n">
        <v>1</v>
      </c>
      <c r="M190" s="8">
        <f>L190*G190</f>
        <v/>
      </c>
      <c r="P190" s="9" t="n"/>
    </row>
    <row r="191">
      <c r="A191" s="13" t="inlineStr">
        <is>
          <t>Astral Confrontation / Confronto Astral</t>
        </is>
      </c>
      <c r="B191" s="13" t="inlineStr">
        <is>
          <t>Instant / Mágica Instantânea</t>
        </is>
      </c>
      <c r="C191" s="13" t="inlineStr">
        <is>
          <t>Common / Comum</t>
        </is>
      </c>
      <c r="D191" s="13" t="inlineStr">
        <is>
          <t>This spell costs {1} less to cast for each opponent you're attacking. Exile target creature. / Esta mágica custa {1} a menos para ser conjurada para cada oponente que você esteja atacando. Exile a criatura alvo.</t>
        </is>
      </c>
      <c r="E191" s="13" t="inlineStr">
        <is>
          <t>{4}{W}</t>
        </is>
      </c>
      <c r="F191" s="13" t="inlineStr">
        <is>
          <t>Branco</t>
        </is>
      </c>
      <c r="G191" s="8" t="n">
        <v>0.06</v>
      </c>
      <c r="H191" s="13" t="inlineStr">
        <is>
          <t>Commander Legends: Battle for Baldur's Gate (CLB)</t>
        </is>
      </c>
      <c r="I191" s="13" t="inlineStr">
        <is>
          <t>Não</t>
        </is>
      </c>
      <c r="J191" s="13" t="n">
        <v>2022</v>
      </c>
      <c r="L191" s="13" t="n">
        <v>1</v>
      </c>
      <c r="M191" s="8">
        <f>L191*G191</f>
        <v/>
      </c>
      <c r="P191" s="9" t="n"/>
    </row>
    <row r="192">
      <c r="A192" s="13" t="inlineStr">
        <is>
          <t>Astral Wingspan / Envergadura Astral</t>
        </is>
      </c>
      <c r="B192" s="13" t="inlineStr">
        <is>
          <t>Enchantment — Aura / Encantamento — Aura</t>
        </is>
      </c>
      <c r="C192" s="13" t="inlineStr">
        <is>
          <t>Uncommon / Incomum</t>
        </is>
      </c>
      <c r="D192" s="13"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192" s="13" t="inlineStr">
        <is>
          <t>{4}{U}</t>
        </is>
      </c>
      <c r="F192" s="13" t="inlineStr">
        <is>
          <t>Azul</t>
        </is>
      </c>
      <c r="G192" s="8" t="n">
        <v>0.04</v>
      </c>
      <c r="H192" s="13" t="inlineStr">
        <is>
          <t>March of the Machine (MOM)</t>
        </is>
      </c>
      <c r="I192" s="13" t="inlineStr">
        <is>
          <t>Não</t>
        </is>
      </c>
      <c r="J192" s="13" t="n">
        <v>2023</v>
      </c>
      <c r="L192" s="13" t="n">
        <v>1</v>
      </c>
      <c r="M192" s="8">
        <f>L192*G192</f>
        <v/>
      </c>
      <c r="P192" s="9" t="n"/>
    </row>
    <row r="193">
      <c r="A193" s="13" t="inlineStr">
        <is>
          <t>Astrologian's Planisphere / Planisfério do Astrólogo</t>
        </is>
      </c>
      <c r="B193" s="13" t="inlineStr">
        <is>
          <t>Artefato — Equipamento</t>
        </is>
      </c>
      <c r="C193" s="13" t="inlineStr">
        <is>
          <t>Rara</t>
        </is>
      </c>
      <c r="D193" s="13"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193" s="13" t="inlineStr">
        <is>
          <t>1{U}</t>
        </is>
      </c>
      <c r="F193" s="13" t="inlineStr">
        <is>
          <t>Azul</t>
        </is>
      </c>
      <c r="G193" s="8" t="n">
        <v>3.2</v>
      </c>
      <c r="H193" s="13" t="inlineStr">
        <is>
          <t>Final Fantasy</t>
        </is>
      </c>
      <c r="I193" s="13" t="inlineStr">
        <is>
          <t>Não</t>
        </is>
      </c>
      <c r="J193" s="13" t="n">
        <v>2025</v>
      </c>
      <c r="L193" s="13" t="n">
        <v>1</v>
      </c>
      <c r="M193" s="8">
        <f>L193*G193</f>
        <v/>
      </c>
      <c r="P193" s="9" t="n"/>
    </row>
    <row r="194">
      <c r="A194" s="13" t="inlineStr">
        <is>
          <t>Athreos, God of Passage / Athreos, Deus da Passagem</t>
        </is>
      </c>
      <c r="B194" s="13" t="inlineStr">
        <is>
          <t>Criatura Encantamento Lendária — Deus</t>
        </is>
      </c>
      <c r="C194" s="13" t="inlineStr">
        <is>
          <t>Mítica</t>
        </is>
      </c>
      <c r="D194" s="13" t="inlineStr">
        <is>
          <t>Indestrutível Enquanto sua devoção ao branco e ao preto for menor que sete, Athreos não será uma criatura. Toda vez que outra criatura que você controla morrer, devolva aquele card para sua mão, a menos que o oponente alvo pague 3 vidas.</t>
        </is>
      </c>
      <c r="E194" s="13" t="inlineStr">
        <is>
          <t>1WB</t>
        </is>
      </c>
      <c r="F194" s="13" t="inlineStr">
        <is>
          <t>Multicolorido</t>
        </is>
      </c>
      <c r="G194" s="8" t="n">
        <v>0.41</v>
      </c>
      <c r="H194" s="13" t="inlineStr">
        <is>
          <t>Journey into Nyx</t>
        </is>
      </c>
      <c r="I194" s="13" t="inlineStr">
        <is>
          <t>Não</t>
        </is>
      </c>
      <c r="J194" s="13" t="n">
        <v>2014</v>
      </c>
      <c r="K194" s="10" t="n">
        <v>46117</v>
      </c>
      <c r="L194" s="13" t="n">
        <v>1</v>
      </c>
      <c r="M194" s="8">
        <f>L194*G194</f>
        <v/>
      </c>
      <c r="P194" s="9" t="n"/>
    </row>
    <row r="195">
      <c r="A195" s="13" t="inlineStr">
        <is>
          <t>Atlantis Attacks / Ataque de Atlântida</t>
        </is>
      </c>
      <c r="B195" s="13" t="inlineStr">
        <is>
          <t>Feitiço</t>
        </is>
      </c>
      <c r="C195" s="13" t="inlineStr">
        <is>
          <t>Comum</t>
        </is>
      </c>
      <c r="D195" s="13"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195" s="13" t="inlineStr">
        <is>
          <t>5{U}{U}</t>
        </is>
      </c>
      <c r="F195" s="13" t="inlineStr">
        <is>
          <t>Azul</t>
        </is>
      </c>
      <c r="G195" s="8" t="n">
        <v>0.13</v>
      </c>
      <c r="H195" s="13" t="inlineStr">
        <is>
          <t>Marvel</t>
        </is>
      </c>
      <c r="I195" s="13" t="inlineStr">
        <is>
          <t>Não</t>
        </is>
      </c>
      <c r="J195" s="13" t="n">
        <v>2026</v>
      </c>
      <c r="L195" s="13" t="n">
        <v>1</v>
      </c>
      <c r="M195" s="8">
        <f>L195*G195</f>
        <v/>
      </c>
      <c r="P195" s="9" t="n"/>
    </row>
    <row r="196">
      <c r="A196" s="13" t="inlineStr">
        <is>
          <t>Atog / Atogue</t>
        </is>
      </c>
      <c r="B196" s="13" t="inlineStr">
        <is>
          <t>Creature — Atog / Criatura — Atogue</t>
        </is>
      </c>
      <c r="C196" s="13" t="inlineStr">
        <is>
          <t>Common / Comum</t>
        </is>
      </c>
      <c r="D196" s="13" t="inlineStr">
        <is>
          <t>Sacrifice an artifact: This creature gets +2/+2 until end of turn. / Sacrifique um artefato: Atogue recebe +2/+2 até o final do turno.</t>
        </is>
      </c>
      <c r="E196" s="13" t="inlineStr">
        <is>
          <t>{1}{R}</t>
        </is>
      </c>
      <c r="F196" s="13" t="inlineStr">
        <is>
          <t>Vermelho</t>
        </is>
      </c>
      <c r="G196" s="8" t="n">
        <v>0.25</v>
      </c>
      <c r="H196" s="13" t="inlineStr">
        <is>
          <t>Revised Edition</t>
        </is>
      </c>
      <c r="I196" s="13" t="inlineStr">
        <is>
          <t>Não</t>
        </is>
      </c>
      <c r="J196" s="13" t="n">
        <v>1994</v>
      </c>
      <c r="K196" s="10" t="n">
        <v>46054</v>
      </c>
      <c r="L196" s="13" t="n">
        <v>1</v>
      </c>
      <c r="M196" s="8">
        <f>L196*G196</f>
        <v/>
      </c>
      <c r="P196" s="9" t="n"/>
    </row>
    <row r="197">
      <c r="A197" s="13" t="inlineStr">
        <is>
          <t>Augury Raven / Corvo do Augúrio</t>
        </is>
      </c>
      <c r="B197" s="13" t="inlineStr">
        <is>
          <t>Creature — Bird / Criatura — Ave</t>
        </is>
      </c>
      <c r="C197" s="13" t="inlineStr">
        <is>
          <t>Common / Comum</t>
        </is>
      </c>
      <c r="D197" s="13"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197" s="13" t="inlineStr">
        <is>
          <t>{3}{U}</t>
        </is>
      </c>
      <c r="F197" s="13" t="inlineStr">
        <is>
          <t>Azul</t>
        </is>
      </c>
      <c r="G197" s="8" t="n">
        <v>0.05</v>
      </c>
      <c r="H197" s="13" t="inlineStr">
        <is>
          <t>Kaldheim (KHM)</t>
        </is>
      </c>
      <c r="I197" s="13" t="inlineStr">
        <is>
          <t>Não</t>
        </is>
      </c>
      <c r="J197" s="13" t="n">
        <v>2021</v>
      </c>
      <c r="K197" s="10" t="n">
        <v>46084</v>
      </c>
      <c r="L197" s="13" t="n">
        <v>1</v>
      </c>
      <c r="M197" s="8">
        <f>L197*G197</f>
        <v/>
      </c>
      <c r="P197" s="9" t="n"/>
    </row>
    <row r="198">
      <c r="A198" s="13" t="inlineStr">
        <is>
          <t>Auntie's Sentence</t>
        </is>
      </c>
      <c r="B198" s="13" t="inlineStr">
        <is>
          <t>Sorcery</t>
        </is>
      </c>
      <c r="C198" s="13" t="inlineStr">
        <is>
          <t>Common</t>
        </is>
      </c>
      <c r="D198" s="13" t="inlineStr">
        <is>
          <t>Choose one — Target opponent reveals their hand. You choose a nonland permanent card from it. That player discards that card. Target creature gets -2/-2 until end of turn.</t>
        </is>
      </c>
      <c r="E198" s="13" t="inlineStr">
        <is>
          <t>{1}{B}</t>
        </is>
      </c>
      <c r="F198" s="13" t="inlineStr">
        <is>
          <t>Preto</t>
        </is>
      </c>
      <c r="G198" s="8" t="n">
        <v>0.1</v>
      </c>
      <c r="H198" s="13" t="inlineStr">
        <is>
          <t>Lorwyn Eclipsed (ECL)</t>
        </is>
      </c>
      <c r="I198" s="13" t="inlineStr">
        <is>
          <t>Não</t>
        </is>
      </c>
      <c r="J198" s="13" t="n">
        <v>2026</v>
      </c>
      <c r="L198" s="13" t="n">
        <v>1</v>
      </c>
      <c r="M198" s="8">
        <f>L198*G198</f>
        <v/>
      </c>
      <c r="P198" s="9" t="n"/>
    </row>
    <row r="199">
      <c r="A199" s="13" t="inlineStr">
        <is>
          <t>Auron's Inspiration / Inspiração de Auron</t>
        </is>
      </c>
      <c r="B199" s="13" t="inlineStr">
        <is>
          <t>Mágica Instantânea</t>
        </is>
      </c>
      <c r="C199" s="13" t="inlineStr">
        <is>
          <t>Incomum</t>
        </is>
      </c>
      <c r="D199" s="13" t="inlineStr">
        <is>
          <t>As criaturas atacantes recebem +2/+0 até o final do turno. Recapitular {2}{W}{W} (Você pode conjurar este card de seu cemitério pagando seu custo de recapitular. Depois, exile-o.)</t>
        </is>
      </c>
      <c r="E199" s="13" t="inlineStr">
        <is>
          <t>2{W}</t>
        </is>
      </c>
      <c r="F199" s="13" t="inlineStr">
        <is>
          <t>Branco</t>
        </is>
      </c>
      <c r="G199" s="8" t="n">
        <v>0.19</v>
      </c>
      <c r="H199" s="13" t="inlineStr">
        <is>
          <t>Final Fantasy</t>
        </is>
      </c>
      <c r="I199" s="13" t="inlineStr">
        <is>
          <t>Não</t>
        </is>
      </c>
      <c r="J199" s="13" t="n">
        <v>2025</v>
      </c>
      <c r="L199" s="13" t="n">
        <v>1</v>
      </c>
      <c r="M199" s="8">
        <f>L199*G199</f>
        <v/>
      </c>
      <c r="P199" s="9" t="n"/>
    </row>
    <row r="200">
      <c r="A200" s="13" t="inlineStr">
        <is>
          <t>Automontante / Self-Assembler</t>
        </is>
      </c>
      <c r="B200" s="13" t="inlineStr">
        <is>
          <t>Artifact Creature — Assembly-Worker / Criatura Artefato — Operário de Linha de Montagem</t>
        </is>
      </c>
      <c r="C200" s="13" t="inlineStr">
        <is>
          <t>Common / Comum</t>
        </is>
      </c>
      <c r="D200" s="13"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200" s="13" t="inlineStr">
        <is>
          <t>{5}</t>
        </is>
      </c>
      <c r="F200" s="13" t="inlineStr">
        <is>
          <t>Incolor</t>
        </is>
      </c>
      <c r="G200" s="8" t="n">
        <v>0.03</v>
      </c>
      <c r="H200" s="13" t="inlineStr">
        <is>
          <t>Kaladesh (KLD)</t>
        </is>
      </c>
      <c r="I200" s="13" t="inlineStr">
        <is>
          <t>No</t>
        </is>
      </c>
      <c r="J200" s="13" t="n">
        <v>2016</v>
      </c>
      <c r="K200" s="10" t="n">
        <v>46116</v>
      </c>
      <c r="L200" s="13" t="n">
        <v>1</v>
      </c>
      <c r="M200" s="8">
        <f>L200*G200</f>
        <v/>
      </c>
      <c r="P200" s="9" t="n"/>
    </row>
    <row r="201">
      <c r="A201" s="13" t="inlineStr">
        <is>
          <t>Autorreplicante de Mishra / Mishra's Self-Replicator</t>
        </is>
      </c>
      <c r="B201" s="13" t="inlineStr">
        <is>
          <t>Artifact Creature — Assembly-Worker / Criatura Artefato — Operário de Linha de Montagem</t>
        </is>
      </c>
      <c r="C201" s="13" t="inlineStr">
        <is>
          <t>Rare / Rara</t>
        </is>
      </c>
      <c r="D201" s="13"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201" s="13" t="inlineStr">
        <is>
          <t>{5}</t>
        </is>
      </c>
      <c r="F201" s="13" t="inlineStr">
        <is>
          <t>Incolor</t>
        </is>
      </c>
      <c r="G201" s="8" t="n">
        <v>0.25</v>
      </c>
      <c r="H201" s="13" t="inlineStr">
        <is>
          <t>Dominaria (DOM)</t>
        </is>
      </c>
      <c r="I201" s="13" t="inlineStr">
        <is>
          <t>No</t>
        </is>
      </c>
      <c r="J201" s="13" t="n">
        <v>2018</v>
      </c>
      <c r="K201" s="10" t="n">
        <v>46055</v>
      </c>
      <c r="L201" s="13" t="n">
        <v>1</v>
      </c>
      <c r="M201" s="8">
        <f>L201*G201</f>
        <v/>
      </c>
      <c r="P201" s="9" t="n"/>
    </row>
    <row r="202">
      <c r="A202" s="13" t="inlineStr">
        <is>
          <t>Avacynian Priest / Sacerdote Avacyniano</t>
        </is>
      </c>
      <c r="B202" s="13" t="inlineStr">
        <is>
          <t>Creature — Human Cleric / Criatura — Humano Clérigo</t>
        </is>
      </c>
      <c r="C202" s="13" t="inlineStr">
        <is>
          <t>Common / Comum</t>
        </is>
      </c>
      <c r="D202" s="13" t="inlineStr">
        <is>
          <t>{1}, {T}: Tap target non-Human creature. / {1}, {T}: Vire a criatura alvo que não seja do tipo Humano.</t>
        </is>
      </c>
      <c r="E202" s="13" t="inlineStr">
        <is>
          <t>{1}{W}</t>
        </is>
      </c>
      <c r="F202" s="13" t="inlineStr">
        <is>
          <t>Branco</t>
        </is>
      </c>
      <c r="G202" s="8" t="n">
        <v>0.06</v>
      </c>
      <c r="H202" s="13" t="inlineStr">
        <is>
          <t>Innistrad (ISD)</t>
        </is>
      </c>
      <c r="I202" s="13" t="inlineStr">
        <is>
          <t>Não</t>
        </is>
      </c>
      <c r="J202" s="13" t="n">
        <v>2011</v>
      </c>
      <c r="K202" s="10" t="n">
        <v>46054</v>
      </c>
      <c r="L202" s="13" t="n">
        <v>1</v>
      </c>
      <c r="M202" s="8">
        <f>L202*G202</f>
        <v/>
      </c>
      <c r="P202" s="9" t="n"/>
    </row>
    <row r="203">
      <c r="A203" s="13" t="inlineStr">
        <is>
          <t>Avalanche</t>
        </is>
      </c>
      <c r="B203" s="13" t="inlineStr">
        <is>
          <t>Sorcery</t>
        </is>
      </c>
      <c r="C203" s="13" t="inlineStr">
        <is>
          <t>Uncommon / Incomum</t>
        </is>
      </c>
      <c r="D203" s="13" t="inlineStr">
        <is>
          <t>Destroy X target snow lands.</t>
        </is>
      </c>
      <c r="E203" s="13" t="inlineStr">
        <is>
          <t>{X}{2}{R}{R}</t>
        </is>
      </c>
      <c r="F203" s="13" t="inlineStr">
        <is>
          <t>Vermelho</t>
        </is>
      </c>
      <c r="G203" s="8" t="n">
        <v>0.2</v>
      </c>
      <c r="H203" s="13" t="inlineStr">
        <is>
          <t>Ice Age (ICE)</t>
        </is>
      </c>
      <c r="I203" s="13" t="inlineStr">
        <is>
          <t>Não</t>
        </is>
      </c>
      <c r="J203" s="13" t="n">
        <v>1995</v>
      </c>
      <c r="L203" s="13" t="n">
        <v>1</v>
      </c>
      <c r="M203" s="8">
        <f>L203*G203</f>
        <v/>
      </c>
      <c r="P203" s="9" t="n"/>
    </row>
    <row r="204">
      <c r="A204" s="13" t="inlineStr">
        <is>
          <t>Avatar Enthusiasts</t>
        </is>
      </c>
      <c r="B204" s="13" t="inlineStr">
        <is>
          <t>Creature — Human Peasant Ally</t>
        </is>
      </c>
      <c r="C204" s="13" t="inlineStr">
        <is>
          <t>Common / Comum</t>
        </is>
      </c>
      <c r="D204" s="13" t="inlineStr">
        <is>
          <t>Whenever another Ally you control enters, put a +1/+1 counter on this creature.</t>
        </is>
      </c>
      <c r="E204" s="13" t="inlineStr">
        <is>
          <t>{2}{W}</t>
        </is>
      </c>
      <c r="F204" s="13" t="inlineStr">
        <is>
          <t>Branco</t>
        </is>
      </c>
      <c r="G204" s="8" t="n">
        <v>0.05</v>
      </c>
      <c r="H204" s="13" t="inlineStr">
        <is>
          <t>Avatar: The Last Airbender (TLA)</t>
        </is>
      </c>
      <c r="I204" s="13" t="inlineStr">
        <is>
          <t>Não</t>
        </is>
      </c>
      <c r="J204" s="13" t="n">
        <v>2025</v>
      </c>
      <c r="K204" s="10" t="n">
        <v>46055</v>
      </c>
      <c r="L204" s="13" t="n">
        <v>3</v>
      </c>
      <c r="M204" s="8">
        <f>L204*G204</f>
        <v/>
      </c>
      <c r="P204" s="9" t="n"/>
    </row>
    <row r="205">
      <c r="A205" s="13" t="inlineStr">
        <is>
          <t>Avatar Enthusiasts</t>
        </is>
      </c>
      <c r="B205" s="13" t="inlineStr">
        <is>
          <t>Creature — Human Peasant Ally</t>
        </is>
      </c>
      <c r="C205" s="13" t="inlineStr">
        <is>
          <t>Common / Comum</t>
        </is>
      </c>
      <c r="D205" s="13" t="inlineStr">
        <is>
          <t>Whenever another Ally you control enters, put a +1/+1 counter on this creature.</t>
        </is>
      </c>
      <c r="E205" s="13" t="inlineStr">
        <is>
          <t>{2}{W}</t>
        </is>
      </c>
      <c r="F205" s="13" t="inlineStr">
        <is>
          <t>Branco</t>
        </is>
      </c>
      <c r="G205" s="8" t="n">
        <v>0.05</v>
      </c>
      <c r="H205" s="13" t="inlineStr">
        <is>
          <t>Avatar: The Last Airbender (TLA)</t>
        </is>
      </c>
      <c r="I205" s="13" t="inlineStr">
        <is>
          <t>Não</t>
        </is>
      </c>
      <c r="J205" s="13" t="n">
        <v>2025</v>
      </c>
      <c r="K205" s="10" t="n">
        <v>46055</v>
      </c>
      <c r="L205" s="13" t="n">
        <v>2</v>
      </c>
      <c r="M205" s="8">
        <f>L205*G205</f>
        <v/>
      </c>
      <c r="P205" s="9" t="n"/>
    </row>
    <row r="206">
      <c r="A206" s="13" t="inlineStr">
        <is>
          <t>Avatar of Hope / Avatar da Esperança</t>
        </is>
      </c>
      <c r="B206" s="13" t="inlineStr">
        <is>
          <t>Creature — Avatar</t>
        </is>
      </c>
      <c r="C206" s="13" t="inlineStr">
        <is>
          <t>Rare</t>
        </is>
      </c>
      <c r="D206" s="13" t="inlineStr">
        <is>
          <t>Flying. If you have 3 life or less, Avatar of Hope costs {6} less to play. Avatar of Hope may block any number of creatures.</t>
        </is>
      </c>
      <c r="E206" s="13" t="inlineStr">
        <is>
          <t>{6}{W}{W}</t>
        </is>
      </c>
      <c r="F206" s="13" t="inlineStr">
        <is>
          <t>White</t>
        </is>
      </c>
      <c r="G206" s="8" t="n">
        <v>1.25</v>
      </c>
      <c r="H206" s="13" t="inlineStr">
        <is>
          <t>Prophecy (PCY)</t>
        </is>
      </c>
      <c r="I206" s="13" t="inlineStr">
        <is>
          <t>No</t>
        </is>
      </c>
      <c r="J206" s="13" t="n">
        <v>2000</v>
      </c>
      <c r="K206" s="10" t="n">
        <v>46269</v>
      </c>
      <c r="L206" s="13" t="n">
        <v>2</v>
      </c>
      <c r="M206" s="8">
        <f>L206*G206</f>
        <v/>
      </c>
      <c r="P206" s="9" t="n"/>
    </row>
    <row r="207">
      <c r="A207" s="13" t="inlineStr">
        <is>
          <t>Aven Tactician / Estrategista Aviano</t>
        </is>
      </c>
      <c r="B207" s="13" t="inlineStr">
        <is>
          <t>Creature — Bird Soldier / Criatura — Ave Soldado</t>
        </is>
      </c>
      <c r="C207" s="13" t="inlineStr">
        <is>
          <t>Common / Comum</t>
        </is>
      </c>
      <c r="D207" s="13"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207" s="13" t="inlineStr">
        <is>
          <t>{4}{W}</t>
        </is>
      </c>
      <c r="F207" s="13" t="inlineStr">
        <is>
          <t>Branco</t>
        </is>
      </c>
      <c r="G207" s="8" t="n">
        <v>0.05</v>
      </c>
      <c r="H207" s="13" t="inlineStr">
        <is>
          <t>Dragons of Tarkir (DTK)</t>
        </is>
      </c>
      <c r="I207" s="13" t="inlineStr">
        <is>
          <t>Não</t>
        </is>
      </c>
      <c r="J207" s="13" t="n">
        <v>2015</v>
      </c>
      <c r="K207" s="10" t="n">
        <v>46083</v>
      </c>
      <c r="L207" s="13" t="n">
        <v>1</v>
      </c>
      <c r="M207" s="8">
        <f>L207*G207</f>
        <v/>
      </c>
      <c r="P207" s="9" t="n"/>
    </row>
    <row r="208">
      <c r="A208" s="13" t="inlineStr">
        <is>
          <t>Avian Changeling / Morfolóide Áleo</t>
        </is>
      </c>
      <c r="B208" s="13" t="inlineStr">
        <is>
          <t>Creature — Shapeshifter / Criatura — Metamorfo</t>
        </is>
      </c>
      <c r="C208" s="13" t="inlineStr">
        <is>
          <t>Common / Comum</t>
        </is>
      </c>
      <c r="D208" s="13" t="inlineStr">
        <is>
          <t>Changeling (This card is every creature type.) Flying / Morfolóide (Este card é de todos os tipos de criatura sempre.) Voar</t>
        </is>
      </c>
      <c r="E208" s="13" t="inlineStr">
        <is>
          <t>{2}{W}</t>
        </is>
      </c>
      <c r="F208" s="13" t="inlineStr">
        <is>
          <t>Branco</t>
        </is>
      </c>
      <c r="G208" s="8" t="n">
        <v>0.14</v>
      </c>
      <c r="H208" s="13" t="inlineStr">
        <is>
          <t>Modern Masters (MMA)</t>
        </is>
      </c>
      <c r="I208" s="13" t="inlineStr">
        <is>
          <t>Não</t>
        </is>
      </c>
      <c r="J208" s="13" t="n">
        <v>2013</v>
      </c>
      <c r="K208" s="10" t="n">
        <v>46055</v>
      </c>
      <c r="L208" s="13" t="n">
        <v>1</v>
      </c>
      <c r="M208" s="8">
        <f>L208*G208</f>
        <v/>
      </c>
      <c r="P208" s="9" t="n"/>
    </row>
    <row r="209">
      <c r="A209" s="13" t="inlineStr">
        <is>
          <t>Awakened Amalgam / Despertadora das Forças Selvagens</t>
        </is>
      </c>
      <c r="B209" s="13" t="inlineStr">
        <is>
          <t>Creature — Merfolk Shaman / Criatura — Tritão Xamã</t>
        </is>
      </c>
      <c r="C209" s="13" t="inlineStr">
        <is>
          <t>Rare / Rara</t>
        </is>
      </c>
      <c r="D209" s="13"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209" s="13" t="inlineStr">
        <is>
          <t>{2}{G}{G}</t>
        </is>
      </c>
      <c r="F209" s="13" t="inlineStr">
        <is>
          <t>Verde</t>
        </is>
      </c>
      <c r="G209" s="8" t="n">
        <v>0.17</v>
      </c>
      <c r="H209" s="13" t="inlineStr">
        <is>
          <t>Ixalan (XLN)</t>
        </is>
      </c>
      <c r="I209" s="13" t="inlineStr">
        <is>
          <t>Não</t>
        </is>
      </c>
      <c r="J209" s="13" t="n">
        <v>2017</v>
      </c>
      <c r="K209" s="10" t="n">
        <v>46084</v>
      </c>
      <c r="L209" s="13" t="n">
        <v>1</v>
      </c>
      <c r="M209" s="8">
        <f>L209*G209</f>
        <v/>
      </c>
      <c r="P209" s="9" t="n"/>
    </row>
    <row r="210">
      <c r="A210" s="13" t="inlineStr">
        <is>
          <t>Axgard Cavalry / Cavalaria de Axgard</t>
        </is>
      </c>
      <c r="B210" s="13" t="inlineStr">
        <is>
          <t>Creature — Dwarf Berserker / Criatura — Anão Amoque</t>
        </is>
      </c>
      <c r="C210" s="13" t="inlineStr">
        <is>
          <t>Common / Comum</t>
        </is>
      </c>
      <c r="D210" s="13" t="inlineStr">
        <is>
          <t>{T}: Target creature gains haste until end of turn. (It can attack and {T} this turn.) / {T}: A criatura alvo ganha ímpeto até o final do turno.</t>
        </is>
      </c>
      <c r="E210" s="13" t="inlineStr">
        <is>
          <t>{1}{R}</t>
        </is>
      </c>
      <c r="F210" s="13" t="inlineStr">
        <is>
          <t>Vermelho</t>
        </is>
      </c>
      <c r="G210" s="8" t="n">
        <v>0.08</v>
      </c>
      <c r="H210" s="13" t="inlineStr">
        <is>
          <t>Foundations (FDN)</t>
        </is>
      </c>
      <c r="I210" s="13" t="inlineStr">
        <is>
          <t>Não</t>
        </is>
      </c>
      <c r="J210" s="13" t="n">
        <v>2024</v>
      </c>
      <c r="K210" s="10" t="n">
        <v>46055</v>
      </c>
      <c r="L210" s="13" t="n">
        <v>1</v>
      </c>
      <c r="M210" s="8">
        <f>L210*G210</f>
        <v/>
      </c>
      <c r="P210" s="9" t="n"/>
    </row>
    <row r="211">
      <c r="A211" s="13" t="inlineStr">
        <is>
          <t>Ayesha Tanaka</t>
        </is>
      </c>
      <c r="B211" s="13" t="inlineStr">
        <is>
          <t>Summon Legend</t>
        </is>
      </c>
      <c r="C211" s="13" t="inlineStr">
        <is>
          <t>Rara / Rare</t>
        </is>
      </c>
      <c r="D211" s="13" t="inlineStr">
        <is>
          <t>Banding. {T}: Counter target artifact effect requiring an activation cost, unless the artifact's controller pays {W}. Play this ability as an interrupt.</t>
        </is>
      </c>
      <c r="E211" s="13" t="inlineStr">
        <is>
          <t>{W}{W}{U}{U}</t>
        </is>
      </c>
      <c r="F211" s="13" t="inlineStr">
        <is>
          <t>Branco e Azul / White and Blue</t>
        </is>
      </c>
      <c r="G211" s="8" t="n">
        <v>1</v>
      </c>
      <c r="H211" s="13" t="inlineStr">
        <is>
          <t>Chronicles (CHR)</t>
        </is>
      </c>
      <c r="I211" s="13" t="inlineStr">
        <is>
          <t>Não</t>
        </is>
      </c>
      <c r="J211" s="13" t="n">
        <v>1995</v>
      </c>
      <c r="K211" s="10" t="n">
        <v>46055</v>
      </c>
      <c r="L211" s="13" t="n">
        <v>1</v>
      </c>
      <c r="M211" s="8">
        <f>L211*G211</f>
        <v/>
      </c>
      <c r="N211" s="13" t="inlineStr">
        <is>
          <t>Pasta</t>
        </is>
      </c>
      <c r="P211" s="9" t="n"/>
    </row>
    <row r="212">
      <c r="A212" s="13" t="inlineStr">
        <is>
          <t>Azorius Arrester / Encarceradora Azorius</t>
        </is>
      </c>
      <c r="B212" s="13" t="inlineStr">
        <is>
          <t>Creature — Human Soldier / Criatura — Humano Soldado</t>
        </is>
      </c>
      <c r="C212" s="13" t="inlineStr">
        <is>
          <t>Common / Comum</t>
        </is>
      </c>
      <c r="D212" s="13"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212" s="13" t="inlineStr">
        <is>
          <t>{1}{W}</t>
        </is>
      </c>
      <c r="F212" s="13" t="inlineStr">
        <is>
          <t>Branco</t>
        </is>
      </c>
      <c r="G212" s="8" t="n">
        <v>0.1</v>
      </c>
      <c r="H212" s="13" t="inlineStr">
        <is>
          <t>Ravnica Remastered (RVR)</t>
        </is>
      </c>
      <c r="I212" s="13" t="inlineStr">
        <is>
          <t>Não</t>
        </is>
      </c>
      <c r="J212" s="13" t="n">
        <v>2024</v>
      </c>
      <c r="K212" s="10" t="n">
        <v>46024</v>
      </c>
      <c r="L212" s="13" t="n">
        <v>1</v>
      </c>
      <c r="M212" s="8">
        <f>L212*G212</f>
        <v/>
      </c>
      <c r="P212" s="9" t="n"/>
    </row>
    <row r="213">
      <c r="A213" s="13" t="inlineStr">
        <is>
          <t>Azorius Guildgate / Portão da Guilda Azorius</t>
        </is>
      </c>
      <c r="B213" s="13" t="inlineStr">
        <is>
          <t>Land — Gate / Terreno — Portão</t>
        </is>
      </c>
      <c r="C213" s="13" t="inlineStr">
        <is>
          <t>Common / Comum</t>
        </is>
      </c>
      <c r="D213" s="13" t="inlineStr">
        <is>
          <t>This land enters tapped. {T}: Add {W} or {U}. / Portão da Guilda Azorius entra no campo de batalha virado. {T}: Adicione {W} ou {U}.</t>
        </is>
      </c>
      <c r="F213" s="13" t="inlineStr">
        <is>
          <t>Azul, Branco</t>
        </is>
      </c>
      <c r="G213" s="8" t="n">
        <v>0.06</v>
      </c>
      <c r="H213" s="13" t="inlineStr">
        <is>
          <t>Ravnica Allegiance (RNA)</t>
        </is>
      </c>
      <c r="I213" s="13" t="inlineStr">
        <is>
          <t>Não</t>
        </is>
      </c>
      <c r="J213" s="13" t="n">
        <v>2019</v>
      </c>
      <c r="L213" s="13" t="n">
        <v>1</v>
      </c>
      <c r="M213" s="8">
        <f>L213*G213</f>
        <v/>
      </c>
      <c r="P213" s="9" t="n"/>
    </row>
    <row r="214">
      <c r="A214" s="13" t="inlineStr">
        <is>
          <t>Azorius Justiciar / Justiciar Azorius</t>
        </is>
      </c>
      <c r="B214" s="13" t="inlineStr">
        <is>
          <t>Creature — Human Wizard / Criatura — Humano Mago</t>
        </is>
      </c>
      <c r="C214" s="13" t="inlineStr">
        <is>
          <t>Uncommon / Incomum</t>
        </is>
      </c>
      <c r="D214" s="13"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214" s="13" t="inlineStr">
        <is>
          <t>{2}{W}{W}</t>
        </is>
      </c>
      <c r="F214" s="13" t="inlineStr">
        <is>
          <t>Branco</t>
        </is>
      </c>
      <c r="G214" s="8" t="n">
        <v>0.13</v>
      </c>
      <c r="H214" s="13" t="inlineStr">
        <is>
          <t>Ravnica Remastered (RVR)</t>
        </is>
      </c>
      <c r="I214" s="13" t="inlineStr">
        <is>
          <t>Não</t>
        </is>
      </c>
      <c r="J214" s="13" t="n">
        <v>2024</v>
      </c>
      <c r="K214" s="10" t="n">
        <v>46055</v>
      </c>
      <c r="L214" s="13" t="n">
        <v>1</v>
      </c>
      <c r="M214" s="8">
        <f>L214*G214</f>
        <v/>
      </c>
      <c r="P214" s="9" t="n"/>
    </row>
    <row r="215">
      <c r="A215" s="13" t="inlineStr">
        <is>
          <t>Azula Always Lies</t>
        </is>
      </c>
      <c r="B215" s="13" t="inlineStr">
        <is>
          <t>Instant — Lesson</t>
        </is>
      </c>
      <c r="C215" s="13" t="inlineStr">
        <is>
          <t>Common / Comum</t>
        </is>
      </c>
      <c r="D215" s="13" t="inlineStr">
        <is>
          <t>Choose one or both — • Target creature gets -1/-1 until end of turn. • Put a +1/+1 counter on target creature.</t>
        </is>
      </c>
      <c r="E215" s="13" t="inlineStr">
        <is>
          <t>{1}{B}</t>
        </is>
      </c>
      <c r="F215" s="13" t="inlineStr">
        <is>
          <t>Preto</t>
        </is>
      </c>
      <c r="G215" s="8" t="n">
        <v>0.04</v>
      </c>
      <c r="H215" s="13" t="inlineStr">
        <is>
          <t>Avatar: The Last Airbender (TLA)</t>
        </is>
      </c>
      <c r="I215" s="13" t="inlineStr">
        <is>
          <t>Não</t>
        </is>
      </c>
      <c r="J215" s="13" t="n">
        <v>2025</v>
      </c>
      <c r="L215" s="13" t="n">
        <v>1</v>
      </c>
      <c r="M215" s="8">
        <f>L215*G215</f>
        <v/>
      </c>
      <c r="P215" s="9" t="n"/>
    </row>
    <row r="216">
      <c r="A216" s="13" t="inlineStr">
        <is>
          <t>Azula, Cunning Usurper</t>
        </is>
      </c>
      <c r="B216" s="13" t="inlineStr">
        <is>
          <t>Legendary Creature — Human Noble Rogue</t>
        </is>
      </c>
      <c r="C216" s="13" t="inlineStr">
        <is>
          <t>Rare / Rara</t>
        </is>
      </c>
      <c r="D216" s="13"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216" s="13" t="inlineStr">
        <is>
          <t>{2}{U}{B}{B}</t>
        </is>
      </c>
      <c r="F216" s="13" t="inlineStr">
        <is>
          <t>Preto, Azul</t>
        </is>
      </c>
      <c r="G216" s="8" t="n">
        <v>2.5</v>
      </c>
      <c r="H216" s="13" t="inlineStr">
        <is>
          <t>Avatar: The Last Airbender (TLA)</t>
        </is>
      </c>
      <c r="I216" s="13" t="inlineStr">
        <is>
          <t>Sim</t>
        </is>
      </c>
      <c r="J216" s="13" t="n">
        <v>2025</v>
      </c>
      <c r="K216" s="10" t="n">
        <v>46116</v>
      </c>
      <c r="L216" s="13" t="n">
        <v>1</v>
      </c>
      <c r="M216" s="8">
        <f>L216*G216</f>
        <v/>
      </c>
      <c r="P216" s="9" t="n"/>
    </row>
    <row r="217">
      <c r="A217" s="13" t="inlineStr">
        <is>
          <t>Backup Agent / Agente de Reforço</t>
        </is>
      </c>
      <c r="B217" s="13" t="inlineStr">
        <is>
          <t>Creature — Human Citizen / Criatura — Humano Cidadão</t>
        </is>
      </c>
      <c r="C217" s="13" t="inlineStr">
        <is>
          <t>Common / Comum</t>
        </is>
      </c>
      <c r="D217" s="13" t="inlineStr">
        <is>
          <t>When this creature enters, put a +1/+1 counter on target creature. / Quando Agente de Reforço entrar no campo de batalha, coloque um marcador +1/+1 na criatura alvo.</t>
        </is>
      </c>
      <c r="E217" s="13" t="inlineStr">
        <is>
          <t>{1}{W}</t>
        </is>
      </c>
      <c r="F217" s="13" t="inlineStr">
        <is>
          <t>Branco</t>
        </is>
      </c>
      <c r="G217" s="8" t="n">
        <v>0.04</v>
      </c>
      <c r="H217" s="13" t="inlineStr">
        <is>
          <t>Streets of New Capenna (SNC)</t>
        </is>
      </c>
      <c r="I217" s="13" t="inlineStr">
        <is>
          <t>Não</t>
        </is>
      </c>
      <c r="J217" s="13" t="n">
        <v>2022</v>
      </c>
      <c r="K217" s="10" t="n">
        <v>46023</v>
      </c>
      <c r="L217" s="13" t="n">
        <v>3</v>
      </c>
      <c r="M217" s="8">
        <f>L217*G217</f>
        <v/>
      </c>
      <c r="P217" s="9" t="n"/>
    </row>
    <row r="218">
      <c r="A218" s="13" t="inlineStr">
        <is>
          <t>Badgermole</t>
        </is>
      </c>
      <c r="B218" s="13" t="inlineStr">
        <is>
          <t>Creature — Badger Mole</t>
        </is>
      </c>
      <c r="C218" s="13" t="inlineStr">
        <is>
          <t>Common / Comum</t>
        </is>
      </c>
      <c r="D218" s="13"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18" s="13" t="inlineStr">
        <is>
          <t>{4}{G}</t>
        </is>
      </c>
      <c r="F218" s="13" t="inlineStr">
        <is>
          <t>Verde</t>
        </is>
      </c>
      <c r="G218" s="8" t="n">
        <v>0.12</v>
      </c>
      <c r="H218" s="13" t="inlineStr">
        <is>
          <t>Avatar: The Last Airbender (TLA)</t>
        </is>
      </c>
      <c r="I218" s="13" t="inlineStr">
        <is>
          <t>Não</t>
        </is>
      </c>
      <c r="J218" s="13" t="n">
        <v>2025</v>
      </c>
      <c r="K218" s="10" t="n">
        <v>46116</v>
      </c>
      <c r="L218" s="13" t="n">
        <v>1</v>
      </c>
      <c r="M218" s="8">
        <f>L218*G218</f>
        <v/>
      </c>
      <c r="P218" s="9" t="n"/>
    </row>
    <row r="219">
      <c r="A219" s="13" t="inlineStr">
        <is>
          <t>Baird, Steward of Argive / Baird, Guardião do Argivo</t>
        </is>
      </c>
      <c r="B219" s="13" t="inlineStr">
        <is>
          <t>Legendary Creature — Human Soldier / Criatura Lendária — Humano Soldado</t>
        </is>
      </c>
      <c r="C219" s="13" t="inlineStr">
        <is>
          <t>Uncommon / Incomum</t>
        </is>
      </c>
      <c r="D219" s="13"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219" s="13" t="inlineStr">
        <is>
          <t>{2}{W}{W}</t>
        </is>
      </c>
      <c r="F219" s="13" t="inlineStr">
        <is>
          <t>Branco</t>
        </is>
      </c>
      <c r="G219" s="8" t="n">
        <v>0.7</v>
      </c>
      <c r="H219" s="13" t="inlineStr">
        <is>
          <t>Commander Masters (CMM)</t>
        </is>
      </c>
      <c r="I219" s="13" t="inlineStr">
        <is>
          <t>Não</t>
        </is>
      </c>
      <c r="J219" s="13" t="n">
        <v>2023</v>
      </c>
      <c r="K219" s="10" t="n">
        <v>46114</v>
      </c>
      <c r="L219" s="13" t="n">
        <v>1</v>
      </c>
      <c r="M219" s="8">
        <f>L219*G219</f>
        <v/>
      </c>
      <c r="P219" s="9" t="n"/>
    </row>
    <row r="220">
      <c r="A220" s="13" t="inlineStr">
        <is>
          <t>Bake into a Pie / Enfornar na Torta</t>
        </is>
      </c>
      <c r="B220" s="13" t="inlineStr">
        <is>
          <t>Instant / Mágica Instantânea</t>
        </is>
      </c>
      <c r="C220" s="13" t="inlineStr">
        <is>
          <t>Common / Comum</t>
        </is>
      </c>
      <c r="D220" s="13" t="inlineStr">
        <is>
          <t>Destroy target creature. Create a Food token. (It's an artifact with "{2}, {T}, Sacrifice this token: You gain 3 life.") / Destrua a criatura alvo. Crie uma ficha de Comida. (Ela é um artefato com "{2}, {T}, sacrifique este artefato: Você ganha 3 pontos de vida.")</t>
        </is>
      </c>
      <c r="E220" s="13" t="inlineStr">
        <is>
          <t>{2}{B}{B}</t>
        </is>
      </c>
      <c r="F220" s="13" t="inlineStr">
        <is>
          <t>Preto</t>
        </is>
      </c>
      <c r="G220" s="8" t="n">
        <v>0.05</v>
      </c>
      <c r="H220" s="13" t="inlineStr">
        <is>
          <t>Foundations (FDN)</t>
        </is>
      </c>
      <c r="I220" s="13" t="inlineStr">
        <is>
          <t>Não</t>
        </is>
      </c>
      <c r="J220" s="13" t="n">
        <v>2024</v>
      </c>
      <c r="L220" s="13" t="n">
        <v>2</v>
      </c>
      <c r="M220" s="8">
        <f>L220*G220</f>
        <v/>
      </c>
      <c r="P220" s="9" t="n"/>
    </row>
    <row r="221">
      <c r="A221" s="13" t="inlineStr">
        <is>
          <t>Bakersbane Duo</t>
        </is>
      </c>
      <c r="B221" s="13" t="inlineStr">
        <is>
          <t>Creature — Squirrel Raccoon</t>
        </is>
      </c>
      <c r="C221" s="13" t="inlineStr">
        <is>
          <t>Common / Comum</t>
        </is>
      </c>
      <c r="D221" s="13" t="inlineStr">
        <is>
          <t>When this creature enters, create a Food token. Whenever you expend 4, this creature gets +1/+1 until end of turn. (You expend 4 as you spend your fourth total mana to cast spells during a turn.)</t>
        </is>
      </c>
      <c r="E221" s="13" t="inlineStr">
        <is>
          <t>{1}{G}</t>
        </is>
      </c>
      <c r="F221" s="13" t="inlineStr">
        <is>
          <t>Verde</t>
        </is>
      </c>
      <c r="G221" s="8" t="n">
        <v>0.32</v>
      </c>
      <c r="H221" s="13" t="inlineStr">
        <is>
          <t>Bloomburrow (BLB)</t>
        </is>
      </c>
      <c r="I221" s="13" t="inlineStr">
        <is>
          <t>Sim</t>
        </is>
      </c>
      <c r="J221" s="13" t="n">
        <v>2024</v>
      </c>
      <c r="K221" s="10" t="n">
        <v>46055</v>
      </c>
      <c r="L221" s="13" t="n">
        <v>1</v>
      </c>
      <c r="M221" s="8">
        <f>L221*G221</f>
        <v/>
      </c>
      <c r="P221" s="9" t="n"/>
    </row>
    <row r="222">
      <c r="A222" s="13" t="inlineStr">
        <is>
          <t>Balamb T-Rexaur / T-Rexaur de Balamb</t>
        </is>
      </c>
      <c r="B222" s="13" t="inlineStr">
        <is>
          <t>Criatura — Dinossauro</t>
        </is>
      </c>
      <c r="C222" s="13" t="inlineStr">
        <is>
          <t>Comum</t>
        </is>
      </c>
      <c r="D222" s="13" t="inlineStr">
        <is>
          <t>Atropelar. Quando esta criatura entrar, você ganha 3 de vida. Reciclar Floresta {2} ({2}, Descarte este card: Procure em seu grimório por um card de Floresta, revele-o, coloque-o em sua mão e depois embaralhe.)</t>
        </is>
      </c>
      <c r="E222" s="13" t="inlineStr">
        <is>
          <t>4{G}{G}</t>
        </is>
      </c>
      <c r="F222" s="13" t="inlineStr">
        <is>
          <t>Verde</t>
        </is>
      </c>
      <c r="G222" s="8" t="n">
        <v>0.1</v>
      </c>
      <c r="H222" s="13" t="inlineStr">
        <is>
          <t>Final Fantasy</t>
        </is>
      </c>
      <c r="I222" s="13" t="inlineStr">
        <is>
          <t>Não</t>
        </is>
      </c>
      <c r="J222" s="13" t="n">
        <v>2025</v>
      </c>
      <c r="K222" s="10" t="n">
        <v>46179</v>
      </c>
      <c r="L222" s="13" t="n">
        <v>4</v>
      </c>
      <c r="M222" s="8">
        <f>L222*G222</f>
        <v/>
      </c>
      <c r="P222" s="9" t="n"/>
    </row>
    <row r="223">
      <c r="A223" s="13" t="inlineStr">
        <is>
          <t>Balamb T-Rexaur / T-Rexaur de Balamb</t>
        </is>
      </c>
      <c r="B223" s="13" t="inlineStr">
        <is>
          <t>Criatura — Dinossauro</t>
        </is>
      </c>
      <c r="C223" s="13" t="inlineStr">
        <is>
          <t>Comum</t>
        </is>
      </c>
      <c r="D223" s="13" t="inlineStr">
        <is>
          <t>Atropelar. Quando esta criatura entrar, você ganha 3 de vida. Reciclar Floresta {2} ({2}, Descarte este card: Procure em seu grimório por um card de Floresta, revele-o, coloque-o em sua mão e depois embaralhe.)</t>
        </is>
      </c>
      <c r="E223" s="13" t="inlineStr">
        <is>
          <t>4{G}{G}</t>
        </is>
      </c>
      <c r="F223" s="13" t="inlineStr">
        <is>
          <t>Verde</t>
        </is>
      </c>
      <c r="G223" s="8" t="n">
        <v>0.24</v>
      </c>
      <c r="H223" s="13" t="inlineStr">
        <is>
          <t>Final Fantasy</t>
        </is>
      </c>
      <c r="I223" s="13" t="inlineStr">
        <is>
          <t>Sim</t>
        </is>
      </c>
      <c r="J223" s="13" t="n">
        <v>2025</v>
      </c>
      <c r="K223" s="10" t="n">
        <v>46179</v>
      </c>
      <c r="L223" s="13" t="n">
        <v>1</v>
      </c>
      <c r="M223" s="8">
        <f>L223*G223</f>
        <v/>
      </c>
      <c r="P223" s="9" t="n"/>
    </row>
    <row r="224">
      <c r="A224" s="13" t="inlineStr">
        <is>
          <t>Balduvian Barbarians / Bárbaros Balduvianos</t>
        </is>
      </c>
      <c r="B224" s="13" t="inlineStr">
        <is>
          <t>Creature — Human Barbarian / Criatura — Bárbaro Humano</t>
        </is>
      </c>
      <c r="C224" s="13" t="inlineStr">
        <is>
          <t>Common / Comum</t>
        </is>
      </c>
      <c r="E224" s="13" t="inlineStr">
        <is>
          <t>{1}{R}{R}</t>
        </is>
      </c>
      <c r="F224" s="13" t="inlineStr">
        <is>
          <t>Vermelho</t>
        </is>
      </c>
      <c r="G224" s="8" t="n">
        <v>0.05</v>
      </c>
      <c r="H224" s="13" t="inlineStr">
        <is>
          <t>Ice Age (ICE)</t>
        </is>
      </c>
      <c r="I224" s="13" t="inlineStr">
        <is>
          <t>Não</t>
        </is>
      </c>
      <c r="J224" s="13" t="n">
        <v>1995</v>
      </c>
      <c r="K224" s="10" t="n">
        <v>46056</v>
      </c>
      <c r="L224" s="13" t="n">
        <v>1</v>
      </c>
      <c r="M224" s="8">
        <f>L224*G224</f>
        <v/>
      </c>
      <c r="P224" s="9" t="n"/>
    </row>
    <row r="225">
      <c r="A225" s="13" t="inlineStr">
        <is>
          <t>Balduvian Horde / Horda Balduviana</t>
        </is>
      </c>
      <c r="B225" s="13" t="inlineStr">
        <is>
          <t>Creature — Human Barbarian</t>
        </is>
      </c>
      <c r="C225" s="13" t="inlineStr">
        <is>
          <t>Rare / Rara</t>
        </is>
      </c>
      <c r="D225" s="13" t="inlineStr">
        <is>
          <t>When this creature enters, sacrifice it unless you discard a card at random.</t>
        </is>
      </c>
      <c r="E225" s="13" t="inlineStr">
        <is>
          <t>{2}{R}{R}</t>
        </is>
      </c>
      <c r="F225" s="13" t="inlineStr">
        <is>
          <t>Vermelho</t>
        </is>
      </c>
      <c r="G225" s="8" t="n">
        <v>3</v>
      </c>
      <c r="H225" s="13" t="inlineStr">
        <is>
          <t>Alliances (ALL)</t>
        </is>
      </c>
      <c r="I225" s="13" t="inlineStr">
        <is>
          <t>Não</t>
        </is>
      </c>
      <c r="J225" s="13" t="n">
        <v>1996</v>
      </c>
      <c r="K225" s="10" t="n">
        <v>46147</v>
      </c>
      <c r="L225" s="13" t="n">
        <v>1</v>
      </c>
      <c r="M225" s="8">
        <f>L225*G225</f>
        <v/>
      </c>
      <c r="P225" s="9" t="n"/>
    </row>
    <row r="226">
      <c r="A226" s="13" t="inlineStr">
        <is>
          <t>Balemurk Leech</t>
        </is>
      </c>
      <c r="B226" s="13" t="inlineStr">
        <is>
          <t>Creature — Leech</t>
        </is>
      </c>
      <c r="C226" s="13" t="inlineStr">
        <is>
          <t>Common / Comum</t>
        </is>
      </c>
      <c r="D226" s="13" t="inlineStr">
        <is>
          <t>Eerie — Whenever an enchantment you control enters and whenever you fully unlock a Room, each opponent loses 1 life.</t>
        </is>
      </c>
      <c r="E226" s="13" t="inlineStr">
        <is>
          <t>{1}{B}</t>
        </is>
      </c>
      <c r="F226" s="13" t="inlineStr">
        <is>
          <t>Preto</t>
        </is>
      </c>
      <c r="G226" s="8" t="n">
        <v>0.05</v>
      </c>
      <c r="H226" s="13" t="inlineStr">
        <is>
          <t>Duskmourn: House of Horror (DSK)</t>
        </is>
      </c>
      <c r="I226" s="13" t="inlineStr">
        <is>
          <t>Não</t>
        </is>
      </c>
      <c r="J226" s="13" t="n">
        <v>2024</v>
      </c>
      <c r="K226" s="10" t="n">
        <v>46055</v>
      </c>
      <c r="L226" s="13" t="n">
        <v>2</v>
      </c>
      <c r="M226" s="8">
        <f>L226*G226</f>
        <v/>
      </c>
      <c r="P226" s="9" t="n"/>
    </row>
    <row r="227">
      <c r="A227" s="13" t="inlineStr">
        <is>
          <t>Ballista Squad / Esquadrão de Balista</t>
        </is>
      </c>
      <c r="B227" s="13" t="inlineStr">
        <is>
          <t>Creature — Rebel / Criatura — Rebelde</t>
        </is>
      </c>
      <c r="C227" s="13" t="inlineStr">
        <is>
          <t>Uncommon / Incomum</t>
        </is>
      </c>
      <c r="D227" s="13" t="inlineStr">
        <is>
          <t>{X}{W}, {T}: Ballista Squad deals X damage to target attacking or blocking creature. / {X}{W}, {T}: Esquadrão de Balista causa X pontos de dano à criatura atacante ou bloqueadora alvo.</t>
        </is>
      </c>
      <c r="E227" s="13" t="inlineStr">
        <is>
          <t>{3}{W}</t>
        </is>
      </c>
      <c r="F227" s="13" t="inlineStr">
        <is>
          <t>Branco</t>
        </is>
      </c>
      <c r="G227" s="8" t="n">
        <v>0.09</v>
      </c>
      <c r="H227" s="13" t="inlineStr">
        <is>
          <t>Mercadian Masques (MMQ)</t>
        </is>
      </c>
      <c r="I227" s="13" t="inlineStr">
        <is>
          <t>No</t>
        </is>
      </c>
      <c r="J227" s="13" t="n">
        <v>1999</v>
      </c>
      <c r="K227" s="10" t="n">
        <v>46055</v>
      </c>
      <c r="L227" s="13" t="n">
        <v>1</v>
      </c>
      <c r="M227" s="8">
        <f>L227*G227</f>
        <v/>
      </c>
      <c r="P227" s="9" t="n"/>
    </row>
    <row r="228">
      <c r="A228" s="13" t="inlineStr">
        <is>
          <t>Balthier and Fran / Balthier e Fran</t>
        </is>
      </c>
      <c r="B228" s="13" t="inlineStr">
        <is>
          <t>Criatura Lendária — Humano Coelho</t>
        </is>
      </c>
      <c r="C228" s="13" t="inlineStr">
        <is>
          <t>Raro</t>
        </is>
      </c>
      <c r="D228" s="13"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228" s="13" t="inlineStr">
        <is>
          <t>1{V/R}</t>
        </is>
      </c>
      <c r="F228" s="13" t="inlineStr">
        <is>
          <t>Vermelho e verde</t>
        </is>
      </c>
      <c r="G228" s="8" t="n">
        <v>1.2</v>
      </c>
      <c r="H228" s="13" t="inlineStr">
        <is>
          <t>Final Fantasy</t>
        </is>
      </c>
      <c r="I228" s="13" t="inlineStr">
        <is>
          <t>Não</t>
        </is>
      </c>
      <c r="J228" s="13" t="n">
        <v>2025</v>
      </c>
      <c r="K228" s="10" t="n">
        <v>46085</v>
      </c>
      <c r="L228" s="13" t="n">
        <v>1</v>
      </c>
      <c r="M228" s="8">
        <f>L228*G228</f>
        <v/>
      </c>
      <c r="P228" s="9" t="n"/>
    </row>
    <row r="229">
      <c r="A229" s="13" t="inlineStr">
        <is>
          <t>Balustrade Spy / Espião de Balaustrada</t>
        </is>
      </c>
      <c r="B229" s="13" t="inlineStr">
        <is>
          <t>Creature — Vampire Rogue / Criatura — Vampiro Ladino</t>
        </is>
      </c>
      <c r="C229" s="13" t="inlineStr">
        <is>
          <t>Common / Comum</t>
        </is>
      </c>
      <c r="D229" s="13"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229" s="13" t="inlineStr">
        <is>
          <t>{3}{B}</t>
        </is>
      </c>
      <c r="F229" s="13" t="inlineStr">
        <is>
          <t>Preto</t>
        </is>
      </c>
      <c r="G229" s="8" t="n">
        <v>0.18</v>
      </c>
      <c r="H229" s="13" t="inlineStr">
        <is>
          <t>Ravnica Remastered (RVR)</t>
        </is>
      </c>
      <c r="I229" s="13" t="inlineStr">
        <is>
          <t>Não</t>
        </is>
      </c>
      <c r="J229" s="13" t="n">
        <v>2024</v>
      </c>
      <c r="K229" s="10" t="n">
        <v>46083</v>
      </c>
      <c r="L229" s="13" t="n">
        <v>1</v>
      </c>
      <c r="M229" s="8">
        <f>L229*G229</f>
        <v/>
      </c>
      <c r="P229" s="9" t="n"/>
    </row>
    <row r="230">
      <c r="A230" s="13" t="inlineStr">
        <is>
          <t>Banefire / Fogo do Flagelo</t>
        </is>
      </c>
      <c r="B230" s="13" t="inlineStr">
        <is>
          <t>Feitiço</t>
        </is>
      </c>
      <c r="C230" s="13" t="inlineStr">
        <is>
          <t>Rara</t>
        </is>
      </c>
      <c r="D230" s="13" t="inlineStr">
        <is>
          <t>Fogo do Flagelo causa X de dano à criatura ou ao jogador alvo. Se X for igual ou superior a 5, Fogo do Flagelo não pode ser anulado por mágicas ou habilidades e o dano não pode ser prevenido.</t>
        </is>
      </c>
      <c r="E230" s="13" t="inlineStr">
        <is>
          <t>XR</t>
        </is>
      </c>
      <c r="F230" s="13" t="inlineStr">
        <is>
          <t>Vermelho</t>
        </is>
      </c>
      <c r="G230" s="8" t="n">
        <v>0.84</v>
      </c>
      <c r="H230" s="13" t="inlineStr">
        <is>
          <t>Duel Decks: Speed vs. Cunning</t>
        </is>
      </c>
      <c r="I230" s="13" t="inlineStr">
        <is>
          <t>Não</t>
        </is>
      </c>
      <c r="J230" s="13" t="n">
        <v>2014</v>
      </c>
      <c r="L230" s="13" t="n">
        <v>1</v>
      </c>
      <c r="M230" s="8">
        <f>L230*G230</f>
        <v/>
      </c>
      <c r="P230" s="9" t="n"/>
    </row>
    <row r="231">
      <c r="A231" s="13" t="inlineStr">
        <is>
          <t>Banishing Light / Luz Banidora</t>
        </is>
      </c>
      <c r="B231" s="13" t="inlineStr">
        <is>
          <t>Enchantment / Encantamento</t>
        </is>
      </c>
      <c r="C231" s="13" t="inlineStr">
        <is>
          <t>Common / Comum</t>
        </is>
      </c>
      <c r="D231" s="13"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231" s="13" t="inlineStr">
        <is>
          <t>{2}{W}</t>
        </is>
      </c>
      <c r="F231" s="13" t="inlineStr">
        <is>
          <t>Branco</t>
        </is>
      </c>
      <c r="G231" s="8" t="n">
        <v>0.09</v>
      </c>
      <c r="H231" s="13" t="inlineStr">
        <is>
          <t>Bloomburrow (BLB)</t>
        </is>
      </c>
      <c r="I231" s="13" t="inlineStr">
        <is>
          <t>Não</t>
        </is>
      </c>
      <c r="J231" s="13" t="n">
        <v>2024</v>
      </c>
      <c r="L231" s="13" t="n">
        <v>1</v>
      </c>
      <c r="M231" s="8">
        <f>L231*G231</f>
        <v/>
      </c>
      <c r="P231" s="9" t="n"/>
    </row>
    <row r="232">
      <c r="A232" s="13" t="inlineStr">
        <is>
          <t>Banishing Light / Luz Banidora</t>
        </is>
      </c>
      <c r="B232" s="13" t="inlineStr">
        <is>
          <t>Encantamento</t>
        </is>
      </c>
      <c r="C232" s="13" t="inlineStr">
        <is>
          <t>Comum</t>
        </is>
      </c>
      <c r="D232" s="13" t="inlineStr">
        <is>
          <t>Quando este encantamento entrar, exile a permanente não de terreno alvo que um oponente controla até que este encantamento deixe o campo de batalha.</t>
        </is>
      </c>
      <c r="E232" s="13" t="inlineStr">
        <is>
          <t>2{W}</t>
        </is>
      </c>
      <c r="F232" s="13" t="inlineStr">
        <is>
          <t>Branco</t>
        </is>
      </c>
      <c r="G232" s="8" t="n">
        <v>0.05</v>
      </c>
      <c r="H232" s="13" t="inlineStr">
        <is>
          <t>Edge of Eternity</t>
        </is>
      </c>
      <c r="I232" s="13" t="inlineStr">
        <is>
          <t>Não</t>
        </is>
      </c>
      <c r="J232" s="13" t="n">
        <v>2025</v>
      </c>
      <c r="L232" s="13" t="n">
        <v>1</v>
      </c>
      <c r="M232" s="8">
        <f>L232*G232</f>
        <v/>
      </c>
      <c r="P232" s="9" t="n"/>
    </row>
    <row r="233">
      <c r="A233" s="13" t="inlineStr">
        <is>
          <t>Banishing Light / Luz Banidora</t>
        </is>
      </c>
      <c r="B233" s="13" t="inlineStr">
        <is>
          <t>Encantamento</t>
        </is>
      </c>
      <c r="C233" s="13" t="inlineStr">
        <is>
          <t>Comum</t>
        </is>
      </c>
      <c r="D233" s="13" t="inlineStr">
        <is>
          <t>Quando este encantamento entrar, exile a permanente não de terreno alvo que um oponente controla até que este encantamento deixe o campo de batalha.</t>
        </is>
      </c>
      <c r="E233" s="13" t="inlineStr">
        <is>
          <t>2{W}</t>
        </is>
      </c>
      <c r="F233" s="13" t="inlineStr">
        <is>
          <t>Branco</t>
        </is>
      </c>
      <c r="G233" s="8" t="n">
        <v>0.2</v>
      </c>
      <c r="H233" s="13" t="inlineStr">
        <is>
          <t>Edge of Eternity</t>
        </is>
      </c>
      <c r="I233" s="13" t="inlineStr">
        <is>
          <t>Sim</t>
        </is>
      </c>
      <c r="J233" s="13" t="n">
        <v>2025</v>
      </c>
      <c r="L233" s="13" t="n">
        <v>1</v>
      </c>
      <c r="M233" s="8">
        <f>L233*G233</f>
        <v/>
      </c>
      <c r="P233" s="9" t="n"/>
    </row>
    <row r="234">
      <c r="A234" s="13" t="inlineStr">
        <is>
          <t>Banishing Light / Luz Banidora</t>
        </is>
      </c>
      <c r="B234" s="13" t="inlineStr">
        <is>
          <t>Encantamento</t>
        </is>
      </c>
      <c r="C234" s="13" t="inlineStr">
        <is>
          <t>Comum</t>
        </is>
      </c>
      <c r="D234" s="13" t="inlineStr">
        <is>
          <t>Quando este encantamento entrar, exile a permanente não de terreno alvo que um oponente controla até que este encantamento deixe o campo de batalha.</t>
        </is>
      </c>
      <c r="E234" s="13" t="inlineStr">
        <is>
          <t>2{W}</t>
        </is>
      </c>
      <c r="F234" s="13" t="inlineStr">
        <is>
          <t>Branco</t>
        </is>
      </c>
      <c r="G234" s="8" t="n">
        <v>0.05</v>
      </c>
      <c r="H234" s="13" t="inlineStr">
        <is>
          <t>Edge of Eternity</t>
        </is>
      </c>
      <c r="I234" s="13" t="inlineStr">
        <is>
          <t>Não</t>
        </is>
      </c>
      <c r="J234" s="13" t="n">
        <v>2025</v>
      </c>
      <c r="L234" s="13" t="n">
        <v>3</v>
      </c>
      <c r="M234" s="8">
        <f>L234*G234</f>
        <v/>
      </c>
      <c r="P234" s="9" t="n"/>
    </row>
    <row r="235">
      <c r="A235" s="13" t="inlineStr">
        <is>
          <t>Banishing Light / Luz Banidora</t>
        </is>
      </c>
      <c r="B235" s="13" t="inlineStr">
        <is>
          <t>Enchantment / Encantamento</t>
        </is>
      </c>
      <c r="C235" s="13" t="inlineStr">
        <is>
          <t>Common / Comum</t>
        </is>
      </c>
      <c r="D235" s="13"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235" s="13" t="inlineStr">
        <is>
          <t>{2}{W}</t>
        </is>
      </c>
      <c r="F235" s="13" t="inlineStr">
        <is>
          <t>Branco</t>
        </is>
      </c>
      <c r="G235" s="8" t="n">
        <v>0.04</v>
      </c>
      <c r="H235" s="13" t="inlineStr">
        <is>
          <t>Foundations (FDN)</t>
        </is>
      </c>
      <c r="I235" s="13" t="inlineStr">
        <is>
          <t>Não</t>
        </is>
      </c>
      <c r="J235" s="13" t="n">
        <v>2024</v>
      </c>
      <c r="L235" s="13" t="n">
        <v>1</v>
      </c>
      <c r="M235" s="8">
        <f>L235*G235</f>
        <v/>
      </c>
      <c r="P235" s="9" t="n"/>
    </row>
    <row r="236">
      <c r="A236" s="13" t="inlineStr">
        <is>
          <t>Bankrupt in Blood / Falir em Sangue</t>
        </is>
      </c>
      <c r="B236" s="13" t="inlineStr">
        <is>
          <t>Sorcery / Feitiço</t>
        </is>
      </c>
      <c r="C236" s="13" t="inlineStr">
        <is>
          <t>Uncommon / Incomum</t>
        </is>
      </c>
      <c r="D236" s="13" t="inlineStr">
        <is>
          <t>As an additional cost to cast this spell, sacrifice two creatures. Draw three cards. / Como custo adicional para conjurar esta mágica, sacrifique duas criaturas. Compre três cards.</t>
        </is>
      </c>
      <c r="E236" s="13" t="inlineStr">
        <is>
          <t>{1}{B}</t>
        </is>
      </c>
      <c r="F236" s="13" t="inlineStr">
        <is>
          <t>Preto</t>
        </is>
      </c>
      <c r="G236" s="8" t="n">
        <v>0.05</v>
      </c>
      <c r="H236" s="13" t="inlineStr">
        <is>
          <t>Ravnica Allegiance (RNA)</t>
        </is>
      </c>
      <c r="I236" s="13" t="inlineStr">
        <is>
          <t>Não</t>
        </is>
      </c>
      <c r="J236" s="13" t="n">
        <v>2019</v>
      </c>
      <c r="L236" s="13" t="n">
        <v>1</v>
      </c>
      <c r="M236" s="8">
        <f>L236*G236</f>
        <v/>
      </c>
      <c r="P236" s="9" t="n"/>
    </row>
    <row r="237">
      <c r="A237" s="13" t="inlineStr">
        <is>
          <t>Barbarian Guides / Guias Bárbaros</t>
        </is>
      </c>
      <c r="B237" s="13" t="inlineStr">
        <is>
          <t>Creature — Human Barbarian</t>
        </is>
      </c>
      <c r="C237" s="13" t="inlineStr">
        <is>
          <t>Common / Comum</t>
        </is>
      </c>
      <c r="D237" s="13"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37" s="13" t="inlineStr">
        <is>
          <t>{2}{R}</t>
        </is>
      </c>
      <c r="F237" s="13" t="inlineStr">
        <is>
          <t>Vermelho</t>
        </is>
      </c>
      <c r="G237" s="8" t="n">
        <v>0.05</v>
      </c>
      <c r="H237" s="13" t="inlineStr">
        <is>
          <t>Ice Age (ICE)</t>
        </is>
      </c>
      <c r="I237" s="13" t="inlineStr">
        <is>
          <t>Não</t>
        </is>
      </c>
      <c r="J237" s="13" t="n">
        <v>1995</v>
      </c>
      <c r="K237" s="10" t="n">
        <v>46054</v>
      </c>
      <c r="L237" s="13" t="n">
        <v>3</v>
      </c>
      <c r="M237" s="8">
        <f>L237*G237</f>
        <v/>
      </c>
      <c r="P237" s="9" t="n"/>
    </row>
    <row r="238">
      <c r="A238" s="13" t="inlineStr">
        <is>
          <t>Barbed Batterfist / Punho Batedor Farpado</t>
        </is>
      </c>
      <c r="B238" s="13" t="inlineStr">
        <is>
          <t>Artifact — Equipment / Artefato — Equipamento</t>
        </is>
      </c>
      <c r="C238" s="13" t="inlineStr">
        <is>
          <t>Common / Comum</t>
        </is>
      </c>
      <c r="D238" s="13"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238" s="13" t="inlineStr">
        <is>
          <t>{1}{R}</t>
        </is>
      </c>
      <c r="F238" s="13" t="inlineStr">
        <is>
          <t>Vermelho</t>
        </is>
      </c>
      <c r="G238" s="8" t="n">
        <v>0.49</v>
      </c>
      <c r="H238" s="13" t="inlineStr">
        <is>
          <t>Phyrexia: All Will Be One (ONE)</t>
        </is>
      </c>
      <c r="I238" s="13" t="inlineStr">
        <is>
          <t>Sim</t>
        </is>
      </c>
      <c r="J238" s="13" t="n">
        <v>2023</v>
      </c>
      <c r="L238" s="13" t="n">
        <v>1</v>
      </c>
      <c r="M238" s="8">
        <f>L238*G238</f>
        <v/>
      </c>
      <c r="P238" s="9" t="n"/>
    </row>
    <row r="239">
      <c r="A239" s="13" t="inlineStr">
        <is>
          <t>Barbed Batterfist / Punho Batedor Farpado</t>
        </is>
      </c>
      <c r="B239" s="13" t="inlineStr">
        <is>
          <t>Artifact — Equipment / Artefato — Equipamento</t>
        </is>
      </c>
      <c r="C239" s="13" t="inlineStr">
        <is>
          <t>Common / Comum</t>
        </is>
      </c>
      <c r="D239" s="13"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239" s="13" t="inlineStr">
        <is>
          <t>{1}{R}</t>
        </is>
      </c>
      <c r="F239" s="13" t="inlineStr">
        <is>
          <t>Vermelho</t>
        </is>
      </c>
      <c r="G239" s="8" t="n">
        <v>0.09</v>
      </c>
      <c r="H239" s="13" t="inlineStr">
        <is>
          <t>Phyrexia: All Will Be One (ONE)</t>
        </is>
      </c>
      <c r="I239" s="13" t="inlineStr">
        <is>
          <t>Não</t>
        </is>
      </c>
      <c r="J239" s="13" t="n">
        <v>2023</v>
      </c>
      <c r="L239" s="13" t="n">
        <v>3</v>
      </c>
      <c r="M239" s="8">
        <f>L239*G239</f>
        <v/>
      </c>
      <c r="P239" s="9" t="n"/>
    </row>
    <row r="240">
      <c r="A240" s="13" t="inlineStr">
        <is>
          <t>Barbed Bloodletter</t>
        </is>
      </c>
      <c r="B240" s="13" t="inlineStr">
        <is>
          <t>Artifact — Equipment</t>
        </is>
      </c>
      <c r="C240" s="13" t="inlineStr">
        <is>
          <t>Common</t>
        </is>
      </c>
      <c r="D240" s="13" t="inlineStr">
        <is>
          <t>Flash. When this Equipment enters, attach it to target creature you control. That creature gains wither until end of turn. (It deals damage to creatures in the form of -1/-1 counters.) Equipped creature gets +1/+2. Equip {2}</t>
        </is>
      </c>
      <c r="E240" s="13" t="inlineStr">
        <is>
          <t>{1}{B}</t>
        </is>
      </c>
      <c r="F240" s="13" t="inlineStr">
        <is>
          <t>Preto</t>
        </is>
      </c>
      <c r="G240" s="8" t="n">
        <v>0.1</v>
      </c>
      <c r="H240" s="13" t="inlineStr">
        <is>
          <t>Lorwyn Eclipsed (ECL)</t>
        </is>
      </c>
      <c r="I240" s="13" t="inlineStr">
        <is>
          <t>Não</t>
        </is>
      </c>
      <c r="J240" s="13" t="n">
        <v>2026</v>
      </c>
      <c r="L240" s="13" t="n">
        <v>3</v>
      </c>
      <c r="M240" s="8">
        <f>L240*G240</f>
        <v/>
      </c>
      <c r="P240" s="9" t="n"/>
    </row>
    <row r="241">
      <c r="A241" s="13" t="inlineStr">
        <is>
          <t>Barbed Sextant / Sextante Farpado</t>
        </is>
      </c>
      <c r="B241" s="13" t="inlineStr">
        <is>
          <t>Artifact</t>
        </is>
      </c>
      <c r="C241" s="13" t="inlineStr">
        <is>
          <t>Common / Comum</t>
        </is>
      </c>
      <c r="D241" s="13" t="inlineStr">
        <is>
          <t>{1}, {T}, Sacrifice this artifact: Add one mana of any color. Draw a card at the beginning of the next turn's upkeep.</t>
        </is>
      </c>
      <c r="E241" s="13" t="inlineStr">
        <is>
          <t>{1}</t>
        </is>
      </c>
      <c r="F241" s="13" t="inlineStr">
        <is>
          <t>Incolor</t>
        </is>
      </c>
      <c r="G241" s="8" t="n">
        <v>0.12</v>
      </c>
      <c r="H241" s="13" t="inlineStr">
        <is>
          <t>Ice Age (ICE)</t>
        </is>
      </c>
      <c r="I241" s="13" t="inlineStr">
        <is>
          <t>Não</t>
        </is>
      </c>
      <c r="J241" s="13" t="n">
        <v>1995</v>
      </c>
      <c r="L241" s="13" t="n">
        <v>4</v>
      </c>
      <c r="M241" s="8">
        <f>L241*G241</f>
        <v/>
      </c>
      <c r="P241" s="9" t="n"/>
    </row>
    <row r="242">
      <c r="A242" s="13" t="inlineStr">
        <is>
          <t>Barbed Sextant / Sextante farpado</t>
        </is>
      </c>
      <c r="B242" s="13" t="inlineStr">
        <is>
          <t>Artifact / Artefato</t>
        </is>
      </c>
      <c r="C242" s="13" t="inlineStr">
        <is>
          <t>Common / Comum</t>
        </is>
      </c>
      <c r="D242" s="13"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242" s="13" t="inlineStr">
        <is>
          <t>{1}</t>
        </is>
      </c>
      <c r="F242" s="13" t="inlineStr">
        <is>
          <t>Incolor</t>
        </is>
      </c>
      <c r="G242" s="8" t="n">
        <v>0.2</v>
      </c>
      <c r="H242" s="13" t="inlineStr">
        <is>
          <t>Mirage (MIR)</t>
        </is>
      </c>
      <c r="I242" s="13" t="inlineStr">
        <is>
          <t>No</t>
        </is>
      </c>
      <c r="J242" s="13" t="n">
        <v>1996</v>
      </c>
      <c r="L242" s="13" t="n">
        <v>1</v>
      </c>
      <c r="M242" s="8">
        <f>L242*G242</f>
        <v/>
      </c>
      <c r="P242" s="9" t="n"/>
    </row>
    <row r="243">
      <c r="A243" s="13" t="inlineStr">
        <is>
          <t>Bard's Bow / Arco do Bardo</t>
        </is>
      </c>
      <c r="B243" s="13" t="inlineStr">
        <is>
          <t>Artefato — Equipamento</t>
        </is>
      </c>
      <c r="C243" s="13" t="inlineStr">
        <is>
          <t>Comum</t>
        </is>
      </c>
      <c r="D243" s="13"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243" s="13" t="inlineStr">
        <is>
          <t>2{G}</t>
        </is>
      </c>
      <c r="F243" s="13" t="inlineStr">
        <is>
          <t>Verde</t>
        </is>
      </c>
      <c r="G243" s="8" t="n">
        <v>0.1</v>
      </c>
      <c r="H243" s="13" t="inlineStr">
        <is>
          <t>Final Fantasy</t>
        </is>
      </c>
      <c r="I243" s="13" t="inlineStr">
        <is>
          <t>Não</t>
        </is>
      </c>
      <c r="J243" s="13" t="n">
        <v>2025</v>
      </c>
      <c r="L243" s="13" t="n">
        <v>10</v>
      </c>
      <c r="M243" s="8">
        <f>L243*G243</f>
        <v/>
      </c>
      <c r="P243" s="9" t="n"/>
    </row>
    <row r="244">
      <c r="A244" s="13" t="inlineStr">
        <is>
          <t>Bark of Doran</t>
        </is>
      </c>
      <c r="B244" s="13" t="inlineStr">
        <is>
          <t>Artifact — Equipment</t>
        </is>
      </c>
      <c r="C244" s="13" t="inlineStr">
        <is>
          <t>Uncommon</t>
        </is>
      </c>
      <c r="D244" s="13" t="inlineStr">
        <is>
          <t>Equipped creature gets +0/+1. As long as equipped creature's toughness is greater than its power, it assigns combat damage equal to its toughness rather than its power. Equip {1} ({1}: Attach to target creature you control. Equip only as a sorcery.)</t>
        </is>
      </c>
      <c r="E244" s="13" t="inlineStr">
        <is>
          <t>{1}{W}</t>
        </is>
      </c>
      <c r="F244" s="13" t="inlineStr">
        <is>
          <t>Branco</t>
        </is>
      </c>
      <c r="G244" s="8" t="n">
        <v>0.4</v>
      </c>
      <c r="H244" s="13" t="inlineStr">
        <is>
          <t>Lorwyn Eclipsed (ECL)</t>
        </is>
      </c>
      <c r="I244" s="13" t="inlineStr">
        <is>
          <t>Sim</t>
        </is>
      </c>
      <c r="J244" s="13" t="n">
        <v>2026</v>
      </c>
      <c r="L244" s="13" t="n">
        <v>1</v>
      </c>
      <c r="M244" s="8">
        <f>L244*G244</f>
        <v/>
      </c>
      <c r="P244" s="9" t="n"/>
    </row>
    <row r="245">
      <c r="A245" s="13" t="inlineStr">
        <is>
          <t>Baron Strucker, HYDRA Overlord / Barão Strucker, Soberano da HIDRA</t>
        </is>
      </c>
      <c r="B245" s="13" t="inlineStr">
        <is>
          <t>Criatura Lendária — Humano Vilão</t>
        </is>
      </c>
      <c r="C245" s="13" t="inlineStr">
        <is>
          <t>Incomum</t>
        </is>
      </c>
      <c r="D245" s="13"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245" s="13" t="inlineStr">
        <is>
          <t>2{B}</t>
        </is>
      </c>
      <c r="F245" s="13" t="inlineStr">
        <is>
          <t>Preto</t>
        </is>
      </c>
      <c r="G245" s="8" t="n">
        <v>0.2</v>
      </c>
      <c r="H245" s="13" t="inlineStr">
        <is>
          <t>Marvel</t>
        </is>
      </c>
      <c r="I245" s="13" t="inlineStr">
        <is>
          <t>Não</t>
        </is>
      </c>
      <c r="J245" s="13" t="n">
        <v>2026</v>
      </c>
      <c r="K245" s="10" t="n">
        <v>46055</v>
      </c>
      <c r="L245" s="13" t="n">
        <v>1</v>
      </c>
      <c r="M245" s="8">
        <f>L245*G245</f>
        <v/>
      </c>
      <c r="P245" s="9" t="n"/>
    </row>
    <row r="246">
      <c r="A246" s="13" t="inlineStr">
        <is>
          <t>Baron, Airship Kingdom / Baron, Reino dos Navios Voladores</t>
        </is>
      </c>
      <c r="B246" s="13" t="inlineStr">
        <is>
          <t>Terreno — Vila</t>
        </is>
      </c>
      <c r="C246" s="13" t="inlineStr">
        <is>
          <t>Rara</t>
        </is>
      </c>
      <c r="D246" s="13" t="inlineStr">
        <is>
          <t>Este terreno entra virado. {T}: Adicione {U} ou {R}.</t>
        </is>
      </c>
      <c r="E246" s="13" t="inlineStr">
        <is>
          <t>Não encontrado</t>
        </is>
      </c>
      <c r="F246" s="13" t="inlineStr">
        <is>
          <t>Incolor</t>
        </is>
      </c>
      <c r="G246" s="8" t="n">
        <v>0.2</v>
      </c>
      <c r="H246" s="13" t="inlineStr">
        <is>
          <t>Final Fantasy</t>
        </is>
      </c>
      <c r="I246" s="13" t="inlineStr">
        <is>
          <t>Não</t>
        </is>
      </c>
      <c r="J246" s="13" t="n">
        <v>2025</v>
      </c>
      <c r="L246" s="13" t="n">
        <v>3</v>
      </c>
      <c r="M246" s="8">
        <f>L246*G246</f>
        <v/>
      </c>
      <c r="P246" s="9" t="n"/>
    </row>
    <row r="247">
      <c r="A247" s="13" t="inlineStr">
        <is>
          <t>Barreira de Espadas / Wall of Swords</t>
        </is>
      </c>
      <c r="B247" s="13" t="inlineStr">
        <is>
          <t>Invocação de Barreira / Summon Wall</t>
        </is>
      </c>
      <c r="C247" s="13" t="inlineStr">
        <is>
          <t>Incomum / Uncommon</t>
        </is>
      </c>
      <c r="D247" s="13" t="inlineStr">
        <is>
          <t>Voador / Flying</t>
        </is>
      </c>
      <c r="E247" s="13" t="inlineStr">
        <is>
          <t>{3}{W}</t>
        </is>
      </c>
      <c r="F247" s="13" t="inlineStr">
        <is>
          <t>Branco</t>
        </is>
      </c>
      <c r="G247" s="8" t="n">
        <v>0.1</v>
      </c>
      <c r="H247" s="13" t="inlineStr">
        <is>
          <t>Fourth Edition</t>
        </is>
      </c>
      <c r="I247" s="13" t="inlineStr">
        <is>
          <t>Não</t>
        </is>
      </c>
      <c r="J247" s="13" t="n">
        <v>1995</v>
      </c>
      <c r="K247" s="10" t="n">
        <v>46145</v>
      </c>
      <c r="L247" s="13" t="n">
        <v>2</v>
      </c>
      <c r="M247" s="8">
        <f>L247*G247</f>
        <v/>
      </c>
      <c r="P247" s="9" t="n"/>
    </row>
    <row r="248">
      <c r="A248" s="13" t="inlineStr">
        <is>
          <t>Barreira de Espadas / Wall of Swords</t>
        </is>
      </c>
      <c r="B248" s="13" t="inlineStr">
        <is>
          <t>Invocação de Barreira / Summon Wall</t>
        </is>
      </c>
      <c r="C248" s="13" t="inlineStr">
        <is>
          <t>Incomum / Uncommon</t>
        </is>
      </c>
      <c r="D248" s="13" t="inlineStr">
        <is>
          <t>Voador / Flying</t>
        </is>
      </c>
      <c r="E248" s="13" t="inlineStr">
        <is>
          <t>{3}{W}</t>
        </is>
      </c>
      <c r="F248" s="13" t="inlineStr">
        <is>
          <t>Branco</t>
        </is>
      </c>
      <c r="G248" s="8" t="n">
        <v>0.43</v>
      </c>
      <c r="H248" s="13" t="inlineStr">
        <is>
          <t>Fourth Edition (BB)</t>
        </is>
      </c>
      <c r="I248" s="13" t="inlineStr">
        <is>
          <t>Não</t>
        </is>
      </c>
      <c r="J248" s="13" t="n">
        <v>1995</v>
      </c>
      <c r="K248" s="10" t="n">
        <v>46145</v>
      </c>
      <c r="L248" s="13" t="n">
        <v>1</v>
      </c>
      <c r="M248" s="8">
        <f>L248*G248</f>
        <v/>
      </c>
      <c r="P248" s="9" t="n"/>
    </row>
    <row r="249">
      <c r="A249" s="13" t="inlineStr">
        <is>
          <t>Barren Moor</t>
        </is>
      </c>
      <c r="B249" s="13" t="inlineStr">
        <is>
          <t>Terreno / Land</t>
        </is>
      </c>
      <c r="C249" s="13" t="inlineStr">
        <is>
          <t>Comum / Common</t>
        </is>
      </c>
      <c r="D249" s="13" t="inlineStr">
        <is>
          <t>Barren Moor comes into play tapped. {T}: Add {B} to your mana pool. Cycling {B} ({B}, Discard this card from your hand: Draw a card.)</t>
        </is>
      </c>
      <c r="E249" s="13" t="inlineStr">
        <is>
          <t>N/A</t>
        </is>
      </c>
      <c r="F249" s="13" t="inlineStr">
        <is>
          <t>Preto / Black</t>
        </is>
      </c>
      <c r="G249" s="8" t="n">
        <v>0.39</v>
      </c>
      <c r="H249" s="13" t="inlineStr">
        <is>
          <t>Onslaught (ONS)</t>
        </is>
      </c>
      <c r="I249" s="13" t="inlineStr">
        <is>
          <t>Não</t>
        </is>
      </c>
      <c r="J249" s="13" t="n">
        <v>2002</v>
      </c>
      <c r="L249" s="13" t="n">
        <v>1</v>
      </c>
      <c r="M249" s="8">
        <f>L249*G249</f>
        <v/>
      </c>
      <c r="P249" s="9" t="n"/>
    </row>
    <row r="250">
      <c r="A250" s="13" t="inlineStr">
        <is>
          <t>Barret Wallace / Barret Wallace</t>
        </is>
      </c>
      <c r="B250" s="13" t="inlineStr">
        <is>
          <t>Criatura Lendária — Humano Rebelde</t>
        </is>
      </c>
      <c r="C250" s="13" t="inlineStr">
        <is>
          <t>Incomum</t>
        </is>
      </c>
      <c r="D250" s="13" t="inlineStr">
        <is>
          <t>Alcance. Sempre que Barret Wallace atacar, ele causa dano igual ao número de criaturas equipadas que você controla ao jogador defensor.</t>
        </is>
      </c>
      <c r="E250" s="13" t="inlineStr">
        <is>
          <t>3R</t>
        </is>
      </c>
      <c r="F250" s="13" t="inlineStr">
        <is>
          <t>Vermelho</t>
        </is>
      </c>
      <c r="G250" s="8" t="n">
        <v>0.2</v>
      </c>
      <c r="H250" s="13" t="inlineStr">
        <is>
          <t>Final Fantasy</t>
        </is>
      </c>
      <c r="I250" s="13" t="inlineStr">
        <is>
          <t>Não</t>
        </is>
      </c>
      <c r="J250" s="13" t="n">
        <v>2025</v>
      </c>
      <c r="K250" s="10" t="n">
        <v>46116</v>
      </c>
      <c r="L250" s="13" t="n">
        <v>2</v>
      </c>
      <c r="M250" s="8">
        <f>L250*G250</f>
        <v/>
      </c>
      <c r="P250" s="9" t="n"/>
    </row>
    <row r="251">
      <c r="A251" s="13" t="inlineStr">
        <is>
          <t>Bartz and Boko / Bartz e Boko</t>
        </is>
      </c>
      <c r="B251" s="13" t="inlineStr">
        <is>
          <t>Criatura Lendária — Humano Ave</t>
        </is>
      </c>
      <c r="C251" s="13" t="inlineStr">
        <is>
          <t>Rara</t>
        </is>
      </c>
      <c r="D251" s="13" t="inlineStr">
        <is>
          <t>Afinidade com Aves (Esta mágica custa {1} a menos para ser conjurada para cada Ave que você controla.) Quando Bartz e Boko entrar, cada outra Ave que você controla causa dano igual ao próprio poder à criatura alvo que um oponente controla.</t>
        </is>
      </c>
      <c r="E251" s="13" t="inlineStr">
        <is>
          <t>3{G}{G}</t>
        </is>
      </c>
      <c r="F251" s="13" t="inlineStr">
        <is>
          <t>Verde</t>
        </is>
      </c>
      <c r="G251" s="8" t="n">
        <v>0.79</v>
      </c>
      <c r="H251" s="13" t="inlineStr">
        <is>
          <t>Final Fantasy</t>
        </is>
      </c>
      <c r="I251" s="13" t="inlineStr">
        <is>
          <t>Não</t>
        </is>
      </c>
      <c r="J251" s="13" t="n">
        <v>2025</v>
      </c>
      <c r="K251" s="10" t="n">
        <v>46085</v>
      </c>
      <c r="L251" s="13" t="n">
        <v>1</v>
      </c>
      <c r="M251" s="8">
        <f>L251*G251</f>
        <v/>
      </c>
      <c r="P251" s="9" t="n"/>
    </row>
    <row r="252">
      <c r="A252" s="13" t="inlineStr">
        <is>
          <t>Basal Thrull</t>
        </is>
      </c>
      <c r="B252" s="13" t="inlineStr">
        <is>
          <t>Creature — Thrull</t>
        </is>
      </c>
      <c r="C252" s="13" t="inlineStr">
        <is>
          <t>Common / Comum</t>
        </is>
      </c>
      <c r="D252" s="13" t="inlineStr">
        <is>
          <t>{T}, Sacrifice this creature: Add {B}{B}.</t>
        </is>
      </c>
      <c r="E252" s="13" t="inlineStr">
        <is>
          <t>{B}{B}</t>
        </is>
      </c>
      <c r="F252" s="13" t="inlineStr">
        <is>
          <t>Preto</t>
        </is>
      </c>
      <c r="G252" s="8" t="n">
        <v>0.5</v>
      </c>
      <c r="H252" s="13" t="inlineStr">
        <is>
          <t>Fallen Empires (FEM)</t>
        </is>
      </c>
      <c r="I252" s="13" t="inlineStr">
        <is>
          <t>Não</t>
        </is>
      </c>
      <c r="J252" s="13" t="n">
        <v>1994</v>
      </c>
      <c r="K252" s="10" t="n">
        <v>46054</v>
      </c>
      <c r="L252" s="13" t="n">
        <v>1</v>
      </c>
      <c r="M252" s="8">
        <f>L252*G252</f>
        <v/>
      </c>
      <c r="P252" s="9" t="n"/>
    </row>
    <row r="253">
      <c r="A253" s="13" t="inlineStr">
        <is>
          <t>Basal Thrull</t>
        </is>
      </c>
      <c r="B253" s="13" t="inlineStr">
        <is>
          <t>Creature — Thrull</t>
        </is>
      </c>
      <c r="C253" s="13" t="inlineStr">
        <is>
          <t>Common / Comum</t>
        </is>
      </c>
      <c r="D253" s="13" t="inlineStr">
        <is>
          <t>{T}, Sacrifice this creature: Add {B}{B}.</t>
        </is>
      </c>
      <c r="E253" s="13" t="inlineStr">
        <is>
          <t>{B}{B}</t>
        </is>
      </c>
      <c r="F253" s="13" t="inlineStr">
        <is>
          <t>Preto</t>
        </is>
      </c>
      <c r="G253" s="8" t="n">
        <v>0.8</v>
      </c>
      <c r="H253" s="13" t="inlineStr">
        <is>
          <t>Fallen Empires (FEM)</t>
        </is>
      </c>
      <c r="I253" s="13" t="inlineStr">
        <is>
          <t>Não</t>
        </is>
      </c>
      <c r="J253" s="13" t="n">
        <v>1994</v>
      </c>
      <c r="K253" s="10" t="n">
        <v>46054</v>
      </c>
      <c r="L253" s="13" t="n">
        <v>1</v>
      </c>
      <c r="M253" s="8">
        <f>L253*G253</f>
        <v/>
      </c>
      <c r="P253" s="9" t="n"/>
    </row>
    <row r="254">
      <c r="A254" s="13" t="inlineStr">
        <is>
          <t>Bassara Tower Archer / Arqueiro da Torre de Bassara</t>
        </is>
      </c>
      <c r="B254" s="13" t="inlineStr">
        <is>
          <t>Creature — Human Archer / Criatura — Humano Arqueiro</t>
        </is>
      </c>
      <c r="C254" s="13" t="inlineStr">
        <is>
          <t>Uncommon / Incomum</t>
        </is>
      </c>
      <c r="D254" s="13" t="inlineStr">
        <is>
          <t>Hexproof, reach / Resistência a magia, alcance</t>
        </is>
      </c>
      <c r="E254" s="13" t="inlineStr">
        <is>
          <t>{G}{G}</t>
        </is>
      </c>
      <c r="F254" s="13" t="inlineStr">
        <is>
          <t>Verde</t>
        </is>
      </c>
      <c r="G254" s="8" t="n">
        <v>0.2</v>
      </c>
      <c r="H254" s="13" t="inlineStr">
        <is>
          <t>Journey into Nyx (JOU)</t>
        </is>
      </c>
      <c r="I254" s="13" t="inlineStr">
        <is>
          <t>Não</t>
        </is>
      </c>
      <c r="J254" s="13" t="n">
        <v>2014</v>
      </c>
      <c r="K254" s="10" t="n">
        <v>46024</v>
      </c>
      <c r="L254" s="13" t="n">
        <v>1</v>
      </c>
      <c r="M254" s="8">
        <f>L254*G254</f>
        <v/>
      </c>
      <c r="P254" s="9" t="n"/>
    </row>
    <row r="255">
      <c r="A255" s="13" t="inlineStr">
        <is>
          <t>Baton of Morale / Bastão de Moral</t>
        </is>
      </c>
      <c r="B255" s="13" t="inlineStr">
        <is>
          <t>Artifact</t>
        </is>
      </c>
      <c r="C255" s="13" t="inlineStr">
        <is>
          <t>Uncommon</t>
        </is>
      </c>
      <c r="D255" s="13" t="inlineStr">
        <is>
          <t>{2}: Target creature gains banding until end of turn.</t>
        </is>
      </c>
      <c r="E255" s="13" t="inlineStr">
        <is>
          <t>{2}</t>
        </is>
      </c>
      <c r="F255" s="13" t="inlineStr">
        <is>
          <t>Incolor</t>
        </is>
      </c>
      <c r="G255" s="8" t="n">
        <v>0.1</v>
      </c>
      <c r="H255" s="13" t="inlineStr">
        <is>
          <t>Fourth Edition (4ED)</t>
        </is>
      </c>
      <c r="I255" s="13" t="inlineStr">
        <is>
          <t>Não</t>
        </is>
      </c>
      <c r="J255" s="13" t="n">
        <v>1995</v>
      </c>
      <c r="L255" s="13" t="n">
        <v>1</v>
      </c>
      <c r="M255" s="8">
        <f>L255*G255</f>
        <v/>
      </c>
      <c r="P255" s="9" t="n"/>
    </row>
    <row r="256">
      <c r="A256" s="13" t="inlineStr">
        <is>
          <t>Battering Ram / Aríete</t>
        </is>
      </c>
      <c r="B256" s="13" t="inlineStr">
        <is>
          <t>Artifact Creature</t>
        </is>
      </c>
      <c r="C256" s="13" t="inlineStr">
        <is>
          <t>Comum</t>
        </is>
      </c>
      <c r="D256" s="13" t="inlineStr">
        <is>
          <t>Banding when attacking. At the end of combat, destroy all walls blocking Battering Ram.</t>
        </is>
      </c>
      <c r="E256" s="13" t="inlineStr">
        <is>
          <t>{2}</t>
        </is>
      </c>
      <c r="F256" s="13" t="inlineStr">
        <is>
          <t>Incolor</t>
        </is>
      </c>
      <c r="G256" s="8" t="n">
        <v>0.05</v>
      </c>
      <c r="H256" s="13" t="inlineStr">
        <is>
          <t>Fourth Edition (4ED)</t>
        </is>
      </c>
      <c r="I256" s="13" t="inlineStr">
        <is>
          <t>Não</t>
        </is>
      </c>
      <c r="J256" s="13" t="n">
        <v>1995</v>
      </c>
      <c r="K256" s="10" t="n">
        <v>46023</v>
      </c>
      <c r="L256" s="13" t="n">
        <v>3</v>
      </c>
      <c r="M256" s="8">
        <f>L256*G256</f>
        <v/>
      </c>
      <c r="P256" s="9" t="n"/>
    </row>
    <row r="257">
      <c r="A257" s="13" t="inlineStr">
        <is>
          <t>Battle at the Big Bridge // Fatal Push / Batalha na Grande Ponte // Empurrão Fatal</t>
        </is>
      </c>
      <c r="B257" s="13" t="inlineStr">
        <is>
          <t>Mágica Instantânea</t>
        </is>
      </c>
      <c r="C257" s="13" t="inlineStr">
        <is>
          <t>Incomum</t>
        </is>
      </c>
      <c r="D257" s="13" t="inlineStr">
        <is>
          <t>Destrua a criatura alvo se ela tiver valor de mana igual ou inferior a 2. Revolta — Em vez disso, destrua aquela criatura se ela tiver valor de mana igual ou inferior a 4 se uma permanente que você controlava tiver deixado o campo de batalha neste turno.</t>
        </is>
      </c>
      <c r="E257" s="13" t="inlineStr">
        <is>
          <t>{B}</t>
        </is>
      </c>
      <c r="F257" s="13" t="inlineStr">
        <is>
          <t>Preto</t>
        </is>
      </c>
      <c r="G257" s="8" t="n">
        <v>3.8</v>
      </c>
      <c r="H257" s="13" t="inlineStr">
        <is>
          <t>Final Fantasy</t>
        </is>
      </c>
      <c r="I257" s="13" t="inlineStr">
        <is>
          <t>Não</t>
        </is>
      </c>
      <c r="J257" s="13" t="n">
        <v>2025</v>
      </c>
      <c r="L257" s="13" t="n">
        <v>1</v>
      </c>
      <c r="M257" s="8">
        <f>L257*G257</f>
        <v/>
      </c>
      <c r="P257" s="9" t="n"/>
    </row>
    <row r="258">
      <c r="A258" s="13" t="inlineStr">
        <is>
          <t>Battle Cry</t>
        </is>
      </c>
      <c r="B258" s="13" t="inlineStr">
        <is>
          <t>Mágica Instantânea / Instant</t>
        </is>
      </c>
      <c r="C258" s="13" t="inlineStr">
        <is>
          <t>Comum / Common</t>
        </is>
      </c>
      <c r="D258" s="13" t="inlineStr">
        <is>
          <t>Untap all white creatures you control. Any creature that blocks this turn gets +0/+1 until end of turn.</t>
        </is>
      </c>
      <c r="E258" s="13" t="inlineStr">
        <is>
          <t>{2}{W}</t>
        </is>
      </c>
      <c r="F258" s="13" t="inlineStr">
        <is>
          <t>Branco</t>
        </is>
      </c>
      <c r="G258" s="8" t="n">
        <v>0.05</v>
      </c>
      <c r="H258" s="13" t="inlineStr">
        <is>
          <t>Ice Age (ICE)</t>
        </is>
      </c>
      <c r="I258" s="13" t="inlineStr">
        <is>
          <t>Não</t>
        </is>
      </c>
      <c r="J258" s="13" t="n">
        <v>1995</v>
      </c>
      <c r="L258" s="13" t="n">
        <v>1</v>
      </c>
      <c r="M258" s="8">
        <f>L258*G258</f>
        <v/>
      </c>
      <c r="P258" s="9" t="n"/>
    </row>
    <row r="259">
      <c r="A259" s="13" t="inlineStr">
        <is>
          <t>Battle Cry Goblin / Goblin do Grito de Guerra</t>
        </is>
      </c>
      <c r="B259" s="13" t="inlineStr">
        <is>
          <t>Creature — Goblin / Criatura — Goblin</t>
        </is>
      </c>
      <c r="C259" s="13" t="inlineStr">
        <is>
          <t>Uncommon / Incomum</t>
        </is>
      </c>
      <c r="D259" s="13"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259" s="13" t="inlineStr">
        <is>
          <t>{1}{R}</t>
        </is>
      </c>
      <c r="F259" s="13" t="inlineStr">
        <is>
          <t>Vermelho</t>
        </is>
      </c>
      <c r="G259" s="8" t="n">
        <v>1.16</v>
      </c>
      <c r="H259" s="13" t="inlineStr">
        <is>
          <t>Dungeons &amp; Dragons: Adventures in the Forgotten Realms (AFR)</t>
        </is>
      </c>
      <c r="I259" s="13" t="inlineStr">
        <is>
          <t>Não</t>
        </is>
      </c>
      <c r="J259" s="13" t="n">
        <v>2021</v>
      </c>
      <c r="K259" s="10" t="n">
        <v>46055</v>
      </c>
      <c r="L259" s="13" t="n">
        <v>4</v>
      </c>
      <c r="M259" s="8">
        <f>L259*G259</f>
        <v/>
      </c>
      <c r="P259" s="9" t="n"/>
    </row>
    <row r="260">
      <c r="A260" s="13" t="inlineStr">
        <is>
          <t>Battle Frenzy / Frenesi de Batalha</t>
        </is>
      </c>
      <c r="B260" s="13" t="inlineStr">
        <is>
          <t>Instant</t>
        </is>
      </c>
      <c r="C260" s="13" t="inlineStr">
        <is>
          <t>Common / Comum</t>
        </is>
      </c>
      <c r="D260" s="13" t="inlineStr">
        <is>
          <t>Green creatures you control get +1/+1 until end of turn. Nongreen creatures you control get +1/+0 until end of turn.</t>
        </is>
      </c>
      <c r="E260" s="13" t="inlineStr">
        <is>
          <t>{2}{R}</t>
        </is>
      </c>
      <c r="F260" s="13" t="inlineStr">
        <is>
          <t>Vermelho</t>
        </is>
      </c>
      <c r="G260" s="8" t="n">
        <v>0.05</v>
      </c>
      <c r="H260" s="13" t="inlineStr">
        <is>
          <t>Ice Age (ICE)</t>
        </is>
      </c>
      <c r="I260" s="13" t="inlineStr">
        <is>
          <t>Não</t>
        </is>
      </c>
      <c r="J260" s="13" t="n">
        <v>1995</v>
      </c>
      <c r="L260" s="13" t="n">
        <v>2</v>
      </c>
      <c r="M260" s="8">
        <f>L260*G260</f>
        <v/>
      </c>
      <c r="P260" s="9" t="n"/>
    </row>
    <row r="261">
      <c r="A261" s="13" t="inlineStr">
        <is>
          <t>Battle Menu / Menu de Batalha</t>
        </is>
      </c>
      <c r="B261" s="13" t="inlineStr">
        <is>
          <t>Mágica Instantânea</t>
        </is>
      </c>
      <c r="C261" s="13" t="inlineStr">
        <is>
          <t>Incomum</t>
        </is>
      </c>
      <c r="D261" s="13" t="inlineStr">
        <is>
          <t>Escolha um — • Attack — Crie uma ficha de criatura Cavaleiro branca 2/2. • Ability — A criatura alvo recebe +0/+4 até o final do turno. • Magic — Destrua a criatura alvo com poder igual ou superior a 4. • Item — Você ganha 4 de vida.</t>
        </is>
      </c>
      <c r="E261" s="13" t="inlineStr">
        <is>
          <t>1{W}</t>
        </is>
      </c>
      <c r="F261" s="13" t="inlineStr">
        <is>
          <t>Branco</t>
        </is>
      </c>
      <c r="G261" s="8" t="n">
        <v>0.25</v>
      </c>
      <c r="H261" s="13" t="inlineStr">
        <is>
          <t>Final Fantasy</t>
        </is>
      </c>
      <c r="I261" s="13" t="inlineStr">
        <is>
          <t>Não</t>
        </is>
      </c>
      <c r="J261" s="13" t="n">
        <v>2025</v>
      </c>
      <c r="L261" s="13" t="n">
        <v>1</v>
      </c>
      <c r="M261" s="8">
        <f>L261*G261</f>
        <v/>
      </c>
      <c r="P261" s="9" t="n"/>
    </row>
    <row r="262">
      <c r="A262" s="13" t="inlineStr">
        <is>
          <t>Battle Plan / Plano de Batalha</t>
        </is>
      </c>
      <c r="B262" s="13" t="inlineStr">
        <is>
          <t>Enchantment / Encantamento</t>
        </is>
      </c>
      <c r="C262" s="13" t="inlineStr">
        <is>
          <t>Common / Comum</t>
        </is>
      </c>
      <c r="D262" s="13"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262" s="13" t="inlineStr">
        <is>
          <t>{3}{R}</t>
        </is>
      </c>
      <c r="F262" s="13" t="inlineStr">
        <is>
          <t>Vermelho</t>
        </is>
      </c>
      <c r="G262" s="8" t="n">
        <v>0.04</v>
      </c>
      <c r="H262" s="13" t="inlineStr">
        <is>
          <t>Modern Horizons 2 (MH2)</t>
        </is>
      </c>
      <c r="I262" s="13" t="inlineStr">
        <is>
          <t>Não</t>
        </is>
      </c>
      <c r="J262" s="13" t="n">
        <v>2021</v>
      </c>
      <c r="L262" s="13" t="n">
        <v>1</v>
      </c>
      <c r="M262" s="8">
        <f>L262*G262</f>
        <v/>
      </c>
      <c r="P262" s="9" t="n"/>
    </row>
    <row r="263">
      <c r="A263" s="13" t="inlineStr">
        <is>
          <t>Battle-Rage Blessing / Bênção da Fúria de Batalha</t>
        </is>
      </c>
      <c r="B263" s="13" t="inlineStr">
        <is>
          <t>Instant / Mágica Instantânea</t>
        </is>
      </c>
      <c r="C263" s="13" t="inlineStr">
        <is>
          <t>Common / Comum</t>
        </is>
      </c>
      <c r="D263" s="13"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263" s="13" t="inlineStr">
        <is>
          <t>{1}{B}</t>
        </is>
      </c>
      <c r="F263" s="13" t="inlineStr">
        <is>
          <t>Preto</t>
        </is>
      </c>
      <c r="G263" s="8" t="n">
        <v>0.1</v>
      </c>
      <c r="H263" s="13" t="inlineStr">
        <is>
          <t>Dominaria United (DMU)</t>
        </is>
      </c>
      <c r="I263" s="13" t="inlineStr">
        <is>
          <t>Não</t>
        </is>
      </c>
      <c r="J263" s="13" t="n">
        <v>2022</v>
      </c>
      <c r="L263" s="13" t="n">
        <v>1</v>
      </c>
      <c r="M263" s="8">
        <f>L263*G263</f>
        <v/>
      </c>
      <c r="P263" s="9" t="n"/>
    </row>
    <row r="264">
      <c r="A264" s="13" t="inlineStr">
        <is>
          <t>Battlefield Promotion / Promoção em Campo</t>
        </is>
      </c>
      <c r="B264" s="13" t="inlineStr">
        <is>
          <t>Instant / Mágica Instantânea</t>
        </is>
      </c>
      <c r="C264" s="13" t="inlineStr">
        <is>
          <t>Common / Comum</t>
        </is>
      </c>
      <c r="D264" s="13"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264" s="13" t="inlineStr">
        <is>
          <t>{1}{W}</t>
        </is>
      </c>
      <c r="F264" s="13" t="inlineStr">
        <is>
          <t>Branco</t>
        </is>
      </c>
      <c r="G264" s="8" t="n">
        <v>0.05</v>
      </c>
      <c r="H264" s="13" t="inlineStr">
        <is>
          <t>War of the Spark (WAR)</t>
        </is>
      </c>
      <c r="I264" s="13" t="inlineStr">
        <is>
          <t>Não</t>
        </is>
      </c>
      <c r="J264" s="13" t="n">
        <v>2019</v>
      </c>
      <c r="L264" s="13" t="n">
        <v>2</v>
      </c>
      <c r="M264" s="8">
        <f>L264*G264</f>
        <v/>
      </c>
      <c r="P264" s="9" t="n"/>
    </row>
    <row r="265">
      <c r="A265" s="13" t="inlineStr">
        <is>
          <t>Battlefield Thaumaturge / Taumaturgo da Batalha</t>
        </is>
      </c>
      <c r="B265" s="13" t="inlineStr">
        <is>
          <t>Criatura — Humano Mago</t>
        </is>
      </c>
      <c r="C265" s="13" t="inlineStr">
        <is>
          <t>Rara</t>
        </is>
      </c>
      <c r="D265" s="13"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65" s="13" t="inlineStr">
        <is>
          <t>1U</t>
        </is>
      </c>
      <c r="F265" s="13" t="inlineStr">
        <is>
          <t>Azul</t>
        </is>
      </c>
      <c r="G265" s="8" t="n">
        <v>0.25</v>
      </c>
      <c r="H265" s="13" t="inlineStr">
        <is>
          <t>Journey into Nyx</t>
        </is>
      </c>
      <c r="I265" s="13" t="inlineStr">
        <is>
          <t>Não</t>
        </is>
      </c>
      <c r="J265" s="13" t="n">
        <v>2014</v>
      </c>
      <c r="K265" s="10" t="n">
        <v>46024</v>
      </c>
      <c r="L265" s="13" t="n">
        <v>2</v>
      </c>
      <c r="M265" s="8">
        <f>L265*G265</f>
        <v/>
      </c>
      <c r="P265" s="9" t="n"/>
    </row>
    <row r="266">
      <c r="A266" s="13" t="inlineStr">
        <is>
          <t>Battleground Geist / Geist do Campo de Batalha</t>
        </is>
      </c>
      <c r="B266" s="13" t="inlineStr">
        <is>
          <t>Creature — Spirit / Criatura — Espírito</t>
        </is>
      </c>
      <c r="C266" s="13" t="inlineStr">
        <is>
          <t>Common / Comum</t>
        </is>
      </c>
      <c r="D266" s="13" t="inlineStr">
        <is>
          <t>Flying Other Spirit creatures you control get +1/+0. / Voar As outras criaturas do tipo Espírito que você controla recebem +1/+0.</t>
        </is>
      </c>
      <c r="E266" s="13" t="inlineStr">
        <is>
          <t>{4}{U}</t>
        </is>
      </c>
      <c r="F266" s="13" t="inlineStr">
        <is>
          <t>Azul</t>
        </is>
      </c>
      <c r="G266" s="8" t="n">
        <v>0.1</v>
      </c>
      <c r="H266" s="13" t="inlineStr">
        <is>
          <t>Innistrad Remastered (INR)</t>
        </is>
      </c>
      <c r="I266" s="13" t="inlineStr">
        <is>
          <t>Não</t>
        </is>
      </c>
      <c r="J266" s="13" t="n">
        <v>2025</v>
      </c>
      <c r="K266" s="10" t="n">
        <v>46084</v>
      </c>
      <c r="L266" s="13" t="n">
        <v>1</v>
      </c>
      <c r="M266" s="8">
        <f>L266*G266</f>
        <v/>
      </c>
      <c r="P266" s="9" t="n"/>
    </row>
    <row r="267">
      <c r="A267" s="13" t="inlineStr">
        <is>
          <t>Baxter Stockman</t>
        </is>
      </c>
      <c r="B267" s="13" t="inlineStr">
        <is>
          <t>Legendary Creature — Human Scientist</t>
        </is>
      </c>
      <c r="C267" s="13" t="inlineStr">
        <is>
          <t>Uncommon / Incomum</t>
        </is>
      </c>
      <c r="D267" s="13" t="inlineStr">
        <is>
          <t>When Baxter Stockman enters, create a 1/1 colorless Robot artifact creature token. At the beginning of combat on your turn, target artifact creature you control gets +3/+0 and gains first strike and vigilance until end of turn.</t>
        </is>
      </c>
      <c r="E267" s="13" t="inlineStr">
        <is>
          <t>{3}{U}{R}</t>
        </is>
      </c>
      <c r="F267" s="13" t="inlineStr">
        <is>
          <t>Vermelho, Azul</t>
        </is>
      </c>
      <c r="G267" s="8" t="n">
        <v>0.12</v>
      </c>
      <c r="H267" s="13" t="inlineStr">
        <is>
          <t>Teenage Mutant Ninja Turtles (TMT)</t>
        </is>
      </c>
      <c r="I267" s="13" t="inlineStr">
        <is>
          <t>Não</t>
        </is>
      </c>
      <c r="J267" s="13" t="n">
        <v>2026</v>
      </c>
      <c r="K267" s="10" t="n">
        <v>46084</v>
      </c>
      <c r="L267" s="13" t="n">
        <v>2</v>
      </c>
      <c r="M267" s="8">
        <f>L267*G267</f>
        <v/>
      </c>
      <c r="P267" s="9" t="n"/>
    </row>
    <row r="268">
      <c r="A268" s="13" t="inlineStr">
        <is>
          <t>Beanstalk Giant / Gigante do Pé de Feijão</t>
        </is>
      </c>
      <c r="B268" s="13" t="inlineStr">
        <is>
          <t>Creature — Giant / Criatura — Gigante</t>
        </is>
      </c>
      <c r="C268" s="13" t="inlineStr">
        <is>
          <t>Uncommon / Incomum</t>
        </is>
      </c>
      <c r="D268" s="13"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268" s="13" t="inlineStr">
        <is>
          <t>{6}{G}</t>
        </is>
      </c>
      <c r="F268" s="13" t="inlineStr">
        <is>
          <t>Verde</t>
        </is>
      </c>
      <c r="G268" s="8" t="n">
        <v>0.59</v>
      </c>
      <c r="H268" s="13" t="inlineStr">
        <is>
          <t>Throne of Eldraine (ELD)</t>
        </is>
      </c>
      <c r="I268" s="13" t="inlineStr">
        <is>
          <t>Não</t>
        </is>
      </c>
      <c r="J268" s="13" t="n">
        <v>2019</v>
      </c>
      <c r="K268" s="13" t="inlineStr">
        <is>
          <t>*/*</t>
        </is>
      </c>
      <c r="L268" s="13" t="n">
        <v>1</v>
      </c>
      <c r="M268" s="8">
        <f>L268*G268</f>
        <v/>
      </c>
      <c r="P268" s="9" t="n"/>
    </row>
    <row r="269">
      <c r="A269" s="13" t="inlineStr">
        <is>
          <t>Bear Trap</t>
        </is>
      </c>
      <c r="B269" s="13" t="inlineStr">
        <is>
          <t>Artifact</t>
        </is>
      </c>
      <c r="C269" s="13" t="inlineStr">
        <is>
          <t>Common</t>
        </is>
      </c>
      <c r="D269" s="13" t="inlineStr">
        <is>
          <t>Flash. {3}, {T}, Sacrifice Bear Trap: It deals 3 damage to target creature.</t>
        </is>
      </c>
      <c r="E269" s="13" t="inlineStr">
        <is>
          <t>{1}</t>
        </is>
      </c>
      <c r="F269" s="13" t="inlineStr">
        <is>
          <t>Colorless</t>
        </is>
      </c>
      <c r="G269" s="8" t="n">
        <v>0.15</v>
      </c>
      <c r="H269" s="13" t="inlineStr">
        <is>
          <t>Duskmourn: House of Horror (DSK)</t>
        </is>
      </c>
      <c r="I269" s="13" t="inlineStr">
        <is>
          <t>Sim</t>
        </is>
      </c>
      <c r="J269" s="13" t="n">
        <v>2024</v>
      </c>
      <c r="L269" s="13" t="n">
        <v>1</v>
      </c>
      <c r="M269" s="8">
        <f>L269*G269</f>
        <v/>
      </c>
      <c r="P269" s="9" t="n"/>
    </row>
    <row r="270">
      <c r="A270" s="13" t="inlineStr">
        <is>
          <t>Bearer of Glory</t>
        </is>
      </c>
      <c r="B270" s="13" t="inlineStr">
        <is>
          <t>Creature — Human Soldier</t>
        </is>
      </c>
      <c r="C270" s="13" t="inlineStr">
        <is>
          <t>Common / Comum</t>
        </is>
      </c>
      <c r="D270" s="13" t="inlineStr">
        <is>
          <t>During your turn, this creature has first strike. {4}{W}: Creatures you control get +1/+1 until end of turn.</t>
        </is>
      </c>
      <c r="E270" s="13" t="inlineStr">
        <is>
          <t>{1}{W}</t>
        </is>
      </c>
      <c r="F270" s="13" t="inlineStr">
        <is>
          <t>Branco</t>
        </is>
      </c>
      <c r="G270" s="8" t="n">
        <v>0.02</v>
      </c>
      <c r="H270" s="13" t="inlineStr">
        <is>
          <t>Tarkir: Dragonstorm (TDM)</t>
        </is>
      </c>
      <c r="I270" s="13" t="inlineStr">
        <is>
          <t>Não</t>
        </is>
      </c>
      <c r="J270" s="13" t="n">
        <v>2025</v>
      </c>
      <c r="K270" s="10" t="n">
        <v>46024</v>
      </c>
      <c r="L270" s="13" t="n">
        <v>1</v>
      </c>
      <c r="M270" s="8">
        <f>L270*G270</f>
        <v/>
      </c>
      <c r="P270" s="9" t="n"/>
    </row>
    <row r="271">
      <c r="A271" s="13" t="inlineStr">
        <is>
          <t>Bearer of Memory / Portadora da Memória</t>
        </is>
      </c>
      <c r="B271" s="13" t="inlineStr">
        <is>
          <t>Enchantment Creature — Human Monk / Criatura Encantamento — Humano Monge</t>
        </is>
      </c>
      <c r="C271" s="13" t="inlineStr">
        <is>
          <t>Common / Comum</t>
        </is>
      </c>
      <c r="D271" s="13" t="inlineStr">
        <is>
          <t>{5}{G}: Put a +1/+1 counter on target enchantment creature. It gains trample until end of turn. / {5}{G}: Coloque um marcador +1/+1 na criatura encantamento alvo. Ela ganha atropelar até o final do turno.</t>
        </is>
      </c>
      <c r="E271" s="13" t="inlineStr">
        <is>
          <t>{2}{G}</t>
        </is>
      </c>
      <c r="F271" s="13" t="inlineStr">
        <is>
          <t>Verde</t>
        </is>
      </c>
      <c r="G271" s="8" t="n">
        <v>0.05</v>
      </c>
      <c r="H271" s="13" t="inlineStr">
        <is>
          <t>Kamigawa: Neon Dynasty (NEO)</t>
        </is>
      </c>
      <c r="I271" s="13" t="inlineStr">
        <is>
          <t>Não</t>
        </is>
      </c>
      <c r="J271" s="13" t="n">
        <v>2022</v>
      </c>
      <c r="K271" s="10" t="n">
        <v>46056</v>
      </c>
      <c r="L271" s="13" t="n">
        <v>1</v>
      </c>
      <c r="M271" s="8">
        <f>L271*G271</f>
        <v/>
      </c>
      <c r="P271" s="9" t="n"/>
    </row>
    <row r="272">
      <c r="A272" s="13" t="inlineStr">
        <is>
          <t>Bearer of the Heavens / Sustentáculo do Firmamento</t>
        </is>
      </c>
      <c r="B272" s="13" t="inlineStr">
        <is>
          <t>Criatura — Gigante</t>
        </is>
      </c>
      <c r="C272" s="13" t="inlineStr">
        <is>
          <t>Rara</t>
        </is>
      </c>
      <c r="D272" s="13" t="inlineStr">
        <is>
          <t>Quando Sustentáculo do Firmamento morrer, destrua todas as permanentes no início da próxima etapa final.</t>
        </is>
      </c>
      <c r="E272" s="13" t="inlineStr">
        <is>
          <t>7R</t>
        </is>
      </c>
      <c r="F272" s="13" t="inlineStr">
        <is>
          <t>Vermelho</t>
        </is>
      </c>
      <c r="G272" s="8" t="n">
        <v>0.25</v>
      </c>
      <c r="H272" s="13" t="inlineStr">
        <is>
          <t>Journey into Nyx</t>
        </is>
      </c>
      <c r="I272" s="13" t="inlineStr">
        <is>
          <t>Não</t>
        </is>
      </c>
      <c r="J272" s="13" t="n">
        <v>2014</v>
      </c>
      <c r="K272" s="10" t="n">
        <v>46305</v>
      </c>
      <c r="L272" s="13" t="n">
        <v>1</v>
      </c>
      <c r="M272" s="8">
        <f>L272*G272</f>
        <v/>
      </c>
      <c r="P272" s="9" t="n"/>
    </row>
    <row r="273">
      <c r="A273" s="13" t="inlineStr">
        <is>
          <t>Beast-Kin Ranger</t>
        </is>
      </c>
      <c r="B273" s="13" t="inlineStr">
        <is>
          <t>Creature — Elf Ranger</t>
        </is>
      </c>
      <c r="C273" s="13" t="inlineStr">
        <is>
          <t>Common / Comum</t>
        </is>
      </c>
      <c r="D273" s="13" t="inlineStr">
        <is>
          <t>Trample (This creature can deal excess combat damage to the player or planeswalker it's attacking.) Whenever another creature you control enters, this creature gets +1/+0 until end of turn.</t>
        </is>
      </c>
      <c r="E273" s="13" t="inlineStr">
        <is>
          <t>{2}{G}</t>
        </is>
      </c>
      <c r="F273" s="13" t="inlineStr">
        <is>
          <t>Verde</t>
        </is>
      </c>
      <c r="G273" s="8" t="n">
        <v>0.09</v>
      </c>
      <c r="H273" s="13" t="inlineStr">
        <is>
          <t>Foundations (FDN)</t>
        </is>
      </c>
      <c r="I273" s="13" t="inlineStr">
        <is>
          <t>Não</t>
        </is>
      </c>
      <c r="J273" s="13" t="n">
        <v>2024</v>
      </c>
      <c r="K273" s="10" t="n">
        <v>46084</v>
      </c>
      <c r="L273" s="13" t="n">
        <v>1</v>
      </c>
      <c r="M273" s="8">
        <f>L273*G273</f>
        <v/>
      </c>
      <c r="P273" s="9" t="n"/>
    </row>
    <row r="274">
      <c r="A274" s="13" t="inlineStr">
        <is>
          <t>Beastie Beatdown</t>
        </is>
      </c>
      <c r="B274" s="13" t="inlineStr">
        <is>
          <t>Sorcery</t>
        </is>
      </c>
      <c r="C274" s="13" t="inlineStr">
        <is>
          <t>Uncommon / Incomum</t>
        </is>
      </c>
      <c r="D274" s="13"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274" s="13" t="inlineStr">
        <is>
          <t>{R}{G}</t>
        </is>
      </c>
      <c r="F274" s="13" t="inlineStr">
        <is>
          <t>Verde, Vermelho</t>
        </is>
      </c>
      <c r="G274" s="8" t="n">
        <v>0.09</v>
      </c>
      <c r="H274" s="13" t="inlineStr">
        <is>
          <t>Duskmourn: House of Horror (DSK)</t>
        </is>
      </c>
      <c r="I274" s="13" t="inlineStr">
        <is>
          <t>Não</t>
        </is>
      </c>
      <c r="J274" s="13" t="n">
        <v>2024</v>
      </c>
      <c r="L274" s="13" t="n">
        <v>1</v>
      </c>
      <c r="M274" s="8">
        <f>L274*G274</f>
        <v/>
      </c>
      <c r="P274" s="9" t="n"/>
    </row>
    <row r="275">
      <c r="A275" s="13" t="inlineStr">
        <is>
          <t>Beastrider Vanguard</t>
        </is>
      </c>
      <c r="B275" s="13" t="inlineStr">
        <is>
          <t>Creature — Human Knight</t>
        </is>
      </c>
      <c r="C275" s="13" t="inlineStr">
        <is>
          <t>Common / Comum</t>
        </is>
      </c>
      <c r="D275" s="13" t="inlineStr">
        <is>
          <t>{4}{G}: Look at the top three cards of your library. You may reveal a permanent card from among them and put it into your hand. Put the rest on the bottom of your library in any order.</t>
        </is>
      </c>
      <c r="E275" s="13" t="inlineStr">
        <is>
          <t>{1}{G}</t>
        </is>
      </c>
      <c r="F275" s="13" t="inlineStr">
        <is>
          <t>Verde</t>
        </is>
      </c>
      <c r="G275" s="8" t="n">
        <v>0.05</v>
      </c>
      <c r="H275" s="13" t="inlineStr">
        <is>
          <t>Aetherdrift (DFT)</t>
        </is>
      </c>
      <c r="I275" s="13" t="inlineStr">
        <is>
          <t>Não</t>
        </is>
      </c>
      <c r="J275" s="13" t="n">
        <v>2025</v>
      </c>
      <c r="K275" s="10" t="n">
        <v>46055</v>
      </c>
      <c r="L275" s="13" t="n">
        <v>1</v>
      </c>
      <c r="M275" s="8">
        <f>L275*G275</f>
        <v/>
      </c>
      <c r="P275" s="9" t="n"/>
    </row>
    <row r="276">
      <c r="A276" s="13" t="inlineStr">
        <is>
          <t>Bebop &amp; Rocksteady</t>
        </is>
      </c>
      <c r="B276" s="13" t="inlineStr">
        <is>
          <t>Legendary Creature — Boar Rhino Mutant</t>
        </is>
      </c>
      <c r="C276" s="13" t="inlineStr">
        <is>
          <t>Rare / Rara</t>
        </is>
      </c>
      <c r="D276" s="13" t="inlineStr">
        <is>
          <t>Whenever Bebop &amp; Rocksteady attack or block, sacrifice a permanent unless you discard a card.</t>
        </is>
      </c>
      <c r="E276" s="13" t="inlineStr">
        <is>
          <t>{1}{B/G}{B/G}</t>
        </is>
      </c>
      <c r="F276" s="13" t="inlineStr">
        <is>
          <t>Preto, Verde</t>
        </is>
      </c>
      <c r="G276" s="8" t="n">
        <v>1.13</v>
      </c>
      <c r="H276" s="13" t="inlineStr">
        <is>
          <t>Teenage Mutant Ninja Turtles (TMT)</t>
        </is>
      </c>
      <c r="I276" s="13" t="inlineStr">
        <is>
          <t>Não</t>
        </is>
      </c>
      <c r="J276" s="13" t="n">
        <v>2026</v>
      </c>
      <c r="K276" s="10" t="n">
        <v>46149</v>
      </c>
      <c r="L276" s="13" t="n">
        <v>1</v>
      </c>
      <c r="M276" s="8">
        <f>L276*G276</f>
        <v/>
      </c>
      <c r="P276" s="9" t="n"/>
    </row>
    <row r="277">
      <c r="A277" s="13" t="inlineStr">
        <is>
          <t>Bebop, Warthog Warrior</t>
        </is>
      </c>
      <c r="B277" s="13" t="inlineStr">
        <is>
          <t>Legendary Creature — Boar Mutant Warrior</t>
        </is>
      </c>
      <c r="C277" s="13" t="inlineStr">
        <is>
          <t>Common / Comum</t>
        </is>
      </c>
      <c r="D277" s="13" t="inlineStr">
        <is>
          <t>Menace (This creature can't be blocked except by two or more creatures.) Rhinos you control have menace. Swampcycling {2} ({2}, Discard this card: Search your library for a Swamp card, reveal it, put it into your hand, then shuffle.)</t>
        </is>
      </c>
      <c r="E277" s="13" t="inlineStr">
        <is>
          <t>{4}{B}</t>
        </is>
      </c>
      <c r="F277" s="13" t="inlineStr">
        <is>
          <t>Preto</t>
        </is>
      </c>
      <c r="G277" s="8" t="n">
        <v>0.04</v>
      </c>
      <c r="H277" s="13" t="inlineStr">
        <is>
          <t>Teenage Mutant Ninja Turtles (TMT)</t>
        </is>
      </c>
      <c r="I277" s="13" t="inlineStr">
        <is>
          <t>Não</t>
        </is>
      </c>
      <c r="J277" s="13" t="n">
        <v>2026</v>
      </c>
      <c r="K277" s="10" t="n">
        <v>46117</v>
      </c>
      <c r="L277" s="13" t="n">
        <v>3</v>
      </c>
      <c r="M277" s="8">
        <f>L277*G277</f>
        <v/>
      </c>
      <c r="P277" s="9" t="n"/>
    </row>
    <row r="278">
      <c r="A278" s="13" t="inlineStr">
        <is>
          <t>Beckon Apparition / Instigar Aparição</t>
        </is>
      </c>
      <c r="B278" s="13" t="inlineStr">
        <is>
          <t>Instant / Mágica Instantânea</t>
        </is>
      </c>
      <c r="C278" s="13" t="inlineStr">
        <is>
          <t>Common / Comum</t>
        </is>
      </c>
      <c r="D278" s="13" t="inlineStr">
        <is>
          <t>Exile target card from a graveyard. Create a 1/1 white and black Spirit creature token with flying. / Exile o card alvo de um cemitério. Coloque no campo de batalha uma ficha de criatura branca e preta 1/1 do tipo Espírito com voar.</t>
        </is>
      </c>
      <c r="E278" s="13" t="inlineStr">
        <is>
          <t>{W/B}</t>
        </is>
      </c>
      <c r="F278" s="13" t="inlineStr">
        <is>
          <t>Preto, Branco</t>
        </is>
      </c>
      <c r="G278" s="8" t="n">
        <v>0.05</v>
      </c>
      <c r="H278" s="13" t="inlineStr">
        <is>
          <t>Ultimate Masters (UMA)</t>
        </is>
      </c>
      <c r="I278" s="13" t="inlineStr">
        <is>
          <t>Não</t>
        </is>
      </c>
      <c r="J278" s="13" t="n">
        <v>2018</v>
      </c>
      <c r="L278" s="13" t="n">
        <v>2</v>
      </c>
      <c r="M278" s="8">
        <f>L278*G278</f>
        <v/>
      </c>
      <c r="P278" s="9" t="n"/>
    </row>
    <row r="279">
      <c r="A279" s="13" t="inlineStr">
        <is>
          <t>Bedevil / Atormentar</t>
        </is>
      </c>
      <c r="B279" s="13" t="inlineStr">
        <is>
          <t>Mágica Instantânea</t>
        </is>
      </c>
      <c r="C279" s="13" t="inlineStr">
        <is>
          <t>Raro</t>
        </is>
      </c>
      <c r="D279" s="13" t="inlineStr">
        <is>
          <t>Destrua o artefato, a criatura ou o planeswalker alvo.</t>
        </is>
      </c>
      <c r="E279" s="13" t="inlineStr">
        <is>
          <t>{B}{B}{R}</t>
        </is>
      </c>
      <c r="F279" s="13" t="inlineStr">
        <is>
          <t>Multicolorido</t>
        </is>
      </c>
      <c r="G279" s="8" t="n">
        <v>1.5</v>
      </c>
      <c r="H279" s="13" t="inlineStr">
        <is>
          <t>Ravnica Allegiance</t>
        </is>
      </c>
      <c r="I279" s="13" t="inlineStr">
        <is>
          <t>Não</t>
        </is>
      </c>
      <c r="J279" s="13" t="n">
        <v>2019</v>
      </c>
      <c r="L279" s="13" t="n">
        <v>1</v>
      </c>
      <c r="M279" s="8">
        <f>L279*G279</f>
        <v/>
      </c>
      <c r="P279" s="9" t="n"/>
    </row>
    <row r="280">
      <c r="A280" s="13" t="inlineStr">
        <is>
          <t>Bedlam Reveler / Folião do Caos</t>
        </is>
      </c>
      <c r="B280" s="13" t="inlineStr">
        <is>
          <t>Creature — Devil Horror / Criatura — Diabo Horror</t>
        </is>
      </c>
      <c r="C280" s="13" t="inlineStr">
        <is>
          <t>Rare / Rara</t>
        </is>
      </c>
      <c r="D280" s="13"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280" s="13" t="inlineStr">
        <is>
          <t>{6}{R}{R}</t>
        </is>
      </c>
      <c r="F280" s="13" t="inlineStr">
        <is>
          <t>Vermelho</t>
        </is>
      </c>
      <c r="G280" s="8" t="n">
        <v>0.55</v>
      </c>
      <c r="H280" s="13" t="inlineStr">
        <is>
          <t>Eldritch Moon (EMN)</t>
        </is>
      </c>
      <c r="I280" s="13" t="inlineStr">
        <is>
          <t>Não</t>
        </is>
      </c>
      <c r="J280" s="13" t="n">
        <v>2016</v>
      </c>
      <c r="K280" s="10" t="n">
        <v>46115</v>
      </c>
      <c r="L280" s="13" t="n">
        <v>1</v>
      </c>
      <c r="M280" s="8">
        <f>L280*G280</f>
        <v/>
      </c>
      <c r="P280" s="9" t="n"/>
    </row>
    <row r="281">
      <c r="A281" s="13" t="inlineStr">
        <is>
          <t>Beetle-Headed Merchants</t>
        </is>
      </c>
      <c r="B281" s="13" t="inlineStr">
        <is>
          <t>Creature — Human Citizen</t>
        </is>
      </c>
      <c r="C281" s="13" t="inlineStr">
        <is>
          <t>Common / Comum</t>
        </is>
      </c>
      <c r="D281" s="13" t="inlineStr">
        <is>
          <t>Whenever this creature attacks, you may sacrifice another creature or artifact. If you do, draw a card and put a +1/+1 counter on this creature.</t>
        </is>
      </c>
      <c r="E281" s="13" t="inlineStr">
        <is>
          <t>{4}{B}</t>
        </is>
      </c>
      <c r="F281" s="13" t="inlineStr">
        <is>
          <t>Preto</t>
        </is>
      </c>
      <c r="G281" s="8" t="n">
        <v>0.04</v>
      </c>
      <c r="H281" s="13" t="inlineStr">
        <is>
          <t>Avatar: The Last Airbender (TLA)</t>
        </is>
      </c>
      <c r="I281" s="13" t="inlineStr">
        <is>
          <t>Não</t>
        </is>
      </c>
      <c r="J281" s="13" t="n">
        <v>2025</v>
      </c>
      <c r="K281" s="10" t="n">
        <v>46117</v>
      </c>
      <c r="L281" s="13" t="n">
        <v>3</v>
      </c>
      <c r="M281" s="8">
        <f>L281*G281</f>
        <v/>
      </c>
      <c r="P281" s="9" t="n"/>
    </row>
    <row r="282">
      <c r="A282" s="13" t="inlineStr">
        <is>
          <t>Beetle-Headed Merchants</t>
        </is>
      </c>
      <c r="B282" s="13" t="inlineStr">
        <is>
          <t>Creature — Human Citizen</t>
        </is>
      </c>
      <c r="C282" s="13" t="inlineStr">
        <is>
          <t>Common / Comum</t>
        </is>
      </c>
      <c r="D282" s="13" t="inlineStr">
        <is>
          <t>Whenever this creature attacks, you may sacrifice another creature or artifact. If you do, draw a card and put a +1/+1 counter on this creature.</t>
        </is>
      </c>
      <c r="E282" s="13" t="inlineStr">
        <is>
          <t>{4}{B}</t>
        </is>
      </c>
      <c r="F282" s="13" t="inlineStr">
        <is>
          <t>Preto</t>
        </is>
      </c>
      <c r="G282" s="8" t="n">
        <v>0.22</v>
      </c>
      <c r="H282" s="13" t="inlineStr">
        <is>
          <t>Avatar: The Last Airbender (TLA)</t>
        </is>
      </c>
      <c r="I282" s="13" t="inlineStr">
        <is>
          <t>Sim</t>
        </is>
      </c>
      <c r="J282" s="13" t="n">
        <v>2025</v>
      </c>
      <c r="K282" s="10" t="n">
        <v>46117</v>
      </c>
      <c r="L282" s="13" t="n">
        <v>1</v>
      </c>
      <c r="M282" s="8">
        <f>L282*G282</f>
        <v/>
      </c>
      <c r="P282" s="9" t="n"/>
    </row>
    <row r="283">
      <c r="A283" s="13" t="inlineStr">
        <is>
          <t>Beetleback Chief / Chefe de Costas de Besouro</t>
        </is>
      </c>
      <c r="B283" s="13" t="inlineStr">
        <is>
          <t>Criatura — Goblino Guerreiro</t>
        </is>
      </c>
      <c r="C283" s="13" t="inlineStr">
        <is>
          <t>Incomum</t>
        </is>
      </c>
      <c r="D283" s="13" t="inlineStr">
        <is>
          <t>Quando Chefe de Costas de Besouro entra no campo de batalha, coloque duas fichas de criatura 1/1 vermelha do tipo Goblino no campo de batalha.</t>
        </is>
      </c>
      <c r="E283" s="13" t="inlineStr">
        <is>
          <t>2RR</t>
        </is>
      </c>
      <c r="F283" s="13" t="inlineStr">
        <is>
          <t>Vermelho</t>
        </is>
      </c>
      <c r="G283" s="8" t="n">
        <v>0.5</v>
      </c>
      <c r="H283" s="13" t="inlineStr">
        <is>
          <t>Duel Decks: Speed vs. Cunning</t>
        </is>
      </c>
      <c r="I283" s="13" t="inlineStr">
        <is>
          <t>Não</t>
        </is>
      </c>
      <c r="J283" s="13" t="n">
        <v>2014</v>
      </c>
      <c r="K283" s="10" t="n">
        <v>46055</v>
      </c>
      <c r="L283" s="13" t="n">
        <v>2</v>
      </c>
      <c r="M283" s="8">
        <f>L283*G283</f>
        <v/>
      </c>
      <c r="P283" s="9" t="n"/>
    </row>
    <row r="284">
      <c r="A284" s="13" t="inlineStr">
        <is>
          <t>Beetleback Chief / Chefe de Costas de Besouro</t>
        </is>
      </c>
      <c r="B284" s="13" t="inlineStr">
        <is>
          <t>Criatura — Goblino Guerreiro</t>
        </is>
      </c>
      <c r="C284" s="13" t="inlineStr">
        <is>
          <t>Incomum</t>
        </is>
      </c>
      <c r="D284" s="13" t="inlineStr">
        <is>
          <t>Quando Chefe de Costas de Besouro entra no campo de batalha, coloque duas fichas de criatura 1/1 vermelha do tipo Goblino no campo de batalha.</t>
        </is>
      </c>
      <c r="E284" s="13" t="inlineStr">
        <is>
          <t>2RR</t>
        </is>
      </c>
      <c r="F284" s="13" t="inlineStr">
        <is>
          <t>Vermelho</t>
        </is>
      </c>
      <c r="G284" s="8" t="n">
        <v>0.25</v>
      </c>
      <c r="H284" s="13" t="inlineStr">
        <is>
          <t>Duel Decks: Speed vs. Cunning</t>
        </is>
      </c>
      <c r="I284" s="13" t="inlineStr">
        <is>
          <t>Não</t>
        </is>
      </c>
      <c r="J284" s="13" t="n">
        <v>2014</v>
      </c>
      <c r="K284" s="10" t="n">
        <v>46055</v>
      </c>
      <c r="L284" s="13" t="n">
        <v>2</v>
      </c>
      <c r="M284" s="8">
        <f>L284*G284</f>
        <v/>
      </c>
      <c r="P284" s="9" t="n"/>
    </row>
    <row r="285">
      <c r="A285" s="13" t="inlineStr">
        <is>
          <t>Befriending the Moths // Imperial Moth / Confraternizar com as Mariposas // Mariposa Imperial</t>
        </is>
      </c>
      <c r="B285" s="13" t="inlineStr">
        <is>
          <t>Enchantment — Saga // Enchantment Creature — Insect / Encantamento — Saga</t>
        </is>
      </c>
      <c r="C285" s="13" t="inlineStr">
        <is>
          <t>Common / Comum</t>
        </is>
      </c>
      <c r="D285" s="13"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285" s="13" t="inlineStr">
        <is>
          <t>{3}{W}</t>
        </is>
      </c>
      <c r="F285" s="13" t="inlineStr">
        <is>
          <t>Branco</t>
        </is>
      </c>
      <c r="G285" s="8" t="n">
        <v>0.06</v>
      </c>
      <c r="H285" s="13" t="inlineStr">
        <is>
          <t>Kamigawa: Neon Dynasty (NEO)</t>
        </is>
      </c>
      <c r="I285" s="13" t="inlineStr">
        <is>
          <t>Não</t>
        </is>
      </c>
      <c r="J285" s="13" t="n">
        <v>2022</v>
      </c>
      <c r="K285" s="10" t="n">
        <v>46114</v>
      </c>
      <c r="L285" s="13" t="n">
        <v>1</v>
      </c>
      <c r="M285" s="8">
        <f>L285*G285</f>
        <v/>
      </c>
      <c r="P285" s="9" t="n"/>
    </row>
    <row r="286">
      <c r="A286" s="13" t="inlineStr">
        <is>
          <t>Belle of the Brawl / Bela da Briga</t>
        </is>
      </c>
      <c r="B286" s="13" t="inlineStr">
        <is>
          <t>Creature — Human Knight / Criatura — Humano Cavaleiro</t>
        </is>
      </c>
      <c r="C286" s="13" t="inlineStr">
        <is>
          <t>Uncommon / Incomum</t>
        </is>
      </c>
      <c r="D286" s="13"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286" s="13" t="inlineStr">
        <is>
          <t>{2}{B}</t>
        </is>
      </c>
      <c r="F286" s="13" t="inlineStr">
        <is>
          <t>Preto</t>
        </is>
      </c>
      <c r="G286" s="8" t="n">
        <v>0.07000000000000001</v>
      </c>
      <c r="H286" s="13" t="inlineStr">
        <is>
          <t>Throne of Eldraine (ELD)</t>
        </is>
      </c>
      <c r="I286" s="13" t="inlineStr">
        <is>
          <t>Não</t>
        </is>
      </c>
      <c r="J286" s="13" t="n">
        <v>2019</v>
      </c>
      <c r="K286" s="10" t="n">
        <v>46056</v>
      </c>
      <c r="L286" s="13" t="n">
        <v>1</v>
      </c>
      <c r="M286" s="8">
        <f>L286*G286</f>
        <v/>
      </c>
      <c r="P286" s="9" t="n"/>
    </row>
    <row r="287">
      <c r="A287" s="13" t="inlineStr">
        <is>
          <t>Belligerent of the Ball / Beligerante do Baile</t>
        </is>
      </c>
      <c r="B287" s="13" t="inlineStr">
        <is>
          <t>Creature — Ogre Warrior / Criatura — Ogro Guerreiro</t>
        </is>
      </c>
      <c r="C287" s="13" t="inlineStr">
        <is>
          <t>Uncommon / Incomum</t>
        </is>
      </c>
      <c r="D287" s="13"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287" s="13" t="inlineStr">
        <is>
          <t>{2}{R}</t>
        </is>
      </c>
      <c r="F287" s="13" t="inlineStr">
        <is>
          <t>Vermelho</t>
        </is>
      </c>
      <c r="G287" s="8" t="n">
        <v>0.07000000000000001</v>
      </c>
      <c r="H287" s="13" t="inlineStr">
        <is>
          <t>Wilds of Eldraine (WOE)</t>
        </is>
      </c>
      <c r="I287" s="13" t="inlineStr">
        <is>
          <t>Não</t>
        </is>
      </c>
      <c r="J287" s="13" t="n">
        <v>2023</v>
      </c>
      <c r="K287" s="10" t="n">
        <v>46084</v>
      </c>
      <c r="L287" s="13" t="n">
        <v>1</v>
      </c>
      <c r="M287" s="8">
        <f>L287*G287</f>
        <v/>
      </c>
      <c r="P287" s="9" t="n"/>
    </row>
    <row r="288">
      <c r="A288" s="13" t="inlineStr">
        <is>
          <t>Bellowing Saddlebrute / Ginete Brutal Urrante</t>
        </is>
      </c>
      <c r="B288" s="13" t="inlineStr">
        <is>
          <t>Creature — Orc Warrior / Criatura — Orc Guerreiro</t>
        </is>
      </c>
      <c r="C288" s="13" t="inlineStr">
        <is>
          <t>Uncommon / Incomum</t>
        </is>
      </c>
      <c r="D288" s="13" t="inlineStr">
        <is>
          <t>Raid — When this creature enters, you lose 4 life unless you attacked this turn. / Raide — Quando Ginete Brutal Urrante entra no campo de batalha, você perde 4 pontos de vida, a menos que você tenha atacado com uma criatura neste turno.</t>
        </is>
      </c>
      <c r="E288" s="13" t="inlineStr">
        <is>
          <t>{3}{B}</t>
        </is>
      </c>
      <c r="F288" s="13" t="inlineStr">
        <is>
          <t>Preto</t>
        </is>
      </c>
      <c r="G288" s="8" t="n">
        <v>0.05</v>
      </c>
      <c r="H288" s="13" t="inlineStr">
        <is>
          <t>Khans of Tarkir (KTK)</t>
        </is>
      </c>
      <c r="I288" s="13" t="inlineStr">
        <is>
          <t>Não</t>
        </is>
      </c>
      <c r="J288" s="13" t="n">
        <v>2014</v>
      </c>
      <c r="K288" s="10" t="n">
        <v>46146</v>
      </c>
      <c r="L288" s="13" t="n">
        <v>1</v>
      </c>
      <c r="M288" s="8">
        <f>L288*G288</f>
        <v/>
      </c>
      <c r="N288" s="13" t="inlineStr">
        <is>
          <t>Bulk Shopee</t>
        </is>
      </c>
      <c r="P288" s="9" t="n"/>
    </row>
    <row r="289">
      <c r="A289" s="13" t="inlineStr">
        <is>
          <t>Beloved Princess / Princesa Adorada</t>
        </is>
      </c>
      <c r="B289" s="13" t="inlineStr">
        <is>
          <t>Creature — Human Noble / Criatura — Humano Nobre</t>
        </is>
      </c>
      <c r="C289" s="13" t="inlineStr">
        <is>
          <t>Common / Comum</t>
        </is>
      </c>
      <c r="D289" s="13" t="inlineStr">
        <is>
          <t>Lifelink This creature can't be blocked by creatures with power 3 or greater. / Vínculo com a vida Princesa Adorada não pode ser bloqueada por criaturas de poder igual ou superior a 3.</t>
        </is>
      </c>
      <c r="E289" s="13" t="inlineStr">
        <is>
          <t>{W}</t>
        </is>
      </c>
      <c r="F289" s="13" t="inlineStr">
        <is>
          <t>Branco</t>
        </is>
      </c>
      <c r="G289" s="8" t="n">
        <v>0.06</v>
      </c>
      <c r="H289" s="13" t="inlineStr">
        <is>
          <t>Throne of Eldraine (ELD)</t>
        </is>
      </c>
      <c r="I289" s="13" t="inlineStr">
        <is>
          <t>Não</t>
        </is>
      </c>
      <c r="J289" s="13" t="n">
        <v>2019</v>
      </c>
      <c r="K289" s="10" t="n">
        <v>46023</v>
      </c>
      <c r="L289" s="13" t="n">
        <v>1</v>
      </c>
      <c r="M289" s="8">
        <f>L289*G289</f>
        <v/>
      </c>
      <c r="P289" s="9" t="n"/>
    </row>
    <row r="290">
      <c r="A290" s="13" t="inlineStr">
        <is>
          <t>Benalish Cavalry / Cavalaria de Benália</t>
        </is>
      </c>
      <c r="B290" s="13" t="inlineStr">
        <is>
          <t>Creature — Human Knight / Criatura — Humano Cavaleiro</t>
        </is>
      </c>
      <c r="C290" s="13" t="inlineStr">
        <is>
          <t>Common / Comum</t>
        </is>
      </c>
      <c r="D290" s="13" t="inlineStr">
        <is>
          <t>Flanking (Whenever a creature without flanking blocks this creature, the blocking creature gets -1/-1 until end of turn.) / Flanquear (Toda vez que uma criatura sem flanquear bloquear esta criatura, a criatura bloqueadora receberá -1/-1 até o final do turno.)</t>
        </is>
      </c>
      <c r="E290" s="13" t="inlineStr">
        <is>
          <t>{1}{W}</t>
        </is>
      </c>
      <c r="F290" s="13" t="inlineStr">
        <is>
          <t>Branco</t>
        </is>
      </c>
      <c r="G290" s="8" t="n">
        <v>0.09</v>
      </c>
      <c r="H290" s="13" t="inlineStr">
        <is>
          <t>Time Spiral Remastered (TSR)</t>
        </is>
      </c>
      <c r="I290" s="13" t="inlineStr">
        <is>
          <t>Não</t>
        </is>
      </c>
      <c r="J290" s="13" t="n">
        <v>2021</v>
      </c>
      <c r="K290" s="10" t="n">
        <v>46055</v>
      </c>
      <c r="L290" s="13" t="n">
        <v>1</v>
      </c>
      <c r="M290" s="8">
        <f>L290*G290</f>
        <v/>
      </c>
      <c r="N290" s="13" t="inlineStr">
        <is>
          <t>Bulk Shopee</t>
        </is>
      </c>
      <c r="P290" s="9" t="n"/>
    </row>
    <row r="291">
      <c r="A291" s="13" t="inlineStr">
        <is>
          <t>Benalish Faithbonder</t>
        </is>
      </c>
      <c r="B291" s="13" t="inlineStr">
        <is>
          <t>Creature — Human Cleric</t>
        </is>
      </c>
      <c r="C291" s="13" t="inlineStr">
        <is>
          <t>Common / Comum</t>
        </is>
      </c>
      <c r="D291" s="13" t="inlineStr">
        <is>
          <t>Vigilance Enlist (As this creature attacks, you may tap a nonattacking creature you control without summoning sickness. When you do, add its power to this creature's until end of turn.)</t>
        </is>
      </c>
      <c r="E291" s="13" t="inlineStr">
        <is>
          <t>{1}{W}</t>
        </is>
      </c>
      <c r="F291" s="13" t="inlineStr">
        <is>
          <t>Branco</t>
        </is>
      </c>
      <c r="G291" s="8" t="n">
        <v>0.04</v>
      </c>
      <c r="H291" s="13" t="inlineStr">
        <is>
          <t>Dominaria United (DMU)</t>
        </is>
      </c>
      <c r="I291" s="13" t="inlineStr">
        <is>
          <t>Não</t>
        </is>
      </c>
      <c r="J291" s="13" t="n">
        <v>2022</v>
      </c>
      <c r="K291" s="10" t="n">
        <v>46082</v>
      </c>
      <c r="L291" s="13" t="n">
        <v>1</v>
      </c>
      <c r="M291" s="8">
        <f>L291*G291</f>
        <v/>
      </c>
      <c r="P291" s="9" t="n"/>
    </row>
    <row r="292">
      <c r="A292" s="13" t="inlineStr">
        <is>
          <t>Benalish Hero</t>
        </is>
      </c>
      <c r="B292" s="13" t="inlineStr">
        <is>
          <t>Summon Hero</t>
        </is>
      </c>
      <c r="C292" s="13" t="inlineStr">
        <is>
          <t>Comum</t>
        </is>
      </c>
      <c r="D292" s="13" t="inlineStr">
        <is>
          <t>Bands</t>
        </is>
      </c>
      <c r="E292" s="13" t="inlineStr">
        <is>
          <t>{W}</t>
        </is>
      </c>
      <c r="F292" s="13" t="inlineStr">
        <is>
          <t>Branco</t>
        </is>
      </c>
      <c r="G292" s="8" t="n">
        <v>0.24</v>
      </c>
      <c r="H292" s="13" t="inlineStr">
        <is>
          <t>Alpha</t>
        </is>
      </c>
      <c r="I292" s="13" t="inlineStr">
        <is>
          <t>Não</t>
        </is>
      </c>
      <c r="J292" s="13" t="n">
        <v>1993</v>
      </c>
      <c r="K292" s="10" t="n">
        <v>46023</v>
      </c>
      <c r="L292" s="13" t="n">
        <v>1</v>
      </c>
      <c r="M292" s="8">
        <f>L292*G292</f>
        <v/>
      </c>
      <c r="P292" s="9" t="n"/>
    </row>
    <row r="293">
      <c r="A293" s="13" t="inlineStr">
        <is>
          <t>Benalish Hero / Herói Benalish</t>
        </is>
      </c>
      <c r="B293" s="13" t="inlineStr">
        <is>
          <t>Summon Hero / Invocação (Herói)</t>
        </is>
      </c>
      <c r="C293" s="13" t="inlineStr">
        <is>
          <t>Common / Comum</t>
        </is>
      </c>
      <c r="D293" s="13" t="inlineStr">
        <is>
          <t>Banding / Agrupamento</t>
        </is>
      </c>
      <c r="E293" s="13" t="inlineStr">
        <is>
          <t>{W}</t>
        </is>
      </c>
      <c r="F293" s="13" t="inlineStr">
        <is>
          <t>Branco</t>
        </is>
      </c>
      <c r="G293" s="8" t="n">
        <v>0.05</v>
      </c>
      <c r="H293" s="13" t="inlineStr">
        <is>
          <t>Fourth Edition (4ED)</t>
        </is>
      </c>
      <c r="I293" s="13" t="inlineStr">
        <is>
          <t>No</t>
        </is>
      </c>
      <c r="J293" s="13" t="n">
        <v>1995</v>
      </c>
      <c r="K293" s="10" t="n">
        <v>46023</v>
      </c>
      <c r="L293" s="13" t="n">
        <v>1</v>
      </c>
      <c r="M293" s="8">
        <f>L293*G293</f>
        <v/>
      </c>
      <c r="P293" s="9" t="n"/>
    </row>
    <row r="294">
      <c r="A294" s="13" t="inlineStr">
        <is>
          <t>Benalish Lancer / Lanceiro Benalita</t>
        </is>
      </c>
      <c r="B294" s="13" t="inlineStr">
        <is>
          <t>Creature — Knight / Criatura — Cavaleiro</t>
        </is>
      </c>
      <c r="C294" s="13" t="inlineStr">
        <is>
          <t>Common / Comum</t>
        </is>
      </c>
      <c r="D294" s="13"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294" s="13" t="inlineStr">
        <is>
          <t>{2}{W}</t>
        </is>
      </c>
      <c r="F294" s="13" t="inlineStr">
        <is>
          <t>Branco</t>
        </is>
      </c>
      <c r="G294" s="8" t="n">
        <v>0.06</v>
      </c>
      <c r="H294" s="13" t="inlineStr">
        <is>
          <t>Invasion (INV)</t>
        </is>
      </c>
      <c r="I294" s="13" t="inlineStr">
        <is>
          <t>No</t>
        </is>
      </c>
      <c r="J294" s="13" t="n">
        <v>2000</v>
      </c>
      <c r="K294" s="10" t="n">
        <v>46055</v>
      </c>
      <c r="L294" s="13" t="n">
        <v>1</v>
      </c>
      <c r="M294" s="8">
        <f>L294*G294</f>
        <v/>
      </c>
      <c r="P294" s="9" t="n"/>
    </row>
    <row r="295">
      <c r="A295" s="13" t="inlineStr">
        <is>
          <t>Benalish Marshal / Marechal de Benália</t>
        </is>
      </c>
      <c r="B295" s="13" t="inlineStr">
        <is>
          <t>Creature — Human Knight / Criatura — Humano Cavaleiro</t>
        </is>
      </c>
      <c r="C295" s="13" t="inlineStr">
        <is>
          <t>Rare / Rara</t>
        </is>
      </c>
      <c r="D295" s="13" t="inlineStr">
        <is>
          <t>Other creatures you control get +1/+1. / As outras criaturas que você controla recebem +1/+1.</t>
        </is>
      </c>
      <c r="E295" s="13" t="inlineStr">
        <is>
          <t>{W}{W}{W}</t>
        </is>
      </c>
      <c r="F295" s="13" t="inlineStr">
        <is>
          <t>Branco</t>
        </is>
      </c>
      <c r="G295" s="8" t="n">
        <v>0.5</v>
      </c>
      <c r="H295" s="13" t="inlineStr">
        <is>
          <t>Dominaria (DOM)</t>
        </is>
      </c>
      <c r="I295" s="13" t="inlineStr">
        <is>
          <t>Não</t>
        </is>
      </c>
      <c r="J295" s="13" t="n">
        <v>2018</v>
      </c>
      <c r="K295" s="10" t="n">
        <v>46084</v>
      </c>
      <c r="L295" s="13" t="n">
        <v>3</v>
      </c>
      <c r="M295" s="8">
        <f>L295*G295</f>
        <v/>
      </c>
      <c r="P295" s="9" t="n"/>
    </row>
    <row r="296">
      <c r="A296" s="13" t="inlineStr">
        <is>
          <t>Bender's Waterskin</t>
        </is>
      </c>
      <c r="B296" s="13" t="inlineStr">
        <is>
          <t>Artifact</t>
        </is>
      </c>
      <c r="C296" s="13" t="inlineStr">
        <is>
          <t>Common / Comum</t>
        </is>
      </c>
      <c r="D296" s="13" t="inlineStr">
        <is>
          <t>Untap this artifact during each other player's untap step. {T}: Add one mana of any color.</t>
        </is>
      </c>
      <c r="E296" s="13" t="inlineStr">
        <is>
          <t>{3}</t>
        </is>
      </c>
      <c r="F296" s="13" t="inlineStr">
        <is>
          <t>Incolor</t>
        </is>
      </c>
      <c r="G296" s="8" t="n">
        <v>0.49</v>
      </c>
      <c r="H296" s="13" t="inlineStr">
        <is>
          <t>Avatar: The Last Airbender (TLA)</t>
        </is>
      </c>
      <c r="I296" s="13" t="inlineStr">
        <is>
          <t>Não</t>
        </is>
      </c>
      <c r="J296" s="13" t="n">
        <v>2025</v>
      </c>
      <c r="L296" s="13" t="n">
        <v>2</v>
      </c>
      <c r="M296" s="8">
        <f>L296*G296</f>
        <v/>
      </c>
      <c r="P296" s="9" t="n"/>
    </row>
    <row r="297">
      <c r="A297" s="13" t="inlineStr">
        <is>
          <t>Benevolent Unicorn / Unicórnio Benevolente</t>
        </is>
      </c>
      <c r="B297" s="13" t="inlineStr">
        <is>
          <t>Creature — Unicorn</t>
        </is>
      </c>
      <c r="C297" s="13" t="inlineStr">
        <is>
          <t>Common / Comum</t>
        </is>
      </c>
      <c r="D297" s="13" t="inlineStr">
        <is>
          <t>If a spell would deal damage to a permanent or player, it deals that much damage minus 1 to that permanent or player instead.</t>
        </is>
      </c>
      <c r="E297" s="13" t="inlineStr">
        <is>
          <t>{1}{W}</t>
        </is>
      </c>
      <c r="F297" s="13" t="inlineStr">
        <is>
          <t>Branco</t>
        </is>
      </c>
      <c r="G297" s="8" t="n">
        <v>0.1</v>
      </c>
      <c r="H297" s="13" t="inlineStr">
        <is>
          <t>Mirage (MIR)</t>
        </is>
      </c>
      <c r="I297" s="13" t="inlineStr">
        <is>
          <t>Não</t>
        </is>
      </c>
      <c r="J297" s="13" t="n">
        <v>1996</v>
      </c>
      <c r="K297" s="10" t="n">
        <v>46054</v>
      </c>
      <c r="L297" s="13" t="n">
        <v>1</v>
      </c>
      <c r="M297" s="8">
        <f>L297*G297</f>
        <v/>
      </c>
      <c r="P297" s="9" t="n"/>
    </row>
    <row r="298">
      <c r="A298" s="13" t="inlineStr">
        <is>
          <t>Benthic Djinn / Gênio Bêntico</t>
        </is>
      </c>
      <c r="B298" s="13" t="inlineStr">
        <is>
          <t>Creature — Djinn</t>
        </is>
      </c>
      <c r="C298" s="13" t="inlineStr">
        <is>
          <t>Rare / Rara</t>
        </is>
      </c>
      <c r="D298" s="13" t="inlineStr">
        <is>
          <t>Islandwalk (This creature can't be blocked as long as defending player controls an Island.) At the beginning of your upkeep, you lose 2 life.</t>
        </is>
      </c>
      <c r="E298" s="13" t="inlineStr">
        <is>
          <t>{2}{U}{B}</t>
        </is>
      </c>
      <c r="F298" s="13" t="inlineStr">
        <is>
          <t>Preto, Azul</t>
        </is>
      </c>
      <c r="G298" s="8" t="n">
        <v>1.9</v>
      </c>
      <c r="H298" s="13" t="inlineStr">
        <is>
          <t>Mirage (MIR)</t>
        </is>
      </c>
      <c r="I298" s="13" t="inlineStr">
        <is>
          <t>Não</t>
        </is>
      </c>
      <c r="J298" s="13" t="n">
        <v>1996</v>
      </c>
      <c r="K298" s="10" t="n">
        <v>46086</v>
      </c>
      <c r="L298" s="13" t="n">
        <v>1</v>
      </c>
      <c r="M298" s="8">
        <f>L298*G298</f>
        <v/>
      </c>
      <c r="N298" s="13" t="inlineStr">
        <is>
          <t>Pasta</t>
        </is>
      </c>
      <c r="P298" s="9" t="n"/>
    </row>
    <row r="299">
      <c r="A299" s="13" t="inlineStr">
        <is>
          <t>Bespoke Battlewagon / Vagão de Batalha Personalizado</t>
        </is>
      </c>
      <c r="B299" s="13" t="inlineStr">
        <is>
          <t>Artifact — Vehicle / Artefato — Veículo</t>
        </is>
      </c>
      <c r="C299" s="13" t="inlineStr">
        <is>
          <t>Uncommon / Incomum</t>
        </is>
      </c>
      <c r="D299" s="13"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299" s="13" t="inlineStr">
        <is>
          <t>{3}{U}</t>
        </is>
      </c>
      <c r="F299" s="13" t="inlineStr">
        <is>
          <t>Azul</t>
        </is>
      </c>
      <c r="G299" s="8" t="n">
        <v>0.1</v>
      </c>
      <c r="H299" s="13" t="inlineStr">
        <is>
          <t>Modern Horizons 3 (MH3)</t>
        </is>
      </c>
      <c r="I299" s="13" t="inlineStr">
        <is>
          <t>Não</t>
        </is>
      </c>
      <c r="J299" s="13" t="n">
        <v>2024</v>
      </c>
      <c r="K299" s="10" t="n">
        <v>46178</v>
      </c>
      <c r="L299" s="13" t="n">
        <v>1</v>
      </c>
      <c r="M299" s="8">
        <f>L299*G299</f>
        <v/>
      </c>
      <c r="P299" s="9" t="n"/>
    </row>
    <row r="300">
      <c r="A300" s="13" t="inlineStr">
        <is>
          <t>Bespoke Bō</t>
        </is>
      </c>
      <c r="B300" s="13" t="inlineStr">
        <is>
          <t>Artifact — Equipment</t>
        </is>
      </c>
      <c r="C300" s="13" t="inlineStr">
        <is>
          <t>Uncommon / Incomum</t>
        </is>
      </c>
      <c r="D300" s="13" t="inlineStr">
        <is>
          <t>When this Equipment enters, return up to one other target nonland permanent to its owner's hand. Equipped creature gets +2/+1 and has vigilance. Equip {3} ({3}: Attach to target creature you control. Equip only as a sorcery.)</t>
        </is>
      </c>
      <c r="E300" s="13" t="inlineStr">
        <is>
          <t>{2}{U}</t>
        </is>
      </c>
      <c r="F300" s="13" t="inlineStr">
        <is>
          <t>Azul</t>
        </is>
      </c>
      <c r="G300" s="8" t="n">
        <v>0.05</v>
      </c>
      <c r="H300" s="13" t="inlineStr">
        <is>
          <t>Teenage Mutant Ninja Turtles (TMT)</t>
        </is>
      </c>
      <c r="I300" s="13" t="inlineStr">
        <is>
          <t>Não</t>
        </is>
      </c>
      <c r="J300" s="13" t="n">
        <v>2026</v>
      </c>
      <c r="L300" s="13" t="n">
        <v>1</v>
      </c>
      <c r="M300" s="8">
        <f>L300*G300</f>
        <v/>
      </c>
      <c r="P300" s="9" t="n"/>
    </row>
    <row r="301">
      <c r="A301" s="13" t="inlineStr">
        <is>
          <t>Bestial Menace / Ameaça Bestial</t>
        </is>
      </c>
      <c r="B301" s="13" t="inlineStr">
        <is>
          <t>Sorcery / Feitiço</t>
        </is>
      </c>
      <c r="C301" s="13" t="inlineStr">
        <is>
          <t>Uncommon / Incomum</t>
        </is>
      </c>
      <c r="D301" s="13" t="inlineStr">
        <is>
          <t>Create a 1/1 green Snake creature token, a 2/2 green Wolf creature token, and a 3/3 green Elephant creature token. / Crie uma ficha de criatura Cobra verde 1/1, uma ficha de criatura Lobo verde 2/2 e uma ficha de criatura Elefante verde 3/3.</t>
        </is>
      </c>
      <c r="E301" s="13" t="inlineStr">
        <is>
          <t>{3}{G}{G}</t>
        </is>
      </c>
      <c r="F301" s="13" t="inlineStr">
        <is>
          <t>Verde</t>
        </is>
      </c>
      <c r="G301" s="8" t="n">
        <v>0.15</v>
      </c>
      <c r="H301" s="13" t="inlineStr">
        <is>
          <t>Modern Masters 2015 (MM2)</t>
        </is>
      </c>
      <c r="I301" s="13" t="inlineStr">
        <is>
          <t>Não</t>
        </is>
      </c>
      <c r="J301" s="13" t="n">
        <v>2015</v>
      </c>
      <c r="L301" s="13" t="n">
        <v>1</v>
      </c>
      <c r="M301" s="8">
        <f>L301*G301</f>
        <v/>
      </c>
      <c r="P301" s="9" t="n"/>
    </row>
    <row r="302">
      <c r="A302" s="13" t="inlineStr">
        <is>
          <t>Betrayer's Bargain</t>
        </is>
      </c>
      <c r="B302" s="13" t="inlineStr">
        <is>
          <t>Instant</t>
        </is>
      </c>
      <c r="C302" s="13" t="inlineStr">
        <is>
          <t>Uncommon / Incomum</t>
        </is>
      </c>
      <c r="D302" s="13" t="inlineStr">
        <is>
          <t>As an additional cost to cast this spell, sacrifice a creature or enchantment or pay {2}. Betrayer's Bargain deals 5 damage to target creature. If that creature would die this turn, exile it instead.</t>
        </is>
      </c>
      <c r="E302" s="13" t="inlineStr">
        <is>
          <t>{1}{R}</t>
        </is>
      </c>
      <c r="F302" s="13" t="inlineStr">
        <is>
          <t>Vermelho</t>
        </is>
      </c>
      <c r="G302" s="8" t="n">
        <v>0.1</v>
      </c>
      <c r="H302" s="13" t="inlineStr">
        <is>
          <t>Duskmourn: House of Horror (DSK)</t>
        </is>
      </c>
      <c r="I302" s="13" t="inlineStr">
        <is>
          <t>Não</t>
        </is>
      </c>
      <c r="J302" s="13" t="n">
        <v>2024</v>
      </c>
      <c r="L302" s="13" t="n">
        <v>1</v>
      </c>
      <c r="M302" s="8">
        <f>L302*G302</f>
        <v/>
      </c>
      <c r="P302" s="9" t="n"/>
    </row>
    <row r="303">
      <c r="A303" s="13" t="inlineStr">
        <is>
          <t>Bilbo, Retired Burglar / Bilbo, Ladrão Aposentado</t>
        </is>
      </c>
      <c r="B303" s="13" t="inlineStr">
        <is>
          <t>Legendary Creature — Halfling Rogue / Criatura Lendária — Pequenino Ladino</t>
        </is>
      </c>
      <c r="C303" s="13" t="inlineStr">
        <is>
          <t>Uncommon / Incomum</t>
        </is>
      </c>
      <c r="D303" s="13"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303" s="13" t="inlineStr">
        <is>
          <t>{1}{U}{R}</t>
        </is>
      </c>
      <c r="F303" s="13" t="inlineStr">
        <is>
          <t>Azul e Vermelho</t>
        </is>
      </c>
      <c r="G303" s="8" t="n">
        <v>0.2</v>
      </c>
      <c r="H303" s="13" t="inlineStr">
        <is>
          <t>The Lord of the Rings: Tales of Middle-earth (LTR)</t>
        </is>
      </c>
      <c r="I303" s="13" t="inlineStr">
        <is>
          <t>Não</t>
        </is>
      </c>
      <c r="J303" s="13" t="n">
        <v>2023</v>
      </c>
      <c r="K303" s="10" t="n">
        <v>46082</v>
      </c>
      <c r="L303" s="13" t="n">
        <v>1</v>
      </c>
      <c r="M303" s="8">
        <f>L303*G303</f>
        <v/>
      </c>
      <c r="P303" s="9" t="n"/>
    </row>
    <row r="304">
      <c r="A304" s="13" t="inlineStr">
        <is>
          <t>Bill Samambaia, Vigarista de Bree / Bill Ferny, Bree Swindler</t>
        </is>
      </c>
      <c r="B304" s="13" t="inlineStr">
        <is>
          <t>Criatura Lendária — Humano Ladino</t>
        </is>
      </c>
      <c r="C304" s="13" t="inlineStr">
        <is>
          <t>Incomum</t>
        </is>
      </c>
      <c r="D304" s="13"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304" s="13" t="inlineStr">
        <is>
          <t>1{U}</t>
        </is>
      </c>
      <c r="F304" s="13" t="inlineStr">
        <is>
          <t>Azul</t>
        </is>
      </c>
      <c r="G304" s="8" t="n">
        <v>0.09</v>
      </c>
      <c r="H304" s="13" t="inlineStr">
        <is>
          <t>The Lord of the Rings: Tales of Middle-earth (LTR)</t>
        </is>
      </c>
      <c r="I304" s="13" t="inlineStr">
        <is>
          <t>Não</t>
        </is>
      </c>
      <c r="J304" s="13" t="n">
        <v>2023</v>
      </c>
      <c r="K304" s="10" t="n">
        <v>46024</v>
      </c>
      <c r="L304" s="13" t="n">
        <v>2</v>
      </c>
      <c r="M304" s="8">
        <f>L304*G304</f>
        <v/>
      </c>
      <c r="P304" s="9" t="n"/>
    </row>
    <row r="305">
      <c r="A305" s="13" t="inlineStr">
        <is>
          <t>Bill the Pony / Bill, o Pônei</t>
        </is>
      </c>
      <c r="B305" s="13" t="inlineStr">
        <is>
          <t>Legendary Creature — Horse / Criatura Lendária — Cavalo</t>
        </is>
      </c>
      <c r="C305" s="13" t="inlineStr">
        <is>
          <t>Uncommon / Incomum</t>
        </is>
      </c>
      <c r="D305" s="13"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305" s="13" t="inlineStr">
        <is>
          <t>{3}{W}</t>
        </is>
      </c>
      <c r="F305" s="13" t="inlineStr">
        <is>
          <t>Branco</t>
        </is>
      </c>
      <c r="G305" s="8" t="n">
        <v>0.18</v>
      </c>
      <c r="H305" s="13" t="inlineStr">
        <is>
          <t>The Lord of the Rings: Tales of Middle-earth (LTR)</t>
        </is>
      </c>
      <c r="I305" s="13" t="inlineStr">
        <is>
          <t>Não</t>
        </is>
      </c>
      <c r="J305" s="13" t="n">
        <v>2023</v>
      </c>
      <c r="K305" s="10" t="n">
        <v>46113</v>
      </c>
      <c r="L305" s="13" t="n">
        <v>2</v>
      </c>
      <c r="M305" s="8">
        <f>L305*G305</f>
        <v/>
      </c>
      <c r="P305" s="9" t="n"/>
    </row>
    <row r="306">
      <c r="A306" s="13" t="inlineStr">
        <is>
          <t>Bind the Monster / Aprisionar o Monstro</t>
        </is>
      </c>
      <c r="B306" s="13" t="inlineStr">
        <is>
          <t>Enchantment — Aura / Encantamento — Aura</t>
        </is>
      </c>
      <c r="C306" s="13" t="inlineStr">
        <is>
          <t>Common / Comum</t>
        </is>
      </c>
      <c r="D306" s="13"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306" s="13" t="inlineStr">
        <is>
          <t>{U}</t>
        </is>
      </c>
      <c r="F306" s="13" t="inlineStr">
        <is>
          <t>Azul</t>
        </is>
      </c>
      <c r="G306" s="8" t="n">
        <v>0.7</v>
      </c>
      <c r="H306" s="13" t="inlineStr">
        <is>
          <t>Kaldheim (KHM)</t>
        </is>
      </c>
      <c r="I306" s="13" t="inlineStr">
        <is>
          <t>Não</t>
        </is>
      </c>
      <c r="J306" s="13" t="n">
        <v>2021</v>
      </c>
      <c r="L306" s="13" t="n">
        <v>2</v>
      </c>
      <c r="M306" s="8">
        <f>L306*G306</f>
        <v/>
      </c>
      <c r="P306" s="9" t="n"/>
    </row>
    <row r="307">
      <c r="A307" s="13" t="inlineStr">
        <is>
          <t>Biomass Mutation / Mutação de Biomassa</t>
        </is>
      </c>
      <c r="B307" s="13" t="inlineStr">
        <is>
          <t>Instant / Mágica Instantânea</t>
        </is>
      </c>
      <c r="C307" s="13" t="inlineStr">
        <is>
          <t>Rare / Rara</t>
        </is>
      </c>
      <c r="D307" s="13" t="inlineStr">
        <is>
          <t>Creatures you control have base power and toughness X/X until end of turn. / As criaturas que você controla se tornam X/X até o final do turno.</t>
        </is>
      </c>
      <c r="E307" s="13" t="inlineStr">
        <is>
          <t>{X}{G/U}{G/U}</t>
        </is>
      </c>
      <c r="F307" s="13" t="inlineStr">
        <is>
          <t>Verde, Azul</t>
        </is>
      </c>
      <c r="G307" s="8" t="n">
        <v>0.2</v>
      </c>
      <c r="H307" s="13" t="inlineStr">
        <is>
          <t>Gatecrash (GTC)</t>
        </is>
      </c>
      <c r="I307" s="13" t="inlineStr">
        <is>
          <t>Não</t>
        </is>
      </c>
      <c r="J307" s="13" t="n">
        <v>2013</v>
      </c>
      <c r="L307" s="13" t="n">
        <v>2</v>
      </c>
      <c r="M307" s="8">
        <f>L307*G307</f>
        <v/>
      </c>
      <c r="P307" s="9" t="n"/>
    </row>
    <row r="308">
      <c r="A308" s="13" t="inlineStr">
        <is>
          <t>Biosynthic Burst / Explosão Biossíntese</t>
        </is>
      </c>
      <c r="B308" s="13" t="inlineStr">
        <is>
          <t>Mágica Instantânea</t>
        </is>
      </c>
      <c r="C308" s="13" t="inlineStr">
        <is>
          <t>Comum</t>
        </is>
      </c>
      <c r="D308" s="13" t="inlineStr">
        <is>
          <t>Coloque um marcador +1/+1 na criatura alvo que você controla. Ela ganha alcance, atropelar e indestrutível até o final do turno. Desvire-a. (Dano e efeitos que dizem "destrua" não a destroem.)</t>
        </is>
      </c>
      <c r="E308" s="13" t="inlineStr">
        <is>
          <t>1{G}</t>
        </is>
      </c>
      <c r="F308" s="13" t="inlineStr">
        <is>
          <t>Verde</t>
        </is>
      </c>
      <c r="G308" s="8" t="n">
        <v>0.14</v>
      </c>
      <c r="H308" s="13" t="inlineStr">
        <is>
          <t>Edge of Eternity</t>
        </is>
      </c>
      <c r="I308" s="13" t="inlineStr">
        <is>
          <t>Não</t>
        </is>
      </c>
      <c r="J308" s="13" t="n">
        <v>2025</v>
      </c>
      <c r="L308" s="13" t="n">
        <v>2</v>
      </c>
      <c r="M308" s="8">
        <f>L308*G308</f>
        <v/>
      </c>
      <c r="P308" s="9" t="n"/>
    </row>
    <row r="309">
      <c r="A309" s="13" t="inlineStr">
        <is>
          <t>Biovisionary / Biovisionário</t>
        </is>
      </c>
      <c r="B309" s="13" t="inlineStr">
        <is>
          <t>Creature — Human Wizard / Criatura — Humano Mago</t>
        </is>
      </c>
      <c r="C309" s="13" t="inlineStr">
        <is>
          <t>Rare / Rara</t>
        </is>
      </c>
      <c r="D309" s="13" t="inlineStr">
        <is>
          <t>At the beginning of the end step, if you control four or more creatures named Biovisionary, you win the game. / No início da etapa final, se você controlar quatro ou mais criaturas com o nome Biovisionário, você ganha o jogo.</t>
        </is>
      </c>
      <c r="E309" s="13" t="inlineStr">
        <is>
          <t>{1}{G}{U}</t>
        </is>
      </c>
      <c r="F309" s="13" t="inlineStr">
        <is>
          <t>Verde, Azul</t>
        </is>
      </c>
      <c r="G309" s="8" t="n">
        <v>0.4</v>
      </c>
      <c r="H309" s="13" t="inlineStr">
        <is>
          <t>Gatecrash (GTC)</t>
        </is>
      </c>
      <c r="I309" s="13" t="inlineStr">
        <is>
          <t>Não</t>
        </is>
      </c>
      <c r="J309" s="13" t="n">
        <v>2013</v>
      </c>
      <c r="K309" s="10" t="n">
        <v>46083</v>
      </c>
      <c r="L309" s="13" t="n">
        <v>1</v>
      </c>
      <c r="M309" s="8">
        <f>L309*G309</f>
        <v/>
      </c>
      <c r="P309" s="9" t="n"/>
    </row>
    <row r="310">
      <c r="A310" s="13" t="inlineStr">
        <is>
          <t>Bird Maiden / Donzela Alada</t>
        </is>
      </c>
      <c r="B310" s="13" t="inlineStr">
        <is>
          <t>Creature — Human Bird</t>
        </is>
      </c>
      <c r="C310" s="13" t="inlineStr">
        <is>
          <t>Common / Comum</t>
        </is>
      </c>
      <c r="D310" s="13" t="inlineStr">
        <is>
          <t>Flying</t>
        </is>
      </c>
      <c r="E310" s="13" t="inlineStr">
        <is>
          <t>{2}{R}</t>
        </is>
      </c>
      <c r="F310" s="13" t="inlineStr">
        <is>
          <t>Vermelho</t>
        </is>
      </c>
      <c r="G310" s="8" t="n">
        <v>0.03</v>
      </c>
      <c r="H310" s="13" t="inlineStr">
        <is>
          <t>Fourth Edition</t>
        </is>
      </c>
      <c r="I310" s="13" t="inlineStr">
        <is>
          <t>Não</t>
        </is>
      </c>
      <c r="J310" s="13" t="n">
        <v>1995</v>
      </c>
      <c r="K310" s="10" t="n">
        <v>46054</v>
      </c>
      <c r="L310" s="13" t="n">
        <v>4</v>
      </c>
      <c r="M310" s="8">
        <f>L310*G310</f>
        <v/>
      </c>
      <c r="P310" s="9" t="n"/>
    </row>
    <row r="311">
      <c r="A311" s="13" t="inlineStr">
        <is>
          <t>Bird Maiden / Donzela Alada</t>
        </is>
      </c>
      <c r="B311" s="13" t="inlineStr">
        <is>
          <t>Creature — Human Bird</t>
        </is>
      </c>
      <c r="C311" s="13" t="inlineStr">
        <is>
          <t>Common / Comum</t>
        </is>
      </c>
      <c r="D311" s="13" t="inlineStr">
        <is>
          <t>Flying</t>
        </is>
      </c>
      <c r="E311" s="13" t="inlineStr">
        <is>
          <t>{2}{R}</t>
        </is>
      </c>
      <c r="F311" s="13" t="inlineStr">
        <is>
          <t>Vermelho</t>
        </is>
      </c>
      <c r="G311" s="8" t="n">
        <v>0.06</v>
      </c>
      <c r="H311" s="13" t="inlineStr">
        <is>
          <t>Fourth Edition (BB)</t>
        </is>
      </c>
      <c r="I311" s="13" t="inlineStr">
        <is>
          <t>Não</t>
        </is>
      </c>
      <c r="J311" s="13" t="n">
        <v>1995</v>
      </c>
      <c r="K311" s="10" t="n">
        <v>46054</v>
      </c>
      <c r="L311" s="13" t="n">
        <v>4</v>
      </c>
      <c r="M311" s="8">
        <f>L311*G311</f>
        <v/>
      </c>
      <c r="P311" s="9" t="n"/>
    </row>
    <row r="312">
      <c r="A312" s="13" t="inlineStr">
        <is>
          <t>Birthing Hulk / Brutamontes Procriador</t>
        </is>
      </c>
      <c r="B312" s="13" t="inlineStr">
        <is>
          <t>Creature — Eldrazi Drone / Criatura — Eldrazi Zangão</t>
        </is>
      </c>
      <c r="C312" s="13" t="inlineStr">
        <is>
          <t>Uncommon / Incomum</t>
        </is>
      </c>
      <c r="D312" s="13"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312" s="13" t="inlineStr">
        <is>
          <t>{6}{G}</t>
        </is>
      </c>
      <c r="F312" s="13" t="inlineStr">
        <is>
          <t>Verde</t>
        </is>
      </c>
      <c r="G312" s="8" t="n">
        <v>0.06</v>
      </c>
      <c r="H312" s="13" t="inlineStr">
        <is>
          <t>Oath of the Gatewatch (OGW)</t>
        </is>
      </c>
      <c r="I312" s="13" t="inlineStr">
        <is>
          <t>Não</t>
        </is>
      </c>
      <c r="J312" s="13" t="n">
        <v>2016</v>
      </c>
      <c r="K312" s="10" t="n">
        <v>46117</v>
      </c>
      <c r="L312" s="13" t="n">
        <v>1</v>
      </c>
      <c r="M312" s="8">
        <f>L312*G312</f>
        <v/>
      </c>
      <c r="P312" s="9" t="n"/>
    </row>
    <row r="313">
      <c r="A313" s="13" t="inlineStr">
        <is>
          <t>Bite Down / Abocanhar</t>
        </is>
      </c>
      <c r="B313" s="13" t="inlineStr">
        <is>
          <t>Instant / Mágica Instantânea</t>
        </is>
      </c>
      <c r="C313" s="13" t="inlineStr">
        <is>
          <t>Common / Comum</t>
        </is>
      </c>
      <c r="D313" s="13" t="inlineStr">
        <is>
          <t>Target creature you control deals damage equal to its power to target creature or planeswalker you don't control. / A criatura alvo que você controla causa dano igual ao seu poder à criatura ou ao planeswalker alvo que você não controla.</t>
        </is>
      </c>
      <c r="E313" s="13" t="inlineStr">
        <is>
          <t>{1}{G}</t>
        </is>
      </c>
      <c r="F313" s="13" t="inlineStr">
        <is>
          <t>Verde</t>
        </is>
      </c>
      <c r="G313" s="8" t="n">
        <v>0.2</v>
      </c>
      <c r="H313" s="13" t="inlineStr">
        <is>
          <t>Dominaria United (DMU)</t>
        </is>
      </c>
      <c r="I313" s="13" t="inlineStr">
        <is>
          <t>Não</t>
        </is>
      </c>
      <c r="J313" s="13" t="n">
        <v>2022</v>
      </c>
      <c r="L313" s="13" t="n">
        <v>3</v>
      </c>
      <c r="M313" s="8">
        <f>L313*G313</f>
        <v/>
      </c>
      <c r="P313" s="9" t="n"/>
    </row>
    <row r="314">
      <c r="A314" s="13" t="inlineStr">
        <is>
          <t>Black Mana Battery / Bateria de Mana Preta</t>
        </is>
      </c>
      <c r="B314" s="13" t="inlineStr">
        <is>
          <t>Artifact</t>
        </is>
      </c>
      <c r="C314" s="13" t="inlineStr">
        <is>
          <t>Uncommon / Incomum</t>
        </is>
      </c>
      <c r="D314" s="13" t="inlineStr">
        <is>
          <t>{2}, {T}: Put a charge counter on this artifact. {T}, Remove any number of charge counters from this artifact: Add {B}, then add an additional {B} for each charge counter removed this way.</t>
        </is>
      </c>
      <c r="E314" s="13" t="inlineStr">
        <is>
          <t>{4}</t>
        </is>
      </c>
      <c r="F314" s="13" t="inlineStr">
        <is>
          <t>Preto</t>
        </is>
      </c>
      <c r="G314" s="8" t="n">
        <v>1</v>
      </c>
      <c r="H314" s="13" t="inlineStr">
        <is>
          <t>Fourth Edition</t>
        </is>
      </c>
      <c r="I314" s="13" t="inlineStr">
        <is>
          <t>Não</t>
        </is>
      </c>
      <c r="J314" s="13" t="n">
        <v>1995</v>
      </c>
      <c r="L314" s="13" t="n">
        <v>1</v>
      </c>
      <c r="M314" s="8">
        <f>L314*G314</f>
        <v/>
      </c>
      <c r="N314" s="13" t="inlineStr">
        <is>
          <t>Pasta</t>
        </is>
      </c>
      <c r="P314" s="9" t="n"/>
    </row>
    <row r="315">
      <c r="A315" s="13" t="inlineStr">
        <is>
          <t>Black Ward / Defesa Preta</t>
        </is>
      </c>
      <c r="B315" s="13" t="inlineStr">
        <is>
          <t>Enchantment — Aura</t>
        </is>
      </c>
      <c r="C315" s="13" t="inlineStr">
        <is>
          <t>Uncommon / Incomum</t>
        </is>
      </c>
      <c r="D315" s="13" t="inlineStr">
        <is>
          <t>Enchant creature Enchanted creature has protection from black. This effect doesn't remove this Aura.</t>
        </is>
      </c>
      <c r="E315" s="13" t="inlineStr">
        <is>
          <t>{W}</t>
        </is>
      </c>
      <c r="F315" s="13" t="inlineStr">
        <is>
          <t>Branco</t>
        </is>
      </c>
      <c r="G315" s="8" t="n">
        <v>0.15</v>
      </c>
      <c r="H315" s="13" t="inlineStr">
        <is>
          <t>Fourth Edition</t>
        </is>
      </c>
      <c r="I315" s="13" t="inlineStr">
        <is>
          <t>Não</t>
        </is>
      </c>
      <c r="J315" s="13" t="n">
        <v>1995</v>
      </c>
      <c r="L315" s="13" t="n">
        <v>1</v>
      </c>
      <c r="M315" s="8">
        <f>L315*G315</f>
        <v/>
      </c>
      <c r="P315" s="9" t="n"/>
    </row>
    <row r="316">
      <c r="A316" s="13" t="inlineStr">
        <is>
          <t>Black Ward / Defesa Preta</t>
        </is>
      </c>
      <c r="B316" s="13" t="inlineStr">
        <is>
          <t>Enchantment — Aura</t>
        </is>
      </c>
      <c r="C316" s="13" t="inlineStr">
        <is>
          <t>Uncommon / Incomum</t>
        </is>
      </c>
      <c r="D316" s="13" t="inlineStr">
        <is>
          <t>Enchant creature Enchanted creature has protection from black. This effect doesn't remove this Aura.</t>
        </is>
      </c>
      <c r="E316" s="13" t="inlineStr">
        <is>
          <t>{W}</t>
        </is>
      </c>
      <c r="F316" s="13" t="inlineStr">
        <is>
          <t>Branco</t>
        </is>
      </c>
      <c r="G316" s="8" t="n">
        <v>0.28</v>
      </c>
      <c r="H316" s="13" t="inlineStr">
        <is>
          <t>Fourth Edition (BB)</t>
        </is>
      </c>
      <c r="I316" s="13" t="inlineStr">
        <is>
          <t>Não</t>
        </is>
      </c>
      <c r="J316" s="13" t="n">
        <v>1995</v>
      </c>
      <c r="L316" s="13" t="n">
        <v>1</v>
      </c>
      <c r="M316" s="8">
        <f>L316*G316</f>
        <v/>
      </c>
      <c r="P316" s="9" t="n"/>
    </row>
    <row r="317">
      <c r="A317" s="13" t="inlineStr">
        <is>
          <t>Bladehold War-Whip / Chicote de Guerra de Bladehold</t>
        </is>
      </c>
      <c r="B317" s="13" t="inlineStr">
        <is>
          <t>Artifact — Equipment / Artefato — Equipamento</t>
        </is>
      </c>
      <c r="C317" s="13" t="inlineStr">
        <is>
          <t>Uncommon / Incomum</t>
        </is>
      </c>
      <c r="D317" s="13"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317" s="13" t="inlineStr">
        <is>
          <t>{1}{R}{W}</t>
        </is>
      </c>
      <c r="F317" s="13" t="inlineStr">
        <is>
          <t>Vermelho, Branco</t>
        </is>
      </c>
      <c r="G317" s="8" t="n">
        <v>0.07000000000000001</v>
      </c>
      <c r="H317" s="13" t="inlineStr">
        <is>
          <t>Phyrexia: All Will Be One (ONE)</t>
        </is>
      </c>
      <c r="I317" s="13" t="inlineStr">
        <is>
          <t>Não</t>
        </is>
      </c>
      <c r="J317" s="13" t="n">
        <v>2023</v>
      </c>
      <c r="L317" s="13" t="n">
        <v>1</v>
      </c>
      <c r="M317" s="8">
        <f>L317*G317</f>
        <v/>
      </c>
      <c r="P317" s="9" t="n"/>
    </row>
    <row r="318">
      <c r="A318" s="13" t="inlineStr">
        <is>
          <t>Blanchwood Prowler / Espreitador de Blanchwood</t>
        </is>
      </c>
      <c r="B318" s="13" t="inlineStr">
        <is>
          <t>Creature — Elemental / Criatura — Elemental</t>
        </is>
      </c>
      <c r="C318" s="13" t="inlineStr">
        <is>
          <t>Common / Comum</t>
        </is>
      </c>
      <c r="D318" s="13"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318" s="13" t="inlineStr">
        <is>
          <t>{1}{G}</t>
        </is>
      </c>
      <c r="F318" s="13" t="inlineStr">
        <is>
          <t>Verde</t>
        </is>
      </c>
      <c r="G318" s="8" t="n">
        <v>1.95</v>
      </c>
      <c r="H318" s="13" t="inlineStr">
        <is>
          <t>The Brothers' War (BRO)</t>
        </is>
      </c>
      <c r="I318" s="13" t="inlineStr">
        <is>
          <t>Sim</t>
        </is>
      </c>
      <c r="J318" s="13" t="n">
        <v>2022</v>
      </c>
      <c r="K318" s="10" t="n">
        <v>46023</v>
      </c>
      <c r="L318" s="13" t="n">
        <v>2</v>
      </c>
      <c r="M318" s="8">
        <f>L318*G318</f>
        <v/>
      </c>
      <c r="P318" s="9" t="n"/>
    </row>
    <row r="319">
      <c r="A319" s="13" t="inlineStr">
        <is>
          <t>Blanchwood Prowler / Espreitador de Blanchwood</t>
        </is>
      </c>
      <c r="B319" s="13" t="inlineStr">
        <is>
          <t>Creature — Elemental / Criatura — Elemental</t>
        </is>
      </c>
      <c r="C319" s="13" t="inlineStr">
        <is>
          <t>Common / Comum</t>
        </is>
      </c>
      <c r="D319" s="13"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319" s="13" t="inlineStr">
        <is>
          <t>{1}{G}</t>
        </is>
      </c>
      <c r="F319" s="13" t="inlineStr">
        <is>
          <t>Verde</t>
        </is>
      </c>
      <c r="G319" s="8" t="n">
        <v>0.2</v>
      </c>
      <c r="H319" s="13" t="inlineStr">
        <is>
          <t>The Brothers' War (BRO)</t>
        </is>
      </c>
      <c r="I319" s="13" t="inlineStr">
        <is>
          <t>Não</t>
        </is>
      </c>
      <c r="J319" s="13" t="n">
        <v>2022</v>
      </c>
      <c r="K319" s="10" t="n">
        <v>46023</v>
      </c>
      <c r="L319" s="13" t="n">
        <v>1</v>
      </c>
      <c r="M319" s="8">
        <f>L319*G319</f>
        <v/>
      </c>
      <c r="P319" s="9" t="n"/>
    </row>
    <row r="320">
      <c r="A320" s="13" t="inlineStr">
        <is>
          <t>Blazing Bomb / Bomba Flamejante</t>
        </is>
      </c>
      <c r="B320" s="13" t="inlineStr">
        <is>
          <t>Criatura — Elemental</t>
        </is>
      </c>
      <c r="C320" s="13" t="inlineStr">
        <is>
          <t>Comum</t>
        </is>
      </c>
      <c r="D320" s="13"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320" s="13" t="inlineStr">
        <is>
          <t>R</t>
        </is>
      </c>
      <c r="F320" s="13" t="inlineStr">
        <is>
          <t>Vermelho</t>
        </is>
      </c>
      <c r="G320" s="8" t="n">
        <v>0.1</v>
      </c>
      <c r="H320" s="13" t="inlineStr">
        <is>
          <t>Final Fantasy</t>
        </is>
      </c>
      <c r="I320" s="13" t="inlineStr">
        <is>
          <t>Não</t>
        </is>
      </c>
      <c r="J320" s="13" t="n">
        <v>2025</v>
      </c>
      <c r="K320" s="10" t="n">
        <v>46023</v>
      </c>
      <c r="L320" s="13" t="n">
        <v>6</v>
      </c>
      <c r="M320" s="8">
        <f>L320*G320</f>
        <v/>
      </c>
      <c r="P320" s="9" t="n"/>
    </row>
    <row r="321">
      <c r="A321" s="13" t="inlineStr">
        <is>
          <t>Blazing Crescendo / Crescendo Flamejante</t>
        </is>
      </c>
      <c r="B321" s="13" t="inlineStr">
        <is>
          <t>Mágica Instantânea</t>
        </is>
      </c>
      <c r="C321" s="13" t="inlineStr">
        <is>
          <t>Comum</t>
        </is>
      </c>
      <c r="D321" s="13" t="inlineStr">
        <is>
          <t>A criatura alvo recebe +3/+1 até o final do turno. Exile o card do topo de seu grimório. Até o final de seu próximo turno, você poderá jogar aquele card.</t>
        </is>
      </c>
      <c r="E321" s="13" t="inlineStr">
        <is>
          <t>1{R}</t>
        </is>
      </c>
      <c r="F321" s="13" t="inlineStr">
        <is>
          <t>Vermelho</t>
        </is>
      </c>
      <c r="G321" s="8" t="n">
        <v>0.13</v>
      </c>
      <c r="H321" s="13" t="inlineStr">
        <is>
          <t>Marvel</t>
        </is>
      </c>
      <c r="I321" s="13" t="inlineStr">
        <is>
          <t>Não</t>
        </is>
      </c>
      <c r="J321" s="13" t="n">
        <v>2026</v>
      </c>
      <c r="L321" s="13" t="n">
        <v>1</v>
      </c>
      <c r="M321" s="8">
        <f>L321*G321</f>
        <v/>
      </c>
      <c r="P321" s="9" t="n"/>
    </row>
    <row r="322">
      <c r="A322" s="13" t="inlineStr">
        <is>
          <t>Blazing Rootwalla / Rizowalla Inflamado</t>
        </is>
      </c>
      <c r="B322" s="13" t="inlineStr">
        <is>
          <t>Creature — Lizard / Criatura — Lagarto</t>
        </is>
      </c>
      <c r="C322" s="13" t="inlineStr">
        <is>
          <t>Uncommon / Incomum</t>
        </is>
      </c>
      <c r="D322" s="13"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322" s="13" t="inlineStr">
        <is>
          <t>{R}</t>
        </is>
      </c>
      <c r="F322" s="13" t="inlineStr">
        <is>
          <t>Vermelho</t>
        </is>
      </c>
      <c r="G322" s="8" t="n">
        <v>0.34</v>
      </c>
      <c r="H322" s="13" t="inlineStr">
        <is>
          <t>Modern Horizons 2 (MH2)</t>
        </is>
      </c>
      <c r="I322" s="13" t="inlineStr">
        <is>
          <t>Não</t>
        </is>
      </c>
      <c r="J322" s="13" t="n">
        <v>2021</v>
      </c>
      <c r="K322" s="10" t="n">
        <v>46023</v>
      </c>
      <c r="L322" s="13" t="n">
        <v>1</v>
      </c>
      <c r="M322" s="8">
        <f>L322*G322</f>
        <v/>
      </c>
      <c r="P322" s="9" t="n"/>
    </row>
    <row r="323">
      <c r="A323" s="13" t="inlineStr">
        <is>
          <t>Blessed Wine / Vinho Abençoado</t>
        </is>
      </c>
      <c r="B323" s="13" t="inlineStr">
        <is>
          <t>Instant</t>
        </is>
      </c>
      <c r="C323" s="13" t="inlineStr">
        <is>
          <t>Common / Comum</t>
        </is>
      </c>
      <c r="D323" s="13" t="inlineStr">
        <is>
          <t>You gain 1 life. Draw a card at the beginning of the next turn's upkeep.</t>
        </is>
      </c>
      <c r="E323" s="13" t="inlineStr">
        <is>
          <t>{1}{W}</t>
        </is>
      </c>
      <c r="F323" s="13" t="inlineStr">
        <is>
          <t>Branco</t>
        </is>
      </c>
      <c r="G323" s="8" t="n">
        <v>0.08</v>
      </c>
      <c r="H323" s="13" t="inlineStr">
        <is>
          <t>Ice Age (ICE)</t>
        </is>
      </c>
      <c r="I323" s="13" t="inlineStr">
        <is>
          <t>Não</t>
        </is>
      </c>
      <c r="J323" s="13" t="n">
        <v>1995</v>
      </c>
      <c r="L323" s="13" t="n">
        <v>2</v>
      </c>
      <c r="M323" s="8">
        <f>L323*G323</f>
        <v/>
      </c>
      <c r="P323" s="9" t="n"/>
    </row>
    <row r="324">
      <c r="A324" s="13" t="inlineStr">
        <is>
          <t>Blessing of Frost / Bênção da Geada</t>
        </is>
      </c>
      <c r="B324" s="13" t="inlineStr">
        <is>
          <t>Snow Sorcery / Feitiço da Neve</t>
        </is>
      </c>
      <c r="C324" s="13" t="inlineStr">
        <is>
          <t>Rare / Rara</t>
        </is>
      </c>
      <c r="D324" s="13"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324" s="13" t="inlineStr">
        <is>
          <t>{3}{G}</t>
        </is>
      </c>
      <c r="F324" s="13" t="inlineStr">
        <is>
          <t>Verde</t>
        </is>
      </c>
      <c r="G324" s="8" t="n">
        <v>0.17</v>
      </c>
      <c r="H324" s="13" t="inlineStr">
        <is>
          <t>Kaldheim (KHM)</t>
        </is>
      </c>
      <c r="I324" s="13" t="inlineStr">
        <is>
          <t>Não</t>
        </is>
      </c>
      <c r="J324" s="13" t="n">
        <v>2021</v>
      </c>
      <c r="L324" s="13" t="n">
        <v>1</v>
      </c>
      <c r="M324" s="8">
        <f>L324*G324</f>
        <v/>
      </c>
      <c r="P324" s="9" t="n"/>
    </row>
    <row r="325">
      <c r="A325" s="13" t="inlineStr">
        <is>
          <t>Blighted Pretothorn</t>
        </is>
      </c>
      <c r="B325" s="13" t="inlineStr">
        <is>
          <t>Creature — Treefolk Warlock</t>
        </is>
      </c>
      <c r="C325" s="13" t="inlineStr">
        <is>
          <t>Common</t>
        </is>
      </c>
      <c r="D325" s="13" t="inlineStr">
        <is>
          <t>Whenever this creature enters or attacks, you may blight 2. If you do, you draw a card and lose 1 life. (To blight 2, put two -1/-1 counters on a creature you control.)</t>
        </is>
      </c>
      <c r="E325" s="13" t="inlineStr">
        <is>
          <t>{4}{B}</t>
        </is>
      </c>
      <c r="F325" s="13" t="inlineStr">
        <is>
          <t>Preto</t>
        </is>
      </c>
      <c r="G325" s="8" t="n">
        <v>0.05</v>
      </c>
      <c r="H325" s="13" t="inlineStr">
        <is>
          <t>Lorwyn Eclipsed (ECL)</t>
        </is>
      </c>
      <c r="I325" s="13" t="inlineStr">
        <is>
          <t>Não</t>
        </is>
      </c>
      <c r="J325" s="13" t="n">
        <v>2026</v>
      </c>
      <c r="K325" s="10" t="n">
        <v>46206</v>
      </c>
      <c r="L325" s="13" t="n">
        <v>3</v>
      </c>
      <c r="M325" s="8">
        <f>L325*G325</f>
        <v/>
      </c>
      <c r="P325" s="9" t="n"/>
    </row>
    <row r="326">
      <c r="A326" s="13" t="inlineStr">
        <is>
          <t>Blind Fury / Fúria Cega</t>
        </is>
      </c>
      <c r="B326" s="13" t="inlineStr">
        <is>
          <t>Instant</t>
        </is>
      </c>
      <c r="C326" s="13" t="inlineStr">
        <is>
          <t>Uncommon / Incomum</t>
        </is>
      </c>
      <c r="D326" s="13" t="inlineStr">
        <is>
          <t>All creatures lose trample until end of turn. If a creature would deal combat damage to a creature this turn, it deals double that damage to that creature instead.</t>
        </is>
      </c>
      <c r="E326" s="13" t="inlineStr">
        <is>
          <t>{2}{R}{R}</t>
        </is>
      </c>
      <c r="F326" s="13" t="inlineStr">
        <is>
          <t>Vermelho</t>
        </is>
      </c>
      <c r="G326" s="8" t="n">
        <v>0.23</v>
      </c>
      <c r="H326" s="13" t="inlineStr">
        <is>
          <t>Mirage (MIR)</t>
        </is>
      </c>
      <c r="I326" s="13" t="inlineStr">
        <is>
          <t>Não</t>
        </is>
      </c>
      <c r="J326" s="13" t="n">
        <v>1996</v>
      </c>
      <c r="L326" s="13" t="n">
        <v>1</v>
      </c>
      <c r="M326" s="8">
        <f>L326*G326</f>
        <v/>
      </c>
      <c r="P326" s="9" t="n"/>
    </row>
    <row r="327">
      <c r="A327" s="13" t="inlineStr">
        <is>
          <t>Blind Zealot / Zelote Cego</t>
        </is>
      </c>
      <c r="B327" s="13" t="inlineStr">
        <is>
          <t>Creature — Phyrexian Human Cleric / Criatura — Humano Clérigo</t>
        </is>
      </c>
      <c r="C327" s="13" t="inlineStr">
        <is>
          <t>Common / Comum</t>
        </is>
      </c>
      <c r="D327" s="13"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327" s="13" t="inlineStr">
        <is>
          <t>{1}{B}{B}</t>
        </is>
      </c>
      <c r="F327" s="13" t="inlineStr">
        <is>
          <t>Preto</t>
        </is>
      </c>
      <c r="G327" s="8" t="n">
        <v>0.06</v>
      </c>
      <c r="H327" s="13" t="inlineStr">
        <is>
          <t>New Phyrexia (NPH)</t>
        </is>
      </c>
      <c r="I327" s="13" t="inlineStr">
        <is>
          <t>Não</t>
        </is>
      </c>
      <c r="J327" s="13" t="n">
        <v>2011</v>
      </c>
      <c r="K327" s="10" t="n">
        <v>46055</v>
      </c>
      <c r="L327" s="13" t="n">
        <v>1</v>
      </c>
      <c r="M327" s="8">
        <f>L327*G327</f>
        <v/>
      </c>
      <c r="P327" s="9" t="n"/>
    </row>
    <row r="328">
      <c r="A328" s="13" t="inlineStr">
        <is>
          <t>Blindblast / Explosão Cegante</t>
        </is>
      </c>
      <c r="B328" s="13" t="inlineStr">
        <is>
          <t>Instant / Mágica Instantânea</t>
        </is>
      </c>
      <c r="C328" s="13" t="inlineStr">
        <is>
          <t>Common / Comum</t>
        </is>
      </c>
      <c r="D328" s="13" t="inlineStr">
        <is>
          <t>Blindblast deals 1 damage to target creature. That creature can't block this turn. Draw a card. / Explosão Cegante causa 1 ponto de dano à criatura alvo. Aquela criatura não pode bloquear neste turno. Compre um card.</t>
        </is>
      </c>
      <c r="E328" s="13" t="inlineStr">
        <is>
          <t>{2}{R}</t>
        </is>
      </c>
      <c r="F328" s="13" t="inlineStr">
        <is>
          <t>Vermelho</t>
        </is>
      </c>
      <c r="G328" s="8" t="n">
        <v>0.03</v>
      </c>
      <c r="H328" s="13" t="inlineStr">
        <is>
          <t>War of the Spark (WAR)</t>
        </is>
      </c>
      <c r="I328" s="13" t="inlineStr">
        <is>
          <t>Não</t>
        </is>
      </c>
      <c r="J328" s="13" t="n">
        <v>2019</v>
      </c>
      <c r="L328" s="13" t="n">
        <v>2</v>
      </c>
      <c r="M328" s="8">
        <f>L328*G328</f>
        <v/>
      </c>
      <c r="P328" s="9" t="n"/>
    </row>
    <row r="329">
      <c r="A329" s="13" t="inlineStr">
        <is>
          <t>Blinding Drone / Zangão Cegante</t>
        </is>
      </c>
      <c r="B329" s="13" t="inlineStr">
        <is>
          <t>Creature — Eldrazi Drone / Criatura — Eldrazi Zangão</t>
        </is>
      </c>
      <c r="C329" s="13" t="inlineStr">
        <is>
          <t>Common / Comum</t>
        </is>
      </c>
      <c r="D329" s="13" t="inlineStr">
        <is>
          <t>Devoid (This card has no color.) {C}, {T}: Tap target creature. ({C} represents colorless mana.) / Desprovido (Este card não tem cor.) {C}, {T}: Vire a criatura alvo. ({C} representa mana incolor.)</t>
        </is>
      </c>
      <c r="E329" s="13" t="inlineStr">
        <is>
          <t>{1}{U}</t>
        </is>
      </c>
      <c r="F329" s="13" t="inlineStr">
        <is>
          <t>Azul</t>
        </is>
      </c>
      <c r="G329" s="8" t="n">
        <v>0.05</v>
      </c>
      <c r="H329" s="13" t="inlineStr">
        <is>
          <t>Oath of the Gatewatch (OGW)</t>
        </is>
      </c>
      <c r="I329" s="13" t="inlineStr">
        <is>
          <t>Não</t>
        </is>
      </c>
      <c r="J329" s="13" t="n">
        <v>2016</v>
      </c>
      <c r="K329" s="10" t="n">
        <v>46082</v>
      </c>
      <c r="L329" s="13" t="n">
        <v>1</v>
      </c>
      <c r="M329" s="8">
        <f>L329*G329</f>
        <v/>
      </c>
      <c r="P329" s="9" t="n"/>
    </row>
    <row r="330">
      <c r="A330" s="13" t="inlineStr">
        <is>
          <t>Blinding Flare / Clarão Cegante</t>
        </is>
      </c>
      <c r="B330" s="13" t="inlineStr">
        <is>
          <t>Feitiço</t>
        </is>
      </c>
      <c r="C330" s="13" t="inlineStr">
        <is>
          <t>Incomum</t>
        </is>
      </c>
      <c r="D330" s="13" t="inlineStr">
        <is>
          <t>Esforço — Clarão Cegante custa R a mais para ser conjurado para cada alvo além do primeiro. Qualquer número de criaturas alvo não pode bloquear neste turno.</t>
        </is>
      </c>
      <c r="E330" s="13" t="inlineStr">
        <is>
          <t>R</t>
        </is>
      </c>
      <c r="F330" s="13" t="inlineStr">
        <is>
          <t>Vermelho</t>
        </is>
      </c>
      <c r="G330" s="8" t="n">
        <v>0.05</v>
      </c>
      <c r="H330" s="13" t="inlineStr">
        <is>
          <t>Journey into Nyx</t>
        </is>
      </c>
      <c r="I330" s="13" t="inlineStr">
        <is>
          <t>Não</t>
        </is>
      </c>
      <c r="J330" s="13" t="n">
        <v>2014</v>
      </c>
      <c r="L330" s="13" t="n">
        <v>2</v>
      </c>
      <c r="M330" s="8">
        <f>L330*G330</f>
        <v/>
      </c>
      <c r="P330" s="9" t="n"/>
    </row>
    <row r="331">
      <c r="A331" s="13" t="inlineStr">
        <is>
          <t>Blinding Souleater / Devorador de Almas Cegante</t>
        </is>
      </c>
      <c r="B331" s="13" t="inlineStr">
        <is>
          <t>Artifact Creature — Cleric / Criatura Artefato — Clérigo</t>
        </is>
      </c>
      <c r="C331" s="13" t="inlineStr">
        <is>
          <t>Common / Comum</t>
        </is>
      </c>
      <c r="D331" s="13" t="inlineStr">
        <is>
          <t>{W/P}, {T}: Tap target creature. ({W/P} can be paid with either {W} or 2 life.) / {W/P}, {T}: Vire a criatura alvo. ({W/P} pode ser pago com {W} ou 2 pontos de vida.)</t>
        </is>
      </c>
      <c r="E331" s="13" t="inlineStr">
        <is>
          <t>{3}</t>
        </is>
      </c>
      <c r="F331" s="13" t="inlineStr">
        <is>
          <t>Incolor</t>
        </is>
      </c>
      <c r="G331" s="8" t="n">
        <v>0.03</v>
      </c>
      <c r="H331" s="13" t="inlineStr">
        <is>
          <t>Modern Masters 2015 Edition (MM2)</t>
        </is>
      </c>
      <c r="I331" s="13" t="inlineStr">
        <is>
          <t>No</t>
        </is>
      </c>
      <c r="J331" s="13" t="n">
        <v>2015</v>
      </c>
      <c r="K331" s="10" t="n">
        <v>46082</v>
      </c>
      <c r="L331" s="13" t="n">
        <v>1</v>
      </c>
      <c r="M331" s="8">
        <f>L331*G331</f>
        <v/>
      </c>
      <c r="P331" s="9" t="n"/>
    </row>
    <row r="332">
      <c r="A332" s="13" t="inlineStr">
        <is>
          <t>Blink of an Eye / Piscar de Olhos</t>
        </is>
      </c>
      <c r="B332" s="13" t="inlineStr">
        <is>
          <t>Instant / Mágica Instantânea</t>
        </is>
      </c>
      <c r="C332" s="13" t="inlineStr">
        <is>
          <t>Common / Comum</t>
        </is>
      </c>
      <c r="D332" s="13"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332" s="13" t="inlineStr">
        <is>
          <t>{1}{U}</t>
        </is>
      </c>
      <c r="F332" s="13" t="inlineStr">
        <is>
          <t>Azul</t>
        </is>
      </c>
      <c r="G332" s="8" t="n">
        <v>0.07000000000000001</v>
      </c>
      <c r="H332" s="13" t="inlineStr">
        <is>
          <t>Dominaria (DOM)</t>
        </is>
      </c>
      <c r="I332" s="13" t="inlineStr">
        <is>
          <t>Não</t>
        </is>
      </c>
      <c r="J332" s="13" t="n">
        <v>2018</v>
      </c>
      <c r="L332" s="13" t="n">
        <v>2</v>
      </c>
      <c r="M332" s="8">
        <f>L332*G332</f>
        <v/>
      </c>
      <c r="P332" s="9" t="n"/>
    </row>
    <row r="333">
      <c r="A333" s="13" t="inlineStr">
        <is>
          <t>Blistercoil Weird / Bizarro da Helicosfera</t>
        </is>
      </c>
      <c r="B333" s="13" t="inlineStr">
        <is>
          <t>Creature — Weird / Criatura — Bizarro</t>
        </is>
      </c>
      <c r="C333" s="13" t="inlineStr">
        <is>
          <t>Uncommon / Incomum</t>
        </is>
      </c>
      <c r="D333" s="13" t="inlineStr">
        <is>
          <t>Whenever you cast an instant or sorcery spell, this creature gets +1/+1 until end of turn. Untap it. / Toda vez que você conjurar uma mágica instantânea ou feitiço, Bizarro da Helicosfera recebe +1/+1 até o final do turno. Desvire-o.</t>
        </is>
      </c>
      <c r="E333" s="13" t="inlineStr">
        <is>
          <t>{U/R}</t>
        </is>
      </c>
      <c r="F333" s="13" t="inlineStr">
        <is>
          <t>Vermelho, Azul</t>
        </is>
      </c>
      <c r="G333" s="8" t="n">
        <v>0.09</v>
      </c>
      <c r="H333" s="13" t="inlineStr">
        <is>
          <t>Return to Ravnica (RTR)</t>
        </is>
      </c>
      <c r="I333" s="13" t="inlineStr">
        <is>
          <t>Não</t>
        </is>
      </c>
      <c r="J333" s="13" t="n">
        <v>2012</v>
      </c>
      <c r="K333" s="10" t="n">
        <v>46023</v>
      </c>
      <c r="L333" s="13" t="n">
        <v>2</v>
      </c>
      <c r="M333" s="8">
        <f>L333*G333</f>
        <v/>
      </c>
      <c r="P333" s="9" t="n"/>
    </row>
    <row r="334">
      <c r="A334" s="13" t="inlineStr">
        <is>
          <t>Blistering Dieflyn / Dieflyn Ardente</t>
        </is>
      </c>
      <c r="B334" s="13" t="inlineStr">
        <is>
          <t>Creature — Imp / Criatura — Diabrete</t>
        </is>
      </c>
      <c r="C334" s="13" t="inlineStr">
        <is>
          <t>Common / Comum</t>
        </is>
      </c>
      <c r="D334" s="13" t="inlineStr">
        <is>
          <t>Flying {B/R}: This creature gets +1/+0 until end of turn. / Voar {B/R}: Dieflyn Ardente recebe +1/+0 até o final do turno.</t>
        </is>
      </c>
      <c r="E334" s="13" t="inlineStr">
        <is>
          <t>{3}{R}</t>
        </is>
      </c>
      <c r="F334" s="13" t="inlineStr">
        <is>
          <t>Vermelho</t>
        </is>
      </c>
      <c r="G334" s="8" t="n">
        <v>0.06</v>
      </c>
      <c r="H334" s="13" t="inlineStr">
        <is>
          <t>Shadowmoor (SHM)</t>
        </is>
      </c>
      <c r="I334" s="13" t="inlineStr">
        <is>
          <t>Não</t>
        </is>
      </c>
      <c r="J334" s="13" t="n">
        <v>2008</v>
      </c>
      <c r="K334" s="13" t="inlineStr">
        <is>
          <t>0/1</t>
        </is>
      </c>
      <c r="L334" s="13" t="n">
        <v>1</v>
      </c>
      <c r="M334" s="8">
        <f>L334*G334</f>
        <v/>
      </c>
      <c r="P334" s="9" t="n"/>
    </row>
    <row r="335">
      <c r="A335" s="13" t="inlineStr">
        <is>
          <t>Blitzball / Blitzball</t>
        </is>
      </c>
      <c r="B335" s="13" t="inlineStr">
        <is>
          <t>Artefato</t>
        </is>
      </c>
      <c r="C335" s="13" t="inlineStr">
        <is>
          <t>Comum</t>
        </is>
      </c>
      <c r="D335" s="13" t="inlineStr">
        <is>
          <t>{T}: Adicione um mana de qualquer cor. GOLOOOOOOO! — {T}, Sacrifique este artefato: Compre dois cards. Ative somente se um oponente tiver sofrido dano de combate por uma criatura lendária neste turno.</t>
        </is>
      </c>
      <c r="E335" s="13" t="n">
        <v>3</v>
      </c>
      <c r="F335" s="13" t="inlineStr">
        <is>
          <t>Incolor</t>
        </is>
      </c>
      <c r="G335" s="8" t="n">
        <v>0.14</v>
      </c>
      <c r="H335" s="13" t="inlineStr">
        <is>
          <t>Final Fantasy</t>
        </is>
      </c>
      <c r="I335" s="13" t="inlineStr">
        <is>
          <t>Não</t>
        </is>
      </c>
      <c r="J335" s="13" t="n">
        <v>2025</v>
      </c>
      <c r="L335" s="13" t="n">
        <v>5</v>
      </c>
      <c r="M335" s="8">
        <f>L335*G335</f>
        <v/>
      </c>
      <c r="P335" s="9" t="n"/>
    </row>
    <row r="336">
      <c r="A336" s="13" t="inlineStr">
        <is>
          <t>Blitzball Shot / Chute de Blitzball</t>
        </is>
      </c>
      <c r="B336" s="13" t="inlineStr">
        <is>
          <t>Mágica Instantânea</t>
        </is>
      </c>
      <c r="C336" s="13" t="inlineStr">
        <is>
          <t>Comum</t>
        </is>
      </c>
      <c r="D336" s="13" t="inlineStr">
        <is>
          <t>A criatura alvo recebe +3/+3 e ganha atropelar até o final do turno.</t>
        </is>
      </c>
      <c r="E336" s="13" t="inlineStr">
        <is>
          <t>1{G}</t>
        </is>
      </c>
      <c r="F336" s="13" t="inlineStr">
        <is>
          <t>Verde</t>
        </is>
      </c>
      <c r="G336" s="8" t="n">
        <v>0.05</v>
      </c>
      <c r="H336" s="13" t="inlineStr">
        <is>
          <t>Final Fantasy</t>
        </is>
      </c>
      <c r="I336" s="13" t="inlineStr">
        <is>
          <t>Não</t>
        </is>
      </c>
      <c r="J336" s="13" t="n">
        <v>2025</v>
      </c>
      <c r="L336" s="13" t="n">
        <v>11</v>
      </c>
      <c r="M336" s="8">
        <f>L336*G336</f>
        <v/>
      </c>
      <c r="P336" s="9" t="n"/>
    </row>
    <row r="337">
      <c r="A337" s="13" t="inlineStr">
        <is>
          <t>Bloated Processor / Processador Inchado</t>
        </is>
      </c>
      <c r="B337" s="13" t="inlineStr">
        <is>
          <t>Creature — Phyrexian / Criatura — Phyrexiano</t>
        </is>
      </c>
      <c r="C337" s="13" t="inlineStr">
        <is>
          <t>Rare / Rara</t>
        </is>
      </c>
      <c r="D337" s="13"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337" s="13" t="inlineStr">
        <is>
          <t>{2}{B}</t>
        </is>
      </c>
      <c r="F337" s="13" t="inlineStr">
        <is>
          <t>Preto</t>
        </is>
      </c>
      <c r="G337" s="8" t="n">
        <v>0.25</v>
      </c>
      <c r="H337" s="13" t="inlineStr">
        <is>
          <t>March of the Machine (MOM)</t>
        </is>
      </c>
      <c r="I337" s="13" t="inlineStr">
        <is>
          <t>Não</t>
        </is>
      </c>
      <c r="J337" s="13" t="n">
        <v>2023</v>
      </c>
      <c r="K337" s="10" t="n">
        <v>46056</v>
      </c>
      <c r="L337" s="13" t="n">
        <v>1</v>
      </c>
      <c r="M337" s="8">
        <f>L337*G337</f>
        <v/>
      </c>
      <c r="P337" s="9" t="n"/>
    </row>
    <row r="338">
      <c r="A338" s="13" t="inlineStr">
        <is>
          <t>Blood Aspirant / Aspirante a Sanguinário</t>
        </is>
      </c>
      <c r="B338" s="13" t="inlineStr">
        <is>
          <t>Creature — Satyr Berserker / Criatura — Sátiro Amoque</t>
        </is>
      </c>
      <c r="C338" s="13" t="inlineStr">
        <is>
          <t>Common / Comum</t>
        </is>
      </c>
      <c r="D338" s="13"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338" s="13" t="inlineStr">
        <is>
          <t>{1}{R}</t>
        </is>
      </c>
      <c r="F338" s="13" t="inlineStr">
        <is>
          <t>Vermelho</t>
        </is>
      </c>
      <c r="G338" s="8" t="n">
        <v>0.17</v>
      </c>
      <c r="H338" s="13" t="inlineStr">
        <is>
          <t>Commander Masters (CMM)</t>
        </is>
      </c>
      <c r="I338" s="13" t="inlineStr">
        <is>
          <t>Não</t>
        </is>
      </c>
      <c r="J338" s="13" t="n">
        <v>2023</v>
      </c>
      <c r="K338" s="10" t="n">
        <v>46023</v>
      </c>
      <c r="L338" s="13" t="n">
        <v>1</v>
      </c>
      <c r="M338" s="8">
        <f>L338*G338</f>
        <v/>
      </c>
      <c r="P338" s="9" t="n"/>
    </row>
    <row r="339">
      <c r="A339" s="13" t="inlineStr">
        <is>
          <t>Blood Hustler / Vigarista do Sangue</t>
        </is>
      </c>
      <c r="B339" s="13" t="inlineStr">
        <is>
          <t>Creature — Vampire Rogue / Criatura — Vampiro Ladino</t>
        </is>
      </c>
      <c r="C339" s="13" t="inlineStr">
        <is>
          <t>Uncommon / Incomum</t>
        </is>
      </c>
      <c r="D339" s="13"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339" s="13" t="inlineStr">
        <is>
          <t>{1}{B}</t>
        </is>
      </c>
      <c r="F339" s="13" t="inlineStr">
        <is>
          <t>Preto</t>
        </is>
      </c>
      <c r="G339" s="8" t="n">
        <v>0.1</v>
      </c>
      <c r="H339" s="13" t="inlineStr">
        <is>
          <t>Outlaws of Thunder Junction (OTJ)</t>
        </is>
      </c>
      <c r="I339" s="13" t="inlineStr">
        <is>
          <t>Não</t>
        </is>
      </c>
      <c r="J339" s="13" t="n">
        <v>2024</v>
      </c>
      <c r="K339" s="10" t="n">
        <v>46023</v>
      </c>
      <c r="L339" s="13" t="n">
        <v>1</v>
      </c>
      <c r="M339" s="8">
        <f>L339*G339</f>
        <v/>
      </c>
      <c r="P339" s="9" t="n"/>
    </row>
    <row r="340">
      <c r="A340" s="13" t="inlineStr">
        <is>
          <t>Blood Lust / Sede de Sangue</t>
        </is>
      </c>
      <c r="B340" s="13" t="inlineStr">
        <is>
          <t>Instant</t>
        </is>
      </c>
      <c r="C340" s="13" t="inlineStr">
        <is>
          <t>Uncommon / Incomum</t>
        </is>
      </c>
      <c r="D340" s="13" t="inlineStr">
        <is>
          <t>If target creature has toughness 5 or greater, it gets +4/-4 until end of turn. Otherwise, it gets +4/-X until end of turn, where X is its toughness minus 1.</t>
        </is>
      </c>
      <c r="E340" s="13" t="inlineStr">
        <is>
          <t>{1}{R}</t>
        </is>
      </c>
      <c r="F340" s="13" t="inlineStr">
        <is>
          <t>Vermelho</t>
        </is>
      </c>
      <c r="G340" s="8" t="n">
        <v>0.05</v>
      </c>
      <c r="H340" s="13" t="inlineStr">
        <is>
          <t xml:space="preserve">Quarta Edição </t>
        </is>
      </c>
      <c r="I340" s="13" t="inlineStr">
        <is>
          <t>Não</t>
        </is>
      </c>
      <c r="J340" s="13" t="n">
        <v>1995</v>
      </c>
      <c r="L340" s="13" t="n">
        <v>2</v>
      </c>
      <c r="M340" s="8">
        <f>L340*G340</f>
        <v/>
      </c>
      <c r="P340" s="9" t="n"/>
    </row>
    <row r="341">
      <c r="A341" s="13" t="inlineStr">
        <is>
          <t>Blood Lust / Sede de Sangue</t>
        </is>
      </c>
      <c r="B341" s="13" t="inlineStr">
        <is>
          <t>Instant</t>
        </is>
      </c>
      <c r="C341" s="13" t="inlineStr">
        <is>
          <t>Uncommon / Incomum</t>
        </is>
      </c>
      <c r="D341" s="13" t="inlineStr">
        <is>
          <t>If target creature has toughness 5 or greater, it gets +4/-4 until end of turn. Otherwise, it gets +4/-X until end of turn, where X is its toughness minus 1.</t>
        </is>
      </c>
      <c r="E341" s="13" t="inlineStr">
        <is>
          <t>{1}{R}</t>
        </is>
      </c>
      <c r="F341" s="13" t="inlineStr">
        <is>
          <t>Vermelho</t>
        </is>
      </c>
      <c r="G341" s="8" t="n">
        <v>0.3</v>
      </c>
      <c r="H341" s="13" t="inlineStr">
        <is>
          <t>Quarta Edição (BB)</t>
        </is>
      </c>
      <c r="I341" s="13" t="inlineStr">
        <is>
          <t>Não</t>
        </is>
      </c>
      <c r="J341" s="13" t="n">
        <v>1995</v>
      </c>
      <c r="L341" s="13" t="n">
        <v>4</v>
      </c>
      <c r="M341" s="8">
        <f>L341*G341</f>
        <v/>
      </c>
      <c r="P341" s="9" t="n"/>
    </row>
    <row r="342">
      <c r="A342" s="13" t="inlineStr">
        <is>
          <t>Blood of the Martyr</t>
        </is>
      </c>
      <c r="B342" s="13" t="inlineStr">
        <is>
          <t>Mágica Instantânea / Instant</t>
        </is>
      </c>
      <c r="C342" s="13" t="inlineStr">
        <is>
          <t>Rara / Rare</t>
        </is>
      </c>
      <c r="D342" s="13" t="inlineStr">
        <is>
          <t>Until end of turn, you may redirect to yourself all damage dealt to any number of creatures. The source of the damage does not change.</t>
        </is>
      </c>
      <c r="E342" s="13" t="inlineStr">
        <is>
          <t>{W}{W}{W}</t>
        </is>
      </c>
      <c r="F342" s="13" t="inlineStr">
        <is>
          <t>Branco</t>
        </is>
      </c>
      <c r="G342" s="8" t="n">
        <v>0.18</v>
      </c>
      <c r="H342" s="13" t="inlineStr">
        <is>
          <t>Chronicles (CHR)</t>
        </is>
      </c>
      <c r="I342" s="13" t="inlineStr">
        <is>
          <t>Não</t>
        </is>
      </c>
      <c r="J342" s="13" t="n">
        <v>1995</v>
      </c>
      <c r="L342" s="13" t="n">
        <v>2</v>
      </c>
      <c r="M342" s="8">
        <f>L342*G342</f>
        <v/>
      </c>
      <c r="P342" s="9" t="n"/>
    </row>
    <row r="343">
      <c r="A343" s="13" t="inlineStr">
        <is>
          <t>Blood Petal Celebrant / Celebradora das Pétalas de Sangue</t>
        </is>
      </c>
      <c r="B343" s="13" t="inlineStr">
        <is>
          <t>Creature — Vampire / Criatura — Vampiro</t>
        </is>
      </c>
      <c r="C343" s="13" t="inlineStr">
        <is>
          <t>Common / Comum</t>
        </is>
      </c>
      <c r="D343" s="13"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343" s="13" t="inlineStr">
        <is>
          <t>{1}{R}</t>
        </is>
      </c>
      <c r="F343" s="13" t="inlineStr">
        <is>
          <t>Vermelho</t>
        </is>
      </c>
      <c r="G343" s="8" t="n">
        <v>0.09</v>
      </c>
      <c r="H343" s="13" t="inlineStr">
        <is>
          <t>Innistrad: Crimson Vow (VOW)</t>
        </is>
      </c>
      <c r="I343" s="13" t="inlineStr">
        <is>
          <t>Não</t>
        </is>
      </c>
      <c r="J343" s="13" t="n">
        <v>2021</v>
      </c>
      <c r="K343" s="10" t="n">
        <v>46024</v>
      </c>
      <c r="L343" s="13" t="n">
        <v>1</v>
      </c>
      <c r="M343" s="8">
        <f>L343*G343</f>
        <v/>
      </c>
      <c r="P343" s="9" t="n"/>
    </row>
    <row r="344">
      <c r="A344" s="13" t="inlineStr">
        <is>
          <t>Blood Reckoning / Vingança Sangrenta</t>
        </is>
      </c>
      <c r="B344" s="13" t="inlineStr">
        <is>
          <t>Enchantment / Encantamento</t>
        </is>
      </c>
      <c r="C344" s="13" t="inlineStr">
        <is>
          <t>Uncommon / Incomum</t>
        </is>
      </c>
      <c r="D344" s="13" t="inlineStr">
        <is>
          <t>Whenever a creature attacks you or a planeswalker you control, that creature's controller loses 1 life. / Toda vez que uma criatura atacar você ou um planeswalker que você controle, o controlador daquela criatura perde 1 ponto de vida.</t>
        </is>
      </c>
      <c r="E344" s="13" t="inlineStr">
        <is>
          <t>{3}{B}</t>
        </is>
      </c>
      <c r="F344" s="13" t="inlineStr">
        <is>
          <t>Preto</t>
        </is>
      </c>
      <c r="G344" s="8" t="n">
        <v>0.13</v>
      </c>
      <c r="H344" s="13" t="inlineStr">
        <is>
          <t>Magic 2013 (M13)</t>
        </is>
      </c>
      <c r="I344" s="13" t="inlineStr">
        <is>
          <t>Não</t>
        </is>
      </c>
      <c r="J344" s="13" t="n">
        <v>2012</v>
      </c>
      <c r="L344" s="13" t="n">
        <v>1</v>
      </c>
      <c r="M344" s="8">
        <f>L344*G344</f>
        <v/>
      </c>
      <c r="P344" s="9" t="n"/>
    </row>
    <row r="345">
      <c r="A345" s="13" t="inlineStr">
        <is>
          <t>Blood Servitor / Serviçal de Sangue</t>
        </is>
      </c>
      <c r="B345" s="13" t="inlineStr">
        <is>
          <t>Artifact Creature — Construct / Criatura Artefato — Constructo</t>
        </is>
      </c>
      <c r="C345" s="13" t="inlineStr">
        <is>
          <t>Common / Comum</t>
        </is>
      </c>
      <c r="D345" s="13"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345" s="13" t="inlineStr">
        <is>
          <t>{3}</t>
        </is>
      </c>
      <c r="F345" s="13" t="inlineStr">
        <is>
          <t>Incolor</t>
        </is>
      </c>
      <c r="G345" s="8" t="n">
        <v>0.05</v>
      </c>
      <c r="H345" s="13" t="inlineStr">
        <is>
          <t>Innistrad: Crimson Vow (VOW)</t>
        </is>
      </c>
      <c r="I345" s="13" t="inlineStr">
        <is>
          <t>Não</t>
        </is>
      </c>
      <c r="J345" s="13" t="n">
        <v>2021</v>
      </c>
      <c r="K345" s="10" t="n">
        <v>46055</v>
      </c>
      <c r="L345" s="13" t="n">
        <v>1</v>
      </c>
      <c r="M345" s="8">
        <f>L345*G345</f>
        <v/>
      </c>
      <c r="P345" s="9" t="n"/>
    </row>
    <row r="346">
      <c r="A346" s="13" t="inlineStr">
        <is>
          <t>Blood Sun / Sol Sangrento</t>
        </is>
      </c>
      <c r="B346" s="13" t="inlineStr">
        <is>
          <t>Enchantment / Encantamento</t>
        </is>
      </c>
      <c r="C346" s="13" t="inlineStr">
        <is>
          <t>Rare / Rara</t>
        </is>
      </c>
      <c r="D346" s="13" t="inlineStr">
        <is>
          <t>When this enchantment enters, draw a card. All lands lose all abilities except mana abilities. / Quando Sol Sangrento entrar no campo de batalha, compre um card. Todos os terrenos perdem todas as habilidades, exceto as habilidades de mana.</t>
        </is>
      </c>
      <c r="E346" s="13" t="inlineStr">
        <is>
          <t>{2}{R}</t>
        </is>
      </c>
      <c r="F346" s="13" t="inlineStr">
        <is>
          <t>Vermelho</t>
        </is>
      </c>
      <c r="G346" s="8" t="n">
        <v>0.75</v>
      </c>
      <c r="H346" s="13" t="inlineStr">
        <is>
          <t>Rivals of Ixalan (RIX)</t>
        </is>
      </c>
      <c r="I346" s="13" t="inlineStr">
        <is>
          <t>Não</t>
        </is>
      </c>
      <c r="J346" s="13" t="n">
        <v>2018</v>
      </c>
      <c r="L346" s="13" t="n">
        <v>1</v>
      </c>
      <c r="M346" s="8">
        <f>L346*G346</f>
        <v/>
      </c>
      <c r="P346" s="9" t="n"/>
    </row>
    <row r="347">
      <c r="A347" s="13" t="inlineStr">
        <is>
          <t>Blood Tithe / Dízimo de Sangue</t>
        </is>
      </c>
      <c r="B347" s="13" t="inlineStr">
        <is>
          <t>Sorcery / Feitiço</t>
        </is>
      </c>
      <c r="C347" s="13" t="inlineStr">
        <is>
          <t>Common / Comum</t>
        </is>
      </c>
      <c r="D347" s="13" t="inlineStr">
        <is>
          <t>Each opponent loses 3 life. You gain life equal to the life lost this way. / Cada oponente perde 3 pontos de vida. Você ganha uma quantidade de pontos de vida igual aos pontos de vida perdidos dessa maneira.</t>
        </is>
      </c>
      <c r="E347" s="13" t="inlineStr">
        <is>
          <t>{3}{B}</t>
        </is>
      </c>
      <c r="F347" s="13" t="inlineStr">
        <is>
          <t>Preto</t>
        </is>
      </c>
      <c r="G347" s="8" t="n">
        <v>0.49</v>
      </c>
      <c r="H347" s="13" t="inlineStr">
        <is>
          <t>Magic 2011 (M11)</t>
        </is>
      </c>
      <c r="I347" s="13" t="inlineStr">
        <is>
          <t>Não</t>
        </is>
      </c>
      <c r="J347" s="13" t="n">
        <v>2010</v>
      </c>
      <c r="L347" s="13" t="n">
        <v>1</v>
      </c>
      <c r="M347" s="8">
        <f>L347*G347</f>
        <v/>
      </c>
      <c r="P347" s="9" t="n"/>
    </row>
    <row r="348">
      <c r="A348" s="13" t="inlineStr">
        <is>
          <t>Bloodcrazed Hoplite / Hoplita Sanguinário</t>
        </is>
      </c>
      <c r="B348" s="13" t="inlineStr">
        <is>
          <t>Creature — Human Soldier / Criatura — Humano Soldado</t>
        </is>
      </c>
      <c r="C348" s="13" t="inlineStr">
        <is>
          <t>Common / Comum</t>
        </is>
      </c>
      <c r="D348" s="13"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348" s="13" t="inlineStr">
        <is>
          <t>{1}{B}</t>
        </is>
      </c>
      <c r="F348" s="13" t="inlineStr">
        <is>
          <t>Preto</t>
        </is>
      </c>
      <c r="G348" s="8" t="n">
        <v>0.03</v>
      </c>
      <c r="H348" s="13" t="inlineStr">
        <is>
          <t>Journey into Nyx (JOU)</t>
        </is>
      </c>
      <c r="I348" s="13" t="inlineStr">
        <is>
          <t>Não</t>
        </is>
      </c>
      <c r="J348" s="13" t="n">
        <v>2014</v>
      </c>
      <c r="K348" s="10" t="n">
        <v>46024</v>
      </c>
      <c r="L348" s="13" t="n">
        <v>4</v>
      </c>
      <c r="M348" s="8">
        <f>L348*G348</f>
        <v/>
      </c>
      <c r="P348" s="9" t="n"/>
    </row>
    <row r="349">
      <c r="A349" s="13" t="inlineStr">
        <is>
          <t>Bloodfire Expert / Especialista Sangue-ígneo</t>
        </is>
      </c>
      <c r="B349" s="13" t="inlineStr">
        <is>
          <t>Creature — Efreet Monk / Criatura — Efrite Monge</t>
        </is>
      </c>
      <c r="C349" s="13" t="inlineStr">
        <is>
          <t>Common / Comum</t>
        </is>
      </c>
      <c r="D349" s="13" t="inlineStr">
        <is>
          <t>Prowess (Whenever you cast a noncreature spell, this creature gets +1/+1 until end of turn.) / Destreza (Toda vez que você conjura uma mágica que não seja de criatura, esta criatura recebe +1/+1 até o final do turno.)</t>
        </is>
      </c>
      <c r="E349" s="13" t="inlineStr">
        <is>
          <t>{2}{R}</t>
        </is>
      </c>
      <c r="F349" s="13" t="inlineStr">
        <is>
          <t>Vermelho</t>
        </is>
      </c>
      <c r="G349" s="8" t="n">
        <v>0.05</v>
      </c>
      <c r="H349" s="13" t="inlineStr">
        <is>
          <t>Khans of Tarkir (KTK)</t>
        </is>
      </c>
      <c r="I349" s="13" t="inlineStr">
        <is>
          <t>Não</t>
        </is>
      </c>
      <c r="J349" s="13" t="n">
        <v>2014</v>
      </c>
      <c r="K349" s="10" t="n">
        <v>46025</v>
      </c>
      <c r="L349" s="13" t="n">
        <v>1</v>
      </c>
      <c r="M349" s="8">
        <f>L349*G349</f>
        <v/>
      </c>
      <c r="P349" s="9" t="n"/>
    </row>
    <row r="350">
      <c r="A350" s="13" t="inlineStr">
        <is>
          <t>Bloodflow Connoisseur / Connoisseur do Fluxo Sanguíneo</t>
        </is>
      </c>
      <c r="B350" s="13" t="inlineStr">
        <is>
          <t>Creature — Vampire / Criatura — Vampiro</t>
        </is>
      </c>
      <c r="C350" s="13" t="inlineStr">
        <is>
          <t>Common / Comum</t>
        </is>
      </c>
      <c r="D350" s="13" t="inlineStr">
        <is>
          <t>Sacrifice a creature: Put a +1/+1 counter on this creature. / Sacrifique uma criatura: Coloque um marcador +1/+1 sobre Connoisseur do Fluxo Sanguíneo.</t>
        </is>
      </c>
      <c r="E350" s="13" t="inlineStr">
        <is>
          <t>{2}{B}</t>
        </is>
      </c>
      <c r="F350" s="13" t="inlineStr">
        <is>
          <t>Preto</t>
        </is>
      </c>
      <c r="G350" s="8" t="n">
        <v>0.06</v>
      </c>
      <c r="H350" s="13" t="inlineStr">
        <is>
          <t>Avacyn Restored (AVR)</t>
        </is>
      </c>
      <c r="I350" s="13" t="inlineStr">
        <is>
          <t>Não</t>
        </is>
      </c>
      <c r="J350" s="13" t="n">
        <v>2012</v>
      </c>
      <c r="K350" s="10" t="n">
        <v>46023</v>
      </c>
      <c r="L350" s="13" t="n">
        <v>1</v>
      </c>
      <c r="M350" s="8">
        <f>L350*G350</f>
        <v/>
      </c>
      <c r="P350" s="9" t="n"/>
    </row>
    <row r="351">
      <c r="A351" s="13" t="inlineStr">
        <is>
          <t>Bloodflow Connoisseur / Connoisseur do Fluxo Sanguíneo</t>
        </is>
      </c>
      <c r="B351" s="13" t="inlineStr">
        <is>
          <t>Creature — Vampire / Criatura — Vampiro</t>
        </is>
      </c>
      <c r="C351" s="13" t="inlineStr">
        <is>
          <t>Common / Comum</t>
        </is>
      </c>
      <c r="D351" s="13" t="inlineStr">
        <is>
          <t>Sacrifice a creature: Put a +1/+1 counter on this creature. / Sacrifique uma criatura: Coloque um marcador +1/+1 sobre Connoisseur do Fluxo Sanguíneo.</t>
        </is>
      </c>
      <c r="E351" s="13" t="inlineStr">
        <is>
          <t>{2}{B}</t>
        </is>
      </c>
      <c r="F351" s="13" t="inlineStr">
        <is>
          <t>Preto</t>
        </is>
      </c>
      <c r="G351" s="8" t="n">
        <v>0.13</v>
      </c>
      <c r="H351" s="13" t="inlineStr">
        <is>
          <t>Double Masters 2022 (2X2)</t>
        </is>
      </c>
      <c r="I351" s="13" t="inlineStr">
        <is>
          <t>Não</t>
        </is>
      </c>
      <c r="J351" s="13" t="n">
        <v>2022</v>
      </c>
      <c r="K351" s="10" t="n">
        <v>46023</v>
      </c>
      <c r="L351" s="13" t="n">
        <v>1</v>
      </c>
      <c r="M351" s="8">
        <f>L351*G351</f>
        <v/>
      </c>
      <c r="P351" s="9" t="n"/>
    </row>
    <row r="352">
      <c r="A352" s="13" t="inlineStr">
        <is>
          <t>Bloodflow Connoisseur / Connoisseur do Fluxo Sanguíneo</t>
        </is>
      </c>
      <c r="B352" s="13" t="inlineStr">
        <is>
          <t>Creature — Vampire / Criatura — Vampiro</t>
        </is>
      </c>
      <c r="C352" s="13" t="inlineStr">
        <is>
          <t>Common / Comum</t>
        </is>
      </c>
      <c r="D352" s="13" t="inlineStr">
        <is>
          <t>Sacrifice a creature: Put a +1/+1 counter on this creature. / Sacrifique uma criatura: Coloque um marcador +1/+1 sobre Connoisseur do Fluxo Sanguíneo.</t>
        </is>
      </c>
      <c r="E352" s="13" t="inlineStr">
        <is>
          <t>{2}{B}</t>
        </is>
      </c>
      <c r="F352" s="13" t="inlineStr">
        <is>
          <t>Preto</t>
        </is>
      </c>
      <c r="G352" s="8" t="n">
        <v>0.13</v>
      </c>
      <c r="H352" s="13" t="inlineStr">
        <is>
          <t>Double Masters 2022 (2X2)</t>
        </is>
      </c>
      <c r="I352" s="13" t="inlineStr">
        <is>
          <t>Não</t>
        </is>
      </c>
      <c r="J352" s="13" t="n">
        <v>2022</v>
      </c>
      <c r="K352" s="10" t="n">
        <v>46023</v>
      </c>
      <c r="L352" s="13" t="n">
        <v>1</v>
      </c>
      <c r="M352" s="8">
        <f>L352*G352</f>
        <v/>
      </c>
      <c r="P352" s="9" t="n"/>
    </row>
    <row r="353">
      <c r="A353" s="13" t="inlineStr">
        <is>
          <t>Bloodlord of Vaasgoth / Senhor Vampiro de Vaasgoth</t>
        </is>
      </c>
      <c r="B353" s="13" t="inlineStr">
        <is>
          <t>Creature — Vampire Warrior / Criatura — Vampiro Guerreiro</t>
        </is>
      </c>
      <c r="C353" s="13" t="inlineStr">
        <is>
          <t>Mythic Rare / Mítica Rara</t>
        </is>
      </c>
      <c r="D353" s="13"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353" s="13" t="inlineStr">
        <is>
          <t>{3}{B}{B}</t>
        </is>
      </c>
      <c r="F353" s="13" t="inlineStr">
        <is>
          <t>Preto</t>
        </is>
      </c>
      <c r="G353" s="8" t="n">
        <v>1.5</v>
      </c>
      <c r="H353" s="13" t="inlineStr">
        <is>
          <t>Magic 2012 (M12)</t>
        </is>
      </c>
      <c r="I353" s="13" t="inlineStr">
        <is>
          <t>Não</t>
        </is>
      </c>
      <c r="J353" s="13" t="n">
        <v>2011</v>
      </c>
      <c r="K353" s="10" t="n">
        <v>46084</v>
      </c>
      <c r="L353" s="13" t="n">
        <v>1</v>
      </c>
      <c r="M353" s="8">
        <f>L353*G353</f>
        <v/>
      </c>
      <c r="P353" s="9" t="n"/>
    </row>
    <row r="354">
      <c r="A354" s="13" t="inlineStr">
        <is>
          <t>Bloodsoaked Altar / Altar Ensanguentado</t>
        </is>
      </c>
      <c r="B354" s="13" t="inlineStr">
        <is>
          <t>Artifact / Artefato</t>
        </is>
      </c>
      <c r="C354" s="13" t="inlineStr">
        <is>
          <t>Uncommon / Incomum</t>
        </is>
      </c>
      <c r="D354" s="13"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354" s="13" t="inlineStr">
        <is>
          <t>{4}{B}{B}</t>
        </is>
      </c>
      <c r="F354" s="13" t="inlineStr">
        <is>
          <t>Preto</t>
        </is>
      </c>
      <c r="G354" s="8" t="n">
        <v>0.06</v>
      </c>
      <c r="H354" s="13" t="inlineStr">
        <is>
          <t>Core Set 2020 (M20)</t>
        </is>
      </c>
      <c r="I354" s="13" t="inlineStr">
        <is>
          <t>Não</t>
        </is>
      </c>
      <c r="J354" s="13" t="n">
        <v>2019</v>
      </c>
      <c r="L354" s="13" t="n">
        <v>1</v>
      </c>
      <c r="M354" s="8">
        <f>L354*G354</f>
        <v/>
      </c>
      <c r="P354" s="9" t="n"/>
    </row>
    <row r="355">
      <c r="A355" s="13" t="inlineStr">
        <is>
          <t>Bloom Hulk / Druida do Pólen Brilhante</t>
        </is>
      </c>
      <c r="B355" s="13" t="inlineStr">
        <is>
          <t>Creature — Elf Druid / Criatura — Elfo Druida</t>
        </is>
      </c>
      <c r="C355" s="13" t="inlineStr">
        <is>
          <t>Common / Comum</t>
        </is>
      </c>
      <c r="D355" s="13"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55" s="13" t="inlineStr">
        <is>
          <t>{1}{G}</t>
        </is>
      </c>
      <c r="F355" s="13" t="inlineStr">
        <is>
          <t>Verde</t>
        </is>
      </c>
      <c r="G355" s="8" t="n">
        <v>0.14</v>
      </c>
      <c r="H355" s="8" t="inlineStr">
        <is>
          <t>War of the Spark (WAR)</t>
        </is>
      </c>
      <c r="I355" s="13" t="inlineStr">
        <is>
          <t>Não</t>
        </is>
      </c>
      <c r="J355" s="13" t="n">
        <v>2019</v>
      </c>
      <c r="K355" s="10" t="n">
        <v>46023</v>
      </c>
      <c r="L355" s="13" t="n">
        <v>1</v>
      </c>
      <c r="M355" s="8">
        <f>L355*G355</f>
        <v/>
      </c>
      <c r="P355" s="9" t="n"/>
    </row>
    <row r="356">
      <c r="A356" s="13" t="inlineStr">
        <is>
          <t>Blossombind</t>
        </is>
      </c>
      <c r="B356" s="13" t="inlineStr">
        <is>
          <t>Enchantment — Aura</t>
        </is>
      </c>
      <c r="C356" s="13" t="inlineStr">
        <is>
          <t>Common</t>
        </is>
      </c>
      <c r="D356" s="13" t="inlineStr">
        <is>
          <t>Enchant creature. When this Aura enters, tap enchanted creature. Enchanted creature can't become untapped and can't have counters put on it.</t>
        </is>
      </c>
      <c r="E356" s="13" t="inlineStr">
        <is>
          <t>{1}{U}</t>
        </is>
      </c>
      <c r="F356" s="13" t="inlineStr">
        <is>
          <t>Blue</t>
        </is>
      </c>
      <c r="G356" s="8" t="n">
        <v>0.15</v>
      </c>
      <c r="H356" s="13" t="inlineStr">
        <is>
          <t>Lorwyn Eclipsed (ECL)</t>
        </is>
      </c>
      <c r="I356" s="13" t="inlineStr">
        <is>
          <t>No</t>
        </is>
      </c>
      <c r="J356" s="13" t="n">
        <v>2026</v>
      </c>
      <c r="L356" s="13" t="n">
        <v>1</v>
      </c>
      <c r="M356" s="8">
        <f>L356*G356</f>
        <v/>
      </c>
      <c r="P356" s="9" t="n"/>
    </row>
    <row r="357">
      <c r="A357" s="13" t="inlineStr">
        <is>
          <t>Boar-q-pine</t>
        </is>
      </c>
      <c r="B357" s="13" t="inlineStr">
        <is>
          <t>Creature — Boar Porcupine</t>
        </is>
      </c>
      <c r="C357" s="13" t="inlineStr">
        <is>
          <t>Common / Comum</t>
        </is>
      </c>
      <c r="D357" s="13" t="inlineStr">
        <is>
          <t>Whenever you cast a noncreature spell, put a +1/+1 counter on this creature.</t>
        </is>
      </c>
      <c r="E357" s="13" t="inlineStr">
        <is>
          <t>{2}{R}</t>
        </is>
      </c>
      <c r="F357" s="13" t="inlineStr">
        <is>
          <t>Vermelho</t>
        </is>
      </c>
      <c r="G357" s="8" t="n">
        <v>0.06</v>
      </c>
      <c r="H357" s="13" t="inlineStr">
        <is>
          <t>Avatar: The Last Airbender (TLA)</t>
        </is>
      </c>
      <c r="I357" s="13" t="inlineStr">
        <is>
          <t>Não</t>
        </is>
      </c>
      <c r="J357" s="13" t="n">
        <v>2025</v>
      </c>
      <c r="K357" s="10" t="n">
        <v>46055</v>
      </c>
      <c r="L357" s="13" t="n">
        <v>4</v>
      </c>
      <c r="M357" s="8">
        <f>L357*G357</f>
        <v/>
      </c>
      <c r="P357" s="9" t="n"/>
    </row>
    <row r="358">
      <c r="A358" s="13" t="inlineStr">
        <is>
          <t>Bog Imp / Diabrete do Pântano</t>
        </is>
      </c>
      <c r="B358" s="13" t="inlineStr">
        <is>
          <t>Creature — Imp / Criatura — Diabrete</t>
        </is>
      </c>
      <c r="C358" s="13" t="inlineStr">
        <is>
          <t>Common / Comum</t>
        </is>
      </c>
      <c r="D358" s="13" t="inlineStr">
        <is>
          <t>Flying (This creature can't be blocked except by creatures with flying or reach.) / Voar (Esta criatura só pode ser bloqueada por criaturas com a habilidade de voar.)</t>
        </is>
      </c>
      <c r="E358" s="13" t="inlineStr">
        <is>
          <t>{1}{B}</t>
        </is>
      </c>
      <c r="F358" s="13" t="inlineStr">
        <is>
          <t>Preto</t>
        </is>
      </c>
      <c r="G358" s="8" t="n">
        <v>0.06</v>
      </c>
      <c r="H358" s="13" t="inlineStr">
        <is>
          <t>Quarta Edição</t>
        </is>
      </c>
      <c r="I358" s="13" t="inlineStr">
        <is>
          <t>Não</t>
        </is>
      </c>
      <c r="J358" s="13" t="n">
        <v>1997</v>
      </c>
      <c r="K358" s="10" t="n">
        <v>46023</v>
      </c>
      <c r="L358" s="13" t="n">
        <v>1</v>
      </c>
      <c r="M358" s="8">
        <f>L358*G358</f>
        <v/>
      </c>
      <c r="P358" s="9" t="n"/>
    </row>
    <row r="359">
      <c r="A359" s="13" t="inlineStr">
        <is>
          <t>Bog Imp / Diabrete do Pântano</t>
        </is>
      </c>
      <c r="B359" s="13" t="inlineStr">
        <is>
          <t>Creature — Imp / Criatura — Diabrete</t>
        </is>
      </c>
      <c r="C359" s="13" t="inlineStr">
        <is>
          <t>Common / Comum</t>
        </is>
      </c>
      <c r="D359" s="13" t="inlineStr">
        <is>
          <t>Flying (This creature can't be blocked except by creatures with flying or reach.) / Voar (Esta criatura só pode ser bloqueada por criaturas com a habilidade de voar.)</t>
        </is>
      </c>
      <c r="E359" s="13" t="inlineStr">
        <is>
          <t>{1}{B}</t>
        </is>
      </c>
      <c r="F359" s="13" t="inlineStr">
        <is>
          <t>Preto</t>
        </is>
      </c>
      <c r="G359" s="8" t="n">
        <v>0.06</v>
      </c>
      <c r="H359" s="13" t="inlineStr">
        <is>
          <t>Quarta Edição (BB)</t>
        </is>
      </c>
      <c r="I359" s="13" t="inlineStr">
        <is>
          <t>Não</t>
        </is>
      </c>
      <c r="J359" s="13" t="n">
        <v>1997</v>
      </c>
      <c r="K359" s="10" t="n">
        <v>46023</v>
      </c>
      <c r="L359" s="13" t="n">
        <v>2</v>
      </c>
      <c r="M359" s="8">
        <f>L359*G359</f>
        <v/>
      </c>
      <c r="P359" s="9" t="n"/>
    </row>
    <row r="360">
      <c r="A360" s="13" t="inlineStr">
        <is>
          <t>Bog Rats / Ratos do Pântano</t>
        </is>
      </c>
      <c r="B360" s="13" t="inlineStr">
        <is>
          <t>Creature — Rat</t>
        </is>
      </c>
      <c r="C360" s="13" t="inlineStr">
        <is>
          <t>Common / Comum</t>
        </is>
      </c>
      <c r="D360" s="13" t="inlineStr">
        <is>
          <t>This creature can't be blocked by Walls.</t>
        </is>
      </c>
      <c r="E360" s="13" t="inlineStr">
        <is>
          <t>{B}</t>
        </is>
      </c>
      <c r="F360" s="13" t="inlineStr">
        <is>
          <t>Preto</t>
        </is>
      </c>
      <c r="G360" s="8" t="n">
        <v>0.08</v>
      </c>
      <c r="H360" s="13" t="inlineStr">
        <is>
          <t>Chronicles</t>
        </is>
      </c>
      <c r="I360" s="13" t="inlineStr">
        <is>
          <t>Não</t>
        </is>
      </c>
      <c r="J360" s="13" t="n">
        <v>1995</v>
      </c>
      <c r="K360" s="10" t="n">
        <v>46023</v>
      </c>
      <c r="L360" s="13" t="n">
        <v>3</v>
      </c>
      <c r="M360" s="8">
        <f>L360*G360</f>
        <v/>
      </c>
      <c r="P360" s="9" t="n"/>
    </row>
    <row r="361">
      <c r="A361" s="13" t="inlineStr">
        <is>
          <t>Bog Wraith / Aparição do Pântano</t>
        </is>
      </c>
      <c r="B361" s="13" t="inlineStr">
        <is>
          <t>Creature — Wraith / Criatura — Aparição</t>
        </is>
      </c>
      <c r="C361" s="13" t="inlineStr">
        <is>
          <t>Uncommon / Incomum</t>
        </is>
      </c>
      <c r="D361" s="13" t="inlineStr">
        <is>
          <t>Swampwalk (This creature can't be blocked as long as defending player controls a Swamp.) / Travessia de Pântano (Esta criatura não poderá ser bloqueada enquanto o jogador defensor controlar um Pântano.)</t>
        </is>
      </c>
      <c r="E361" s="13" t="inlineStr">
        <is>
          <t>{3}{B}</t>
        </is>
      </c>
      <c r="F361" s="13" t="inlineStr">
        <is>
          <t>Preto</t>
        </is>
      </c>
      <c r="G361" s="8" t="n">
        <v>0.06</v>
      </c>
      <c r="H361" s="13" t="inlineStr">
        <is>
          <t>Limited Edition Alpha (LEA)</t>
        </is>
      </c>
      <c r="I361" s="13" t="inlineStr">
        <is>
          <t>Não</t>
        </is>
      </c>
      <c r="J361" s="13" t="n">
        <v>1993</v>
      </c>
      <c r="K361" s="10" t="n">
        <v>46084</v>
      </c>
      <c r="L361" s="13" t="n">
        <v>1</v>
      </c>
      <c r="M361" s="8">
        <f>L361*G361</f>
        <v/>
      </c>
      <c r="P361" s="9" t="n"/>
    </row>
    <row r="362">
      <c r="A362" s="13" t="inlineStr">
        <is>
          <t>Bogbrew Witch / Bruxa da Poção Pantanosa</t>
        </is>
      </c>
      <c r="B362" s="13" t="inlineStr">
        <is>
          <t>Creature — Human Wizard / Criatura — Humano Mago</t>
        </is>
      </c>
      <c r="C362" s="13" t="inlineStr">
        <is>
          <t>Rare / Rara</t>
        </is>
      </c>
      <c r="D362" s="13"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362" s="13" t="inlineStr">
        <is>
          <t>{3}{B}</t>
        </is>
      </c>
      <c r="F362" s="13" t="inlineStr">
        <is>
          <t>Preto</t>
        </is>
      </c>
      <c r="G362" s="8" t="n">
        <v>0.15</v>
      </c>
      <c r="H362" s="13" t="inlineStr">
        <is>
          <t>Magic 2014 (M14)</t>
        </is>
      </c>
      <c r="I362" s="13" t="inlineStr">
        <is>
          <t>Não</t>
        </is>
      </c>
      <c r="J362" s="13" t="n">
        <v>2013</v>
      </c>
      <c r="K362" s="10" t="n">
        <v>46082</v>
      </c>
      <c r="L362" s="13" t="n">
        <v>1</v>
      </c>
      <c r="M362" s="8">
        <f>L362*G362</f>
        <v/>
      </c>
      <c r="P362" s="9" t="n"/>
    </row>
    <row r="363">
      <c r="A363" s="13" t="inlineStr">
        <is>
          <t>Boggart Cursecrafter</t>
        </is>
      </c>
      <c r="B363" s="13" t="inlineStr">
        <is>
          <t>Creature — Goblin Warlock</t>
        </is>
      </c>
      <c r="C363" s="13" t="inlineStr">
        <is>
          <t>Uncommon / Incomum</t>
        </is>
      </c>
      <c r="D363" s="13" t="inlineStr">
        <is>
          <t>Deathtouch Whenever another Goblin you control dies, this creature deals 1 damage to each opponent.</t>
        </is>
      </c>
      <c r="E363" s="13" t="inlineStr">
        <is>
          <t>{B}{R}</t>
        </is>
      </c>
      <c r="F363" s="13" t="inlineStr">
        <is>
          <t>Preto, Vermelho</t>
        </is>
      </c>
      <c r="G363" s="8" t="n">
        <v>0.25</v>
      </c>
      <c r="H363" s="13" t="inlineStr">
        <is>
          <t>Lorwyn Eclipsed (ECL)</t>
        </is>
      </c>
      <c r="I363" s="13" t="inlineStr">
        <is>
          <t>Não</t>
        </is>
      </c>
      <c r="J363" s="13" t="n">
        <v>2026</v>
      </c>
      <c r="K363" s="10" t="n">
        <v>46083</v>
      </c>
      <c r="L363" s="13" t="n">
        <v>1</v>
      </c>
      <c r="M363" s="8">
        <f>L363*G363</f>
        <v/>
      </c>
      <c r="P363" s="9" t="n"/>
    </row>
    <row r="364">
      <c r="A364" s="13" t="inlineStr">
        <is>
          <t>Boggart Prankster</t>
        </is>
      </c>
      <c r="B364" s="13" t="inlineStr">
        <is>
          <t>Creature — Goblin Warrior</t>
        </is>
      </c>
      <c r="C364" s="13" t="inlineStr">
        <is>
          <t>Common</t>
        </is>
      </c>
      <c r="D364" s="13" t="inlineStr">
        <is>
          <t>Whenever you attack, target attacking Goblin you control gets +1/+0 until end of turn.</t>
        </is>
      </c>
      <c r="E364" s="13" t="inlineStr">
        <is>
          <t>{1}{B}</t>
        </is>
      </c>
      <c r="F364" s="13" t="inlineStr">
        <is>
          <t>Preto</t>
        </is>
      </c>
      <c r="G364" s="8" t="n">
        <v>0.1</v>
      </c>
      <c r="H364" s="13" t="inlineStr">
        <is>
          <t>Lorwyn Eclipsed (ECL)</t>
        </is>
      </c>
      <c r="I364" s="13" t="inlineStr">
        <is>
          <t>Não</t>
        </is>
      </c>
      <c r="J364" s="13" t="n">
        <v>2026</v>
      </c>
      <c r="K364" s="10" t="n">
        <v>46082</v>
      </c>
      <c r="L364" s="13" t="n">
        <v>2</v>
      </c>
      <c r="M364" s="8">
        <f>L364*G364</f>
        <v/>
      </c>
      <c r="P364" s="9" t="n"/>
    </row>
    <row r="365">
      <c r="A365" s="13" t="inlineStr">
        <is>
          <t>Bogslither's Embrace</t>
        </is>
      </c>
      <c r="B365" s="13" t="inlineStr">
        <is>
          <t>Sorcery</t>
        </is>
      </c>
      <c r="C365" s="13" t="inlineStr">
        <is>
          <t>Common / Comum</t>
        </is>
      </c>
      <c r="D365" s="13" t="inlineStr">
        <is>
          <t>As an additional cost to cast this spell, blight 1 or pay {3}. (To blight 1, put a -1/-1 counter on a creature you control.) Exile target creature.</t>
        </is>
      </c>
      <c r="E365" s="13" t="inlineStr">
        <is>
          <t>{1}{B}</t>
        </is>
      </c>
      <c r="F365" s="13" t="inlineStr">
        <is>
          <t>Preto</t>
        </is>
      </c>
      <c r="G365" s="8" t="n">
        <v>0.06</v>
      </c>
      <c r="H365" s="13" t="inlineStr">
        <is>
          <t>Lorwyn Eclipsed (ECL)</t>
        </is>
      </c>
      <c r="I365" s="13" t="inlineStr">
        <is>
          <t>Não</t>
        </is>
      </c>
      <c r="J365" s="13" t="n">
        <v>2026</v>
      </c>
      <c r="L365" s="13" t="n">
        <v>1</v>
      </c>
      <c r="M365" s="8">
        <f>L365*G365</f>
        <v/>
      </c>
      <c r="P365" s="9" t="n"/>
    </row>
    <row r="366">
      <c r="A366" s="13" t="inlineStr">
        <is>
          <t>Boilerbilges Ripper</t>
        </is>
      </c>
      <c r="B366" s="13" t="inlineStr">
        <is>
          <t>Creature — Human Assassin</t>
        </is>
      </c>
      <c r="C366" s="13" t="inlineStr">
        <is>
          <t>Common / Comum</t>
        </is>
      </c>
      <c r="D366" s="13" t="inlineStr">
        <is>
          <t>When this creature enters, you may sacrifice another creature or enchantment. When you do, this creature deals 2 damage to any target.</t>
        </is>
      </c>
      <c r="E366" s="13" t="inlineStr">
        <is>
          <t>{4}{R}</t>
        </is>
      </c>
      <c r="F366" s="13" t="inlineStr">
        <is>
          <t>Vermelho</t>
        </is>
      </c>
      <c r="G366" s="8" t="n">
        <v>0.03</v>
      </c>
      <c r="H366" s="13" t="inlineStr">
        <is>
          <t>Duskmourn: House of Horror (DSK)</t>
        </is>
      </c>
      <c r="I366" s="13" t="inlineStr">
        <is>
          <t>Não</t>
        </is>
      </c>
      <c r="J366" s="13" t="n">
        <v>2024</v>
      </c>
      <c r="K366" s="10" t="n">
        <v>46116</v>
      </c>
      <c r="L366" s="13" t="n">
        <v>1</v>
      </c>
      <c r="M366" s="8">
        <f>L366*G366</f>
        <v/>
      </c>
      <c r="P366" s="9" t="n"/>
    </row>
    <row r="367">
      <c r="A367" s="13" t="inlineStr">
        <is>
          <t>Boiling Rock Prison</t>
        </is>
      </c>
      <c r="B367" s="13" t="inlineStr">
        <is>
          <t>Land</t>
        </is>
      </c>
      <c r="C367" s="13" t="inlineStr">
        <is>
          <t>Common / Comum</t>
        </is>
      </c>
      <c r="D367" s="13" t="inlineStr">
        <is>
          <t>This land enters tapped. {T}: Add {B} or {R}. {4}, {T}, Sacrifice this land: Draw a card.</t>
        </is>
      </c>
      <c r="F367" s="13" t="inlineStr">
        <is>
          <t>Preto, Vermelho</t>
        </is>
      </c>
      <c r="G367" s="8" t="n">
        <v>0.14</v>
      </c>
      <c r="H367" s="13" t="inlineStr">
        <is>
          <t>Avatar: The Last Airbender (TLA)</t>
        </is>
      </c>
      <c r="I367" s="13" t="inlineStr">
        <is>
          <t>Não</t>
        </is>
      </c>
      <c r="J367" s="13" t="n">
        <v>2025</v>
      </c>
      <c r="L367" s="13" t="n">
        <v>1</v>
      </c>
      <c r="M367" s="8">
        <f>L367*G367</f>
        <v/>
      </c>
      <c r="P367" s="9" t="n"/>
    </row>
    <row r="368">
      <c r="A368" s="13" t="inlineStr">
        <is>
          <t>Bombard / Bombardear</t>
        </is>
      </c>
      <c r="B368" s="13" t="inlineStr">
        <is>
          <t>Mágica Instantânea</t>
        </is>
      </c>
      <c r="C368" s="13" t="inlineStr">
        <is>
          <t>Comum</t>
        </is>
      </c>
      <c r="D368" s="13" t="inlineStr">
        <is>
          <t>Bombard causa 4 pontos de dano à criatura alvo.</t>
        </is>
      </c>
      <c r="E368" s="13" t="inlineStr">
        <is>
          <t>2{R}</t>
        </is>
      </c>
      <c r="F368" s="13" t="inlineStr">
        <is>
          <t>Vermelho</t>
        </is>
      </c>
      <c r="G368" s="8" t="n">
        <v>0.05</v>
      </c>
      <c r="H368" s="13" t="inlineStr">
        <is>
          <t>Edge of Eternity</t>
        </is>
      </c>
      <c r="I368" s="13" t="inlineStr">
        <is>
          <t>Não</t>
        </is>
      </c>
      <c r="J368" s="13" t="n">
        <v>2025</v>
      </c>
      <c r="L368" s="13" t="n">
        <v>1</v>
      </c>
      <c r="M368" s="8">
        <f>L368*G368</f>
        <v/>
      </c>
      <c r="P368" s="9" t="n"/>
    </row>
    <row r="369">
      <c r="A369" s="13" t="inlineStr">
        <is>
          <t>Bombard / Bombardear</t>
        </is>
      </c>
      <c r="B369" s="13" t="inlineStr">
        <is>
          <t>Mágica Instantânea</t>
        </is>
      </c>
      <c r="C369" s="13" t="inlineStr">
        <is>
          <t>Comum</t>
        </is>
      </c>
      <c r="D369" s="13" t="inlineStr">
        <is>
          <t>Bombard causa 4 pontos de dano à criatura alvo.</t>
        </is>
      </c>
      <c r="E369" s="13" t="inlineStr">
        <is>
          <t>2{R}</t>
        </is>
      </c>
      <c r="F369" s="13" t="inlineStr">
        <is>
          <t>Vermelho</t>
        </is>
      </c>
      <c r="G369" s="8" t="n">
        <v>0.03</v>
      </c>
      <c r="H369" s="13" t="inlineStr">
        <is>
          <t xml:space="preserve">Rivais de Ixalan </t>
        </is>
      </c>
      <c r="I369" s="13" t="inlineStr">
        <is>
          <t>Não</t>
        </is>
      </c>
      <c r="J369" s="13" t="n">
        <v>2025</v>
      </c>
      <c r="L369" s="13" t="n">
        <v>1</v>
      </c>
      <c r="M369" s="8">
        <f>L369*G369</f>
        <v/>
      </c>
      <c r="P369" s="9" t="n"/>
    </row>
    <row r="370">
      <c r="A370" s="13" t="inlineStr">
        <is>
          <t>Bone Harvest / Colheita de Ossos</t>
        </is>
      </c>
      <c r="B370" s="13" t="inlineStr">
        <is>
          <t>Instant</t>
        </is>
      </c>
      <c r="C370" s="13" t="inlineStr">
        <is>
          <t>Common / Comum</t>
        </is>
      </c>
      <c r="D370" s="13" t="inlineStr">
        <is>
          <t>Put any number of target creature cards from your graveyard on top of your library. Draw a card at the beginning of the next turn's upkeep.</t>
        </is>
      </c>
      <c r="E370" s="13" t="inlineStr">
        <is>
          <t>{2}{B}</t>
        </is>
      </c>
      <c r="F370" s="13" t="inlineStr">
        <is>
          <t>Preto</t>
        </is>
      </c>
      <c r="G370" s="8" t="n">
        <v>0.09</v>
      </c>
      <c r="H370" s="13" t="inlineStr">
        <is>
          <t>Mirage (MIR)</t>
        </is>
      </c>
      <c r="I370" s="13" t="inlineStr">
        <is>
          <t>Não</t>
        </is>
      </c>
      <c r="J370" s="13" t="n">
        <v>1996</v>
      </c>
      <c r="L370" s="13" t="n">
        <v>1</v>
      </c>
      <c r="M370" s="8">
        <f>L370*G370</f>
        <v/>
      </c>
      <c r="P370" s="9" t="n"/>
    </row>
    <row r="371">
      <c r="A371" s="13" t="inlineStr">
        <is>
          <t>Bone Saw / Serra Óssea</t>
        </is>
      </c>
      <c r="B371" s="13" t="inlineStr">
        <is>
          <t>Artifact — Equipment / Artefato — Equipamento</t>
        </is>
      </c>
      <c r="C371" s="13" t="inlineStr">
        <is>
          <t>Common / Comum</t>
        </is>
      </c>
      <c r="D371" s="13" t="inlineStr">
        <is>
          <t>Equipped creature gets +1/+0. Equip {1}</t>
        </is>
      </c>
      <c r="E371" s="13" t="inlineStr">
        <is>
          <t>{0}</t>
        </is>
      </c>
      <c r="F371" s="13" t="inlineStr">
        <is>
          <t>Incolor</t>
        </is>
      </c>
      <c r="G371" s="8" t="n">
        <v>0.08</v>
      </c>
      <c r="H371" s="13" t="inlineStr">
        <is>
          <t>Oath of the Gatewatch (OGW)</t>
        </is>
      </c>
      <c r="I371" s="13" t="inlineStr">
        <is>
          <t>No</t>
        </is>
      </c>
      <c r="J371" s="13" t="n">
        <v>2016</v>
      </c>
      <c r="L371" s="13" t="n">
        <v>1</v>
      </c>
      <c r="M371" s="8">
        <f>L371*G371</f>
        <v/>
      </c>
      <c r="P371" s="9" t="n"/>
    </row>
    <row r="372">
      <c r="A372" s="13" t="inlineStr">
        <is>
          <t>Bone Shaman / Xamã dos Ossos</t>
        </is>
      </c>
      <c r="B372" s="13" t="inlineStr">
        <is>
          <t>Creature — Giant Shaman</t>
        </is>
      </c>
      <c r="C372" s="13" t="inlineStr">
        <is>
          <t>Common / Comum</t>
        </is>
      </c>
      <c r="D372" s="13" t="inlineStr">
        <is>
          <t>{B}: Until end of turn, this creature gains "Creatures dealt damage by this creature this turn can't be regenerated this turn."</t>
        </is>
      </c>
      <c r="E372" s="13" t="inlineStr">
        <is>
          <t>{2}{R}{R}</t>
        </is>
      </c>
      <c r="F372" s="13" t="inlineStr">
        <is>
          <t>Vermelho</t>
        </is>
      </c>
      <c r="G372" s="8" t="n">
        <v>0.05</v>
      </c>
      <c r="H372" s="13" t="inlineStr">
        <is>
          <t>Ice Age (ICE)</t>
        </is>
      </c>
      <c r="I372" s="13" t="inlineStr">
        <is>
          <t>Não</t>
        </is>
      </c>
      <c r="J372" s="13" t="n">
        <v>1995</v>
      </c>
      <c r="K372" s="10" t="n">
        <v>46084</v>
      </c>
      <c r="L372" s="13" t="n">
        <v>2</v>
      </c>
      <c r="M372" s="8">
        <f>L372*G372</f>
        <v/>
      </c>
      <c r="P372" s="9" t="n"/>
    </row>
    <row r="373">
      <c r="A373" s="13" t="inlineStr">
        <is>
          <t>Bone Splinters / Estilhaços de Osso</t>
        </is>
      </c>
      <c r="B373" s="13" t="inlineStr">
        <is>
          <t>Feitiço</t>
        </is>
      </c>
      <c r="C373" s="13" t="inlineStr">
        <is>
          <t>Comum</t>
        </is>
      </c>
      <c r="D373" s="13" t="inlineStr">
        <is>
          <t>Como custo adicional para conjurar Estilhaços de Osso, sacrifique uma criatura. Destrua a criatura alvo.</t>
        </is>
      </c>
      <c r="E373" s="13" t="inlineStr">
        <is>
          <t>B</t>
        </is>
      </c>
      <c r="F373" s="13" t="inlineStr">
        <is>
          <t>Preto</t>
        </is>
      </c>
      <c r="G373" s="8" t="n">
        <v>0.05</v>
      </c>
      <c r="H373" s="13" t="inlineStr">
        <is>
          <t>Core Set 2020</t>
        </is>
      </c>
      <c r="I373" s="13" t="inlineStr">
        <is>
          <t>Não</t>
        </is>
      </c>
      <c r="J373" s="13" t="n">
        <v>2019</v>
      </c>
      <c r="L373" s="13" t="n">
        <v>1</v>
      </c>
      <c r="M373" s="8">
        <f>L373*G373</f>
        <v/>
      </c>
      <c r="P373" s="9" t="n"/>
    </row>
    <row r="374">
      <c r="A374" s="13" t="inlineStr">
        <is>
          <t>Bone Splinters / Estilhaços de Osso</t>
        </is>
      </c>
      <c r="B374" s="13" t="inlineStr">
        <is>
          <t>Feitiço</t>
        </is>
      </c>
      <c r="C374" s="13" t="inlineStr">
        <is>
          <t>Comum</t>
        </is>
      </c>
      <c r="D374" s="13" t="inlineStr">
        <is>
          <t>Como custo adicional para conjurar Estilhaços de Osso, sacrifique uma criatura. Destrua a criatura alvo.</t>
        </is>
      </c>
      <c r="E374" s="13" t="inlineStr">
        <is>
          <t>B</t>
        </is>
      </c>
      <c r="F374" s="13" t="inlineStr">
        <is>
          <t>Preto</t>
        </is>
      </c>
      <c r="G374" s="8" t="n">
        <v>0.08</v>
      </c>
      <c r="H374" s="13" t="inlineStr">
        <is>
          <t>Duel Decks: Speed vs. Cunning</t>
        </is>
      </c>
      <c r="I374" s="13" t="inlineStr">
        <is>
          <t>Não</t>
        </is>
      </c>
      <c r="J374" s="13" t="n">
        <v>2014</v>
      </c>
      <c r="L374" s="13" t="n">
        <v>1</v>
      </c>
      <c r="M374" s="8">
        <f>L374*G374</f>
        <v/>
      </c>
      <c r="P374" s="9" t="n"/>
    </row>
    <row r="375">
      <c r="A375" s="13" t="inlineStr">
        <is>
          <t>Bone to Ash / De Ossos a Cinzas</t>
        </is>
      </c>
      <c r="B375" s="13" t="inlineStr">
        <is>
          <t>Instant / Mágica Instantânea</t>
        </is>
      </c>
      <c r="C375" s="13" t="inlineStr">
        <is>
          <t>Common / Comum</t>
        </is>
      </c>
      <c r="D375" s="13" t="inlineStr">
        <is>
          <t>Counter target creature spell. Draw a card. / Anule a mágica de criatura alvo.Compre um card.</t>
        </is>
      </c>
      <c r="E375" s="13" t="inlineStr">
        <is>
          <t>{2}{U}{U}</t>
        </is>
      </c>
      <c r="F375" s="13" t="inlineStr">
        <is>
          <t>Azul</t>
        </is>
      </c>
      <c r="G375" s="8" t="n">
        <v>0.03</v>
      </c>
      <c r="H375" s="13" t="inlineStr">
        <is>
          <t>Dark Ascension (DKA)</t>
        </is>
      </c>
      <c r="I375" s="13" t="inlineStr">
        <is>
          <t>Não</t>
        </is>
      </c>
      <c r="J375" s="13" t="n">
        <v>2012</v>
      </c>
      <c r="L375" s="13" t="n">
        <v>1</v>
      </c>
      <c r="M375" s="8">
        <f>L375*G375</f>
        <v/>
      </c>
      <c r="P375" s="9" t="n"/>
    </row>
    <row r="376">
      <c r="A376" s="13" t="inlineStr">
        <is>
          <t>Boneclad Necromancer / Necromante da Veste Óssea</t>
        </is>
      </c>
      <c r="B376" s="13" t="inlineStr">
        <is>
          <t>Creature — Human Wizard / Criatura — Humano Mago</t>
        </is>
      </c>
      <c r="C376" s="13" t="inlineStr">
        <is>
          <t>Common / Comum</t>
        </is>
      </c>
      <c r="D376" s="13"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376" s="13" t="inlineStr">
        <is>
          <t>{3}{B}{B}</t>
        </is>
      </c>
      <c r="F376" s="13" t="inlineStr">
        <is>
          <t>Preto</t>
        </is>
      </c>
      <c r="G376" s="8" t="n">
        <v>0.03</v>
      </c>
      <c r="H376" s="13" t="inlineStr">
        <is>
          <t>Core Set 2020 (M20)</t>
        </is>
      </c>
      <c r="I376" s="13" t="inlineStr">
        <is>
          <t>Não</t>
        </is>
      </c>
      <c r="J376" s="13" t="n">
        <v>2019</v>
      </c>
      <c r="K376" s="10" t="n">
        <v>46084</v>
      </c>
      <c r="L376" s="13" t="n">
        <v>1</v>
      </c>
      <c r="M376" s="8">
        <f>L376*G376</f>
        <v/>
      </c>
      <c r="P376" s="9" t="n"/>
    </row>
    <row r="377">
      <c r="A377" s="13" t="inlineStr">
        <is>
          <t>Boneclub Berserker</t>
        </is>
      </c>
      <c r="B377" s="13" t="inlineStr">
        <is>
          <t>Creature — Goblin Berserker</t>
        </is>
      </c>
      <c r="C377" s="13" t="inlineStr">
        <is>
          <t>Common / Comum</t>
        </is>
      </c>
      <c r="D377" s="13" t="inlineStr">
        <is>
          <t>This creature gets +2/+0 for each other Goblin you control.</t>
        </is>
      </c>
      <c r="E377" s="13" t="inlineStr">
        <is>
          <t>{3}{R}</t>
        </is>
      </c>
      <c r="F377" s="13" t="inlineStr">
        <is>
          <t>Vermelho</t>
        </is>
      </c>
      <c r="G377" s="8" t="n">
        <v>0.1</v>
      </c>
      <c r="H377" s="13" t="inlineStr">
        <is>
          <t>Lorwyn Eclipsed (ECL)</t>
        </is>
      </c>
      <c r="I377" s="13" t="inlineStr">
        <is>
          <t>Não</t>
        </is>
      </c>
      <c r="J377" s="13" t="n">
        <v>2026</v>
      </c>
      <c r="K377" s="10" t="n">
        <v>46114</v>
      </c>
      <c r="L377" s="13" t="n">
        <v>1</v>
      </c>
      <c r="M377" s="8">
        <f>L377*G377</f>
        <v/>
      </c>
      <c r="P377" s="9" t="n"/>
    </row>
    <row r="378">
      <c r="A378" s="13" t="inlineStr">
        <is>
          <t>Boneco de Justa / Jousting Dummy</t>
        </is>
      </c>
      <c r="B378" s="13" t="inlineStr">
        <is>
          <t>Criatura Artefato — Espantalho Cavaleiro</t>
        </is>
      </c>
      <c r="C378" s="13" t="inlineStr">
        <is>
          <t>Comum</t>
        </is>
      </c>
      <c r="D378" s="13" t="inlineStr">
        <is>
          <t>{3}: Boneco de Justa recebe +1/+0 até o final do turno.</t>
        </is>
      </c>
      <c r="E378" s="13" t="inlineStr">
        <is>
          <t>{2}</t>
        </is>
      </c>
      <c r="F378" s="13" t="inlineStr">
        <is>
          <t>Incolor</t>
        </is>
      </c>
      <c r="G378" s="8" t="n">
        <v>0.04</v>
      </c>
      <c r="H378" s="13" t="inlineStr">
        <is>
          <t>Throne of Eldraine (ELD)</t>
        </is>
      </c>
      <c r="I378" s="13" t="inlineStr">
        <is>
          <t>Não</t>
        </is>
      </c>
      <c r="J378" s="13" t="n">
        <v>2019</v>
      </c>
      <c r="K378" s="10" t="n">
        <v>46024</v>
      </c>
      <c r="L378" s="13" t="n">
        <v>1</v>
      </c>
      <c r="M378" s="8">
        <f>L378*G378</f>
        <v/>
      </c>
      <c r="P378" s="9" t="n"/>
    </row>
    <row r="379">
      <c r="A379" s="13" t="inlineStr">
        <is>
          <t>Boros Recruit / Recruta Boros</t>
        </is>
      </c>
      <c r="B379" s="13" t="inlineStr">
        <is>
          <t>Creature — Goblin Soldier / Criatura - Soldado Goblin</t>
        </is>
      </c>
      <c r="C379" s="13" t="inlineStr">
        <is>
          <t>Common / Comum</t>
        </is>
      </c>
      <c r="D379" s="13" t="inlineStr">
        <is>
          <t>({R/W} can be paid with either {R} or {W}.) First strike / ({R/W} pode ser pago com {R} ou {W}.) Iniciativa</t>
        </is>
      </c>
      <c r="E379" s="13" t="inlineStr">
        <is>
          <t>{R/W}</t>
        </is>
      </c>
      <c r="F379" s="13" t="inlineStr">
        <is>
          <t>Vermelho, Branco</t>
        </is>
      </c>
      <c r="G379" s="8" t="n">
        <v>0.08</v>
      </c>
      <c r="H379" s="13" t="inlineStr">
        <is>
          <t>Ravnica: City of Guilds (RAV)</t>
        </is>
      </c>
      <c r="I379" s="13" t="inlineStr">
        <is>
          <t>Não</t>
        </is>
      </c>
      <c r="J379" s="13" t="n">
        <v>2005</v>
      </c>
      <c r="K379" s="10" t="n">
        <v>46023</v>
      </c>
      <c r="L379" s="13" t="n">
        <v>2</v>
      </c>
      <c r="M379" s="8">
        <f>L379*G379</f>
        <v/>
      </c>
      <c r="P379" s="9" t="n"/>
    </row>
    <row r="380">
      <c r="A380" s="13" t="inlineStr">
        <is>
          <t>Borough Backup / Reforço do Bairro</t>
        </is>
      </c>
      <c r="B380" s="13" t="inlineStr">
        <is>
          <t>Feitiço</t>
        </is>
      </c>
      <c r="C380" s="13" t="inlineStr">
        <is>
          <t>Comum</t>
        </is>
      </c>
      <c r="D380" s="13" t="inlineStr">
        <is>
          <t>Crie duas fichas de criatura Herói brancas 3/2 com vigilância. Reciclar terreno básico {2} ({2}, Descarte este card: Procure em seu grimório por um card de terreno básico, revele-o, coloque-o em sua mão e depois embaralhe.)</t>
        </is>
      </c>
      <c r="E380" s="13" t="inlineStr">
        <is>
          <t>4{W}</t>
        </is>
      </c>
      <c r="F380" s="13" t="inlineStr">
        <is>
          <t>Branco</t>
        </is>
      </c>
      <c r="G380" s="8" t="n">
        <v>0.13</v>
      </c>
      <c r="H380" s="13" t="inlineStr">
        <is>
          <t>Marvel</t>
        </is>
      </c>
      <c r="I380" s="13" t="inlineStr">
        <is>
          <t>Não</t>
        </is>
      </c>
      <c r="J380" s="13" t="n">
        <v>2026</v>
      </c>
      <c r="L380" s="13" t="n">
        <v>1</v>
      </c>
      <c r="M380" s="8">
        <f>L380*G380</f>
        <v/>
      </c>
      <c r="P380" s="9" t="n"/>
    </row>
    <row r="381">
      <c r="A381" s="13" t="inlineStr">
        <is>
          <t>Bortuk Bonerattle / Bortuk Chocalho de Ossos</t>
        </is>
      </c>
      <c r="B381" s="13" t="inlineStr">
        <is>
          <t>Legendary Creature — Troll Shaman / Criatura Lendária — Trol Xamã</t>
        </is>
      </c>
      <c r="C381" s="13" t="inlineStr">
        <is>
          <t>Uncommon / Incomum</t>
        </is>
      </c>
      <c r="D381" s="13"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381" s="13" t="inlineStr">
        <is>
          <t>{4}{B}{G}</t>
        </is>
      </c>
      <c r="F381" s="13" t="inlineStr">
        <is>
          <t>Preto, Verde</t>
        </is>
      </c>
      <c r="G381" s="8" t="n">
        <v>0.1</v>
      </c>
      <c r="H381" s="13" t="inlineStr">
        <is>
          <t>Dominaria United (DMU)</t>
        </is>
      </c>
      <c r="I381" s="13" t="inlineStr">
        <is>
          <t>Não</t>
        </is>
      </c>
      <c r="J381" s="13" t="n">
        <v>2022</v>
      </c>
      <c r="K381" s="10" t="n">
        <v>46116</v>
      </c>
      <c r="L381" s="13" t="n">
        <v>1</v>
      </c>
      <c r="M381" s="8">
        <f>L381*G381</f>
        <v/>
      </c>
      <c r="P381" s="9" t="n"/>
    </row>
    <row r="382">
      <c r="A382" s="13" t="inlineStr">
        <is>
          <t>Boseiju Reaches Skyward // Branch of Boseiju / Boseiju Alcança as Alturas // Galho de Boseiju</t>
        </is>
      </c>
      <c r="B382" s="13" t="inlineStr">
        <is>
          <t>Enchantment — Saga // Enchantment Creature — Plant / Encantamento — Saga</t>
        </is>
      </c>
      <c r="C382" s="13" t="inlineStr">
        <is>
          <t>Uncommon / Incomum</t>
        </is>
      </c>
      <c r="D382" s="13"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382" s="13" t="inlineStr">
        <is>
          <t>{3}{G}</t>
        </is>
      </c>
      <c r="F382" s="13" t="inlineStr">
        <is>
          <t>Verde</t>
        </is>
      </c>
      <c r="G382" s="8" t="n">
        <v>0.15</v>
      </c>
      <c r="H382" s="13" t="inlineStr">
        <is>
          <t>Kamigawa: Neon Dynasty (NEO)</t>
        </is>
      </c>
      <c r="I382" s="13" t="inlineStr">
        <is>
          <t>Não</t>
        </is>
      </c>
      <c r="J382" s="13" t="n">
        <v>2022</v>
      </c>
      <c r="L382" s="13" t="n">
        <v>1</v>
      </c>
      <c r="M382" s="8">
        <f>L382*G382</f>
        <v/>
      </c>
      <c r="P382" s="9" t="n"/>
    </row>
    <row r="383">
      <c r="A383" s="13" t="inlineStr">
        <is>
          <t>Bot Bashing Time</t>
        </is>
      </c>
      <c r="B383" s="13" t="inlineStr">
        <is>
          <t>Sorcery</t>
        </is>
      </c>
      <c r="C383" s="13" t="inlineStr">
        <is>
          <t>Common / Comum</t>
        </is>
      </c>
      <c r="D383" s="13" t="inlineStr">
        <is>
          <t>Bot Bashing Time deals 6 damage to target creature. If that creature would die this turn, exile it instead.</t>
        </is>
      </c>
      <c r="E383" s="13" t="inlineStr">
        <is>
          <t>{3}{R}</t>
        </is>
      </c>
      <c r="F383" s="13" t="inlineStr">
        <is>
          <t>Vermelho</t>
        </is>
      </c>
      <c r="G383" s="8" t="n">
        <v>0.1</v>
      </c>
      <c r="H383" s="13" t="inlineStr">
        <is>
          <t>Teenage Mutant Ninja Turtles (TMT)</t>
        </is>
      </c>
      <c r="I383" s="13" t="inlineStr">
        <is>
          <t>Não</t>
        </is>
      </c>
      <c r="J383" s="13" t="n">
        <v>2026</v>
      </c>
      <c r="L383" s="13" t="n">
        <v>1</v>
      </c>
      <c r="M383" s="8">
        <f>L383*G383</f>
        <v/>
      </c>
      <c r="P383" s="9" t="n"/>
    </row>
    <row r="384">
      <c r="A384" s="13" t="inlineStr">
        <is>
          <t>Bot Bashing Time</t>
        </is>
      </c>
      <c r="B384" s="13" t="inlineStr">
        <is>
          <t>Sorcery</t>
        </is>
      </c>
      <c r="C384" s="13" t="inlineStr">
        <is>
          <t>Common / Comum</t>
        </is>
      </c>
      <c r="D384" s="13" t="inlineStr">
        <is>
          <t>Bot Bashing Time deals 6 damage to target creature. If that creature would die this turn, exile it instead.</t>
        </is>
      </c>
      <c r="E384" s="13" t="inlineStr">
        <is>
          <t>{3}{R}</t>
        </is>
      </c>
      <c r="F384" s="13" t="inlineStr">
        <is>
          <t>Vermelho</t>
        </is>
      </c>
      <c r="G384" s="8" t="n">
        <v>0.2</v>
      </c>
      <c r="H384" s="13" t="inlineStr">
        <is>
          <t>Teenage Mutant Ninja Turtles (TMT)</t>
        </is>
      </c>
      <c r="I384" s="13" t="inlineStr">
        <is>
          <t>Sim</t>
        </is>
      </c>
      <c r="J384" s="13" t="n">
        <v>2026</v>
      </c>
      <c r="L384" s="13" t="n">
        <v>1</v>
      </c>
      <c r="M384" s="8">
        <f>L384*G384</f>
        <v/>
      </c>
      <c r="P384" s="9" t="n"/>
    </row>
    <row r="385">
      <c r="A385" s="13" t="inlineStr">
        <is>
          <t>Bottomless Pool // Locker Room</t>
        </is>
      </c>
      <c r="B385" s="13" t="inlineStr">
        <is>
          <t>Enchantment — Room // Enchantment — Room</t>
        </is>
      </c>
      <c r="C385" s="13" t="inlineStr">
        <is>
          <t>Uncommon / Incomum</t>
        </is>
      </c>
      <c r="D385" s="13"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385" s="13" t="inlineStr">
        <is>
          <t>{U} // {4}{U}</t>
        </is>
      </c>
      <c r="F385" s="13" t="inlineStr">
        <is>
          <t>Azul</t>
        </is>
      </c>
      <c r="G385" s="8" t="n">
        <v>0.1</v>
      </c>
      <c r="H385" s="13" t="inlineStr">
        <is>
          <t>Duskmourn: House of Horror (DSK)</t>
        </is>
      </c>
      <c r="I385" s="13" t="inlineStr">
        <is>
          <t>Não</t>
        </is>
      </c>
      <c r="J385" s="13" t="n">
        <v>2024</v>
      </c>
      <c r="L385" s="13" t="n">
        <v>1</v>
      </c>
      <c r="M385" s="8">
        <f>L385*G385</f>
        <v/>
      </c>
      <c r="P385" s="9" t="n"/>
    </row>
    <row r="386">
      <c r="A386" s="13" t="inlineStr">
        <is>
          <t>Boulderfall / Queda-de-pedra</t>
        </is>
      </c>
      <c r="B386" s="13" t="inlineStr">
        <is>
          <t>Instant / Mágica Instantânea</t>
        </is>
      </c>
      <c r="C386" s="13" t="inlineStr">
        <is>
          <t>Common / Comum</t>
        </is>
      </c>
      <c r="D386" s="13" t="inlineStr">
        <is>
          <t>Boulderfall deals 5 damage divided as you choose among any number of targets. / Queda-de-pedra causa 5 pontos de dano distribuídos à sua escolha entre qualquer número de criaturas e/ou jogadores alvo.</t>
        </is>
      </c>
      <c r="E386" s="13" t="inlineStr">
        <is>
          <t>{6}{R}{R}</t>
        </is>
      </c>
      <c r="F386" s="13" t="inlineStr">
        <is>
          <t>Vermelho</t>
        </is>
      </c>
      <c r="G386" s="8" t="n">
        <v>0.05</v>
      </c>
      <c r="H386" s="13" t="inlineStr">
        <is>
          <t>Theros (THS)</t>
        </is>
      </c>
      <c r="I386" s="13" t="inlineStr">
        <is>
          <t>Não</t>
        </is>
      </c>
      <c r="J386" s="13" t="n">
        <v>2013</v>
      </c>
      <c r="L386" s="13" t="n">
        <v>1</v>
      </c>
      <c r="M386" s="8">
        <f>L386*G386</f>
        <v/>
      </c>
      <c r="P386" s="9" t="n"/>
    </row>
    <row r="387">
      <c r="A387" s="13" t="inlineStr">
        <is>
          <t>Bound by Moonsilver / Preso com Prata Lunar</t>
        </is>
      </c>
      <c r="B387" s="13" t="inlineStr">
        <is>
          <t>Enchantment — Aura / Encantamento — Aura</t>
        </is>
      </c>
      <c r="C387" s="13" t="inlineStr">
        <is>
          <t>Common / Comum</t>
        </is>
      </c>
      <c r="D387" s="13"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387" s="13" t="inlineStr">
        <is>
          <t>{2}{W}</t>
        </is>
      </c>
      <c r="F387" s="13" t="inlineStr">
        <is>
          <t>Branco</t>
        </is>
      </c>
      <c r="G387" s="8" t="n">
        <v>0.15</v>
      </c>
      <c r="H387" s="13" t="inlineStr">
        <is>
          <t>Innistrad Remastered (INR) RF</t>
        </is>
      </c>
      <c r="I387" s="13" t="inlineStr">
        <is>
          <t>Não</t>
        </is>
      </c>
      <c r="J387" s="13" t="n">
        <v>2025</v>
      </c>
      <c r="L387" s="13" t="n">
        <v>1</v>
      </c>
      <c r="M387" s="8">
        <f>L387*G387</f>
        <v/>
      </c>
      <c r="P387" s="9" t="n"/>
    </row>
    <row r="388">
      <c r="A388" s="13" t="inlineStr">
        <is>
          <t>Bound in Silence / Prisioneiro do Silêncio</t>
        </is>
      </c>
      <c r="B388" s="13" t="inlineStr">
        <is>
          <t>Kindred Enchantment — Rebel Aura / Encantamento Tribal — Rebelde Aura</t>
        </is>
      </c>
      <c r="C388" s="13" t="inlineStr">
        <is>
          <t>Uncommon / Incomum</t>
        </is>
      </c>
      <c r="D388" s="13" t="inlineStr">
        <is>
          <t>Enchant creature Enchanted creature can't attack or block. / Encantar criatura A criatura encantada não pode atacar nem bloquear.</t>
        </is>
      </c>
      <c r="E388" s="13" t="inlineStr">
        <is>
          <t>{2}{W}</t>
        </is>
      </c>
      <c r="F388" s="13" t="inlineStr">
        <is>
          <t>Branco</t>
        </is>
      </c>
      <c r="G388" s="8" t="n">
        <v>0.1</v>
      </c>
      <c r="H388" s="13" t="inlineStr">
        <is>
          <t>Future Sight (FUT)</t>
        </is>
      </c>
      <c r="I388" s="13" t="inlineStr">
        <is>
          <t>Não</t>
        </is>
      </c>
      <c r="J388" s="13" t="n">
        <v>2007</v>
      </c>
      <c r="L388" s="13" t="n">
        <v>1</v>
      </c>
      <c r="M388" s="8">
        <f>L388*G388</f>
        <v/>
      </c>
      <c r="P388" s="9" t="n"/>
    </row>
    <row r="389">
      <c r="A389" s="13" t="inlineStr">
        <is>
          <t>Bounding Felidar / Felidar a Galope</t>
        </is>
      </c>
      <c r="B389" s="13" t="inlineStr">
        <is>
          <t>Creature — Cat Beast Mount / Criatura — Felino Besta Montaria</t>
        </is>
      </c>
      <c r="C389" s="13" t="inlineStr">
        <is>
          <t>Uncommon / Incomum</t>
        </is>
      </c>
      <c r="D389" s="13"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389" s="13" t="inlineStr">
        <is>
          <t>{5}{W}</t>
        </is>
      </c>
      <c r="F389" s="13" t="inlineStr">
        <is>
          <t>Branco</t>
        </is>
      </c>
      <c r="G389" s="8" t="n">
        <v>0.07000000000000001</v>
      </c>
      <c r="H389" s="13" t="inlineStr">
        <is>
          <t>Outlaws of Thunder Junction (OTJ)</t>
        </is>
      </c>
      <c r="I389" s="13" t="inlineStr">
        <is>
          <t>Não</t>
        </is>
      </c>
      <c r="J389" s="13" t="n">
        <v>2024</v>
      </c>
      <c r="K389" s="10" t="n">
        <v>46207</v>
      </c>
      <c r="L389" s="13" t="n">
        <v>1</v>
      </c>
      <c r="M389" s="8">
        <f>L389*G389</f>
        <v/>
      </c>
      <c r="P389" s="9" t="n"/>
    </row>
    <row r="390">
      <c r="A390" s="13" t="inlineStr">
        <is>
          <t>Bouteille de Salomon / Bottle of Solomon</t>
        </is>
      </c>
      <c r="B390" s="13" t="inlineStr">
        <is>
          <t>Artifact / Artefato</t>
        </is>
      </c>
      <c r="C390" s="13" t="inlineStr">
        <is>
          <t>Rara / Rare</t>
        </is>
      </c>
      <c r="D390" s="13"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390" s="13" t="inlineStr">
        <is>
          <t>{4}</t>
        </is>
      </c>
      <c r="F390" s="13" t="inlineStr">
        <is>
          <t>Incolor</t>
        </is>
      </c>
      <c r="G390" s="8" t="n">
        <v>2.4</v>
      </c>
      <c r="H390" s="13" t="inlineStr">
        <is>
          <t>Fourth Edition (BB)</t>
        </is>
      </c>
      <c r="I390" s="13" t="inlineStr">
        <is>
          <t>Não</t>
        </is>
      </c>
      <c r="J390" s="13" t="n">
        <v>1993</v>
      </c>
      <c r="L390" s="13" t="n">
        <v>1</v>
      </c>
      <c r="M390" s="8">
        <f>L390*G390</f>
        <v/>
      </c>
      <c r="N390" s="13" t="inlineStr">
        <is>
          <t>Pasta</t>
        </is>
      </c>
      <c r="P390" s="9" t="n"/>
    </row>
    <row r="391">
      <c r="A391" s="13" t="inlineStr">
        <is>
          <t>Brago's Representative</t>
        </is>
      </c>
      <c r="B391" s="13" t="inlineStr">
        <is>
          <t>Creature — Human Advisor</t>
        </is>
      </c>
      <c r="C391" s="13" t="inlineStr">
        <is>
          <t>Common / Comum</t>
        </is>
      </c>
      <c r="D391" s="13" t="inlineStr">
        <is>
          <t>While voting, you get an additional vote. (The votes can be for different choices or for the same choice.)</t>
        </is>
      </c>
      <c r="E391" s="13" t="inlineStr">
        <is>
          <t>{2}{W}</t>
        </is>
      </c>
      <c r="F391" s="13" t="inlineStr">
        <is>
          <t>Branco</t>
        </is>
      </c>
      <c r="G391" s="8" t="n">
        <v>0.06</v>
      </c>
      <c r="H391" s="13" t="inlineStr">
        <is>
          <t>Conspiracy (CNS)</t>
        </is>
      </c>
      <c r="I391" s="13" t="inlineStr">
        <is>
          <t>Não</t>
        </is>
      </c>
      <c r="J391" s="13" t="n">
        <v>2014</v>
      </c>
      <c r="K391" s="10" t="n">
        <v>46113</v>
      </c>
      <c r="L391" s="13" t="n">
        <v>1</v>
      </c>
      <c r="M391" s="8">
        <f>L391*G391</f>
        <v/>
      </c>
      <c r="P391" s="9" t="n"/>
    </row>
    <row r="392">
      <c r="A392" s="13" t="inlineStr">
        <is>
          <t>Brain Maggot / Verme Cerebral</t>
        </is>
      </c>
      <c r="B392" s="13" t="inlineStr">
        <is>
          <t>Enchantment Creature — Insect / Criatura Encantamento — Inseto</t>
        </is>
      </c>
      <c r="C392" s="13" t="inlineStr">
        <is>
          <t>Uncommon / Incomum</t>
        </is>
      </c>
      <c r="D392" s="13"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392" s="13" t="inlineStr">
        <is>
          <t>{1}{B}</t>
        </is>
      </c>
      <c r="F392" s="13" t="inlineStr">
        <is>
          <t>Preto</t>
        </is>
      </c>
      <c r="G392" s="8" t="n">
        <v>0.1</v>
      </c>
      <c r="H392" s="13" t="inlineStr">
        <is>
          <t>Journey into Nyx (JOU)</t>
        </is>
      </c>
      <c r="I392" s="13" t="inlineStr">
        <is>
          <t>Não</t>
        </is>
      </c>
      <c r="J392" s="13" t="n">
        <v>2014</v>
      </c>
      <c r="K392" s="10" t="n">
        <v>46023</v>
      </c>
      <c r="L392" s="13" t="n">
        <v>4</v>
      </c>
      <c r="M392" s="8">
        <f>L392*G392</f>
        <v/>
      </c>
      <c r="P392" s="9" t="n"/>
    </row>
    <row r="393">
      <c r="A393" s="13" t="inlineStr">
        <is>
          <t>Bramble Armor / Armadura de Espinheiro</t>
        </is>
      </c>
      <c r="B393" s="13" t="inlineStr">
        <is>
          <t>Artifact — Equipment / Artefato — Equipamento</t>
        </is>
      </c>
      <c r="C393" s="13" t="inlineStr">
        <is>
          <t>Common / Comum</t>
        </is>
      </c>
      <c r="D393" s="13"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393" s="13" t="inlineStr">
        <is>
          <t>{1}{G}</t>
        </is>
      </c>
      <c r="F393" s="13" t="inlineStr">
        <is>
          <t>Verde</t>
        </is>
      </c>
      <c r="G393" s="8" t="n">
        <v>0.05</v>
      </c>
      <c r="H393" s="13" t="inlineStr">
        <is>
          <t>Innistrad: Crimson Vow (VOW)</t>
        </is>
      </c>
      <c r="I393" s="13" t="inlineStr">
        <is>
          <t>Não</t>
        </is>
      </c>
      <c r="J393" s="13" t="n">
        <v>2021</v>
      </c>
      <c r="L393" s="13" t="n">
        <v>1</v>
      </c>
      <c r="M393" s="8">
        <f>L393*G393</f>
        <v/>
      </c>
      <c r="P393" s="9" t="n"/>
    </row>
    <row r="394">
      <c r="A394" s="13" t="inlineStr">
        <is>
          <t>Brand of Ill Omen / Estigma do Infortúnio</t>
        </is>
      </c>
      <c r="B394" s="13" t="inlineStr">
        <is>
          <t>Enchantment — Aura</t>
        </is>
      </c>
      <c r="C394" s="13" t="inlineStr">
        <is>
          <t>Rare / Rara</t>
        </is>
      </c>
      <c r="D394" s="13" t="inlineStr">
        <is>
          <t>Enchant creature Cumulative upkeep {R} (At the beginning of your upkeep, put an age counter on this permanent, then sacrifice it unless you pay its upkeep cost for each age counter on it.) Enchanted creature's controller can't cast creature spells.</t>
        </is>
      </c>
      <c r="E394" s="13" t="inlineStr">
        <is>
          <t>{3}{R}</t>
        </is>
      </c>
      <c r="F394" s="13" t="inlineStr">
        <is>
          <t>Vermelho</t>
        </is>
      </c>
      <c r="G394" s="8" t="n">
        <v>1.74</v>
      </c>
      <c r="H394" s="13" t="inlineStr">
        <is>
          <t>Ice Age (ICE)</t>
        </is>
      </c>
      <c r="I394" s="13" t="inlineStr">
        <is>
          <t>Não</t>
        </is>
      </c>
      <c r="J394" s="13" t="n">
        <v>1995</v>
      </c>
      <c r="L394" s="13" t="n">
        <v>1</v>
      </c>
      <c r="M394" s="8">
        <f>L394*G394</f>
        <v/>
      </c>
      <c r="P394" s="9" t="n"/>
    </row>
    <row r="395">
      <c r="A395" s="13" t="inlineStr">
        <is>
          <t>Brandywine Farmer / Fazendeira do Brandevin</t>
        </is>
      </c>
      <c r="B395" s="13" t="inlineStr">
        <is>
          <t>Creature — Halfling Peasant / Criatura — Pequenino Plebeu</t>
        </is>
      </c>
      <c r="C395" s="13" t="inlineStr">
        <is>
          <t>Common / Comum</t>
        </is>
      </c>
      <c r="D395" s="13"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395" s="13" t="inlineStr">
        <is>
          <t>{2}{G}</t>
        </is>
      </c>
      <c r="F395" s="13" t="inlineStr">
        <is>
          <t>Verde</t>
        </is>
      </c>
      <c r="G395" s="8" t="n">
        <v>0.08</v>
      </c>
      <c r="H395" s="13" t="inlineStr">
        <is>
          <t>The Lord of the Rings: Tales of Middle-earth (LTR)</t>
        </is>
      </c>
      <c r="I395" s="13" t="inlineStr">
        <is>
          <t>Não</t>
        </is>
      </c>
      <c r="J395" s="13" t="n">
        <v>2023</v>
      </c>
      <c r="K395" s="10" t="n">
        <v>46023</v>
      </c>
      <c r="L395" s="13" t="n">
        <v>1</v>
      </c>
      <c r="M395" s="8">
        <f>L395*G395</f>
        <v/>
      </c>
      <c r="P395" s="9" t="n"/>
    </row>
    <row r="396">
      <c r="A396" s="13" t="inlineStr">
        <is>
          <t>Brass Man / Homem de Bronze</t>
        </is>
      </c>
      <c r="B396" s="13" t="inlineStr">
        <is>
          <t>Artifact Creature — Construct</t>
        </is>
      </c>
      <c r="C396" s="13" t="inlineStr">
        <is>
          <t>Uncommon / Incomum</t>
        </is>
      </c>
      <c r="D396" s="13" t="inlineStr">
        <is>
          <t>This creature doesn't untap during your untap step. At the beginning of your upkeep, you may pay {1}. If you do, untap this creature.</t>
        </is>
      </c>
      <c r="E396" s="13" t="inlineStr">
        <is>
          <t>{1}</t>
        </is>
      </c>
      <c r="F396" s="13" t="inlineStr">
        <is>
          <t>Incolor</t>
        </is>
      </c>
      <c r="G396" s="8" t="n">
        <v>0.14</v>
      </c>
      <c r="H396" s="13" t="inlineStr">
        <is>
          <t>Fourth Edition</t>
        </is>
      </c>
      <c r="I396" s="13" t="inlineStr">
        <is>
          <t>Não</t>
        </is>
      </c>
      <c r="J396" s="13" t="n">
        <v>1995</v>
      </c>
      <c r="K396" s="10" t="n">
        <v>46082</v>
      </c>
      <c r="L396" s="13" t="n">
        <v>2</v>
      </c>
      <c r="M396" s="8">
        <f>L396*G396</f>
        <v/>
      </c>
      <c r="P396" s="9" t="n"/>
    </row>
    <row r="397">
      <c r="A397" s="13" t="inlineStr">
        <is>
          <t>Brass Man / Homem de Bronze</t>
        </is>
      </c>
      <c r="B397" s="13" t="inlineStr">
        <is>
          <t>Artifact Creature — Construct</t>
        </is>
      </c>
      <c r="C397" s="13" t="inlineStr">
        <is>
          <t>Uncommon / Incomum</t>
        </is>
      </c>
      <c r="D397" s="13" t="inlineStr">
        <is>
          <t>This creature doesn't untap during your untap step. At the beginning of your upkeep, you may pay {1}. If you do, untap this creature.</t>
        </is>
      </c>
      <c r="E397" s="13" t="inlineStr">
        <is>
          <t>{1}</t>
        </is>
      </c>
      <c r="F397" s="13" t="inlineStr">
        <is>
          <t>Incolor</t>
        </is>
      </c>
      <c r="G397" s="8" t="n">
        <v>0.49</v>
      </c>
      <c r="H397" s="13" t="inlineStr">
        <is>
          <t>Fourth Edition (BB)</t>
        </is>
      </c>
      <c r="I397" s="13" t="inlineStr">
        <is>
          <t>Não</t>
        </is>
      </c>
      <c r="J397" s="13" t="n">
        <v>1995</v>
      </c>
      <c r="K397" s="10" t="n">
        <v>46082</v>
      </c>
      <c r="L397" s="13" t="n">
        <v>1</v>
      </c>
      <c r="M397" s="8">
        <f>L397*G397</f>
        <v/>
      </c>
      <c r="P397" s="9" t="n"/>
    </row>
    <row r="398">
      <c r="A398" s="13" t="inlineStr">
        <is>
          <t>Brassclaw Orcs / Orcs da Garra de Bronze</t>
        </is>
      </c>
      <c r="B398" s="13" t="inlineStr">
        <is>
          <t>Creature — Orc</t>
        </is>
      </c>
      <c r="C398" s="13" t="inlineStr">
        <is>
          <t>Common / Comum</t>
        </is>
      </c>
      <c r="D398" s="13" t="inlineStr">
        <is>
          <t>This creature can't block creatures with power 2 or greater.</t>
        </is>
      </c>
      <c r="E398" s="13" t="inlineStr">
        <is>
          <t>{2}{R}</t>
        </is>
      </c>
      <c r="F398" s="13" t="inlineStr">
        <is>
          <t>Vermelho</t>
        </is>
      </c>
      <c r="G398" s="8" t="n">
        <v>0.2</v>
      </c>
      <c r="H398" s="13" t="inlineStr">
        <is>
          <t>Fallen Empires (FEM)</t>
        </is>
      </c>
      <c r="I398" s="13" t="inlineStr">
        <is>
          <t>Não</t>
        </is>
      </c>
      <c r="J398" s="13" t="n">
        <v>1994</v>
      </c>
      <c r="K398" s="10" t="n">
        <v>46056</v>
      </c>
      <c r="L398" s="13" t="n">
        <v>2</v>
      </c>
      <c r="M398" s="8">
        <f>L398*G398</f>
        <v/>
      </c>
      <c r="P398" s="9" t="n"/>
    </row>
    <row r="399">
      <c r="A399" s="13" t="inlineStr">
        <is>
          <t>Bravura de Pippin / Pippin's Bravery</t>
        </is>
      </c>
      <c r="B399" s="13" t="inlineStr">
        <is>
          <t>Mágica Instantânea</t>
        </is>
      </c>
      <c r="C399" s="13" t="inlineStr">
        <is>
          <t>Comum</t>
        </is>
      </c>
      <c r="D399" s="13" t="inlineStr">
        <is>
          <t>Você pode sacrificar uma Comida. Se fazer isso, a criatura alvo receberá +4/+4 até o final do turno. Caso contrário, aquela criatura recebe +2/+2 até o final do turno.</t>
        </is>
      </c>
      <c r="E399" s="13" t="inlineStr">
        <is>
          <t>{G}</t>
        </is>
      </c>
      <c r="F399" s="13" t="inlineStr">
        <is>
          <t>Verde</t>
        </is>
      </c>
      <c r="G399" s="8" t="n">
        <v>0.14</v>
      </c>
      <c r="H399" s="13" t="inlineStr">
        <is>
          <t>The Lord of the Rings: Tales of Middle-earth (LTR)</t>
        </is>
      </c>
      <c r="I399" s="13" t="inlineStr">
        <is>
          <t>Não</t>
        </is>
      </c>
      <c r="J399" s="13" t="n">
        <v>2023</v>
      </c>
      <c r="L399" s="13" t="n">
        <v>1</v>
      </c>
      <c r="M399" s="8">
        <f>L399*G399</f>
        <v/>
      </c>
      <c r="P399" s="9" t="n"/>
    </row>
    <row r="400">
      <c r="A400" s="13" t="inlineStr">
        <is>
          <t>Brazen Blademaster / Espadachim-mestre Brônzeo</t>
        </is>
      </c>
      <c r="B400" s="13" t="inlineStr">
        <is>
          <t>Creature — Orc Pirate / Criatura — Orc Pirata</t>
        </is>
      </c>
      <c r="C400" s="13" t="inlineStr">
        <is>
          <t>Common / Comum</t>
        </is>
      </c>
      <c r="D400" s="13" t="inlineStr">
        <is>
          <t>Whenever this creature attacks while you control two or more artifacts, it gets +2/+1 until end of turn. / Toda vez que Espadachim-mestre Brônzeo ataca enquanto você controla dois ou mais artefatos, ele recebe +2/+1 até o final do turno.</t>
        </is>
      </c>
      <c r="E400" s="13" t="inlineStr">
        <is>
          <t>{2}{R}</t>
        </is>
      </c>
      <c r="F400" s="13" t="inlineStr">
        <is>
          <t>Vermelho</t>
        </is>
      </c>
      <c r="G400" s="8" t="n">
        <v>0.1</v>
      </c>
      <c r="H400" s="13" t="inlineStr">
        <is>
          <t>The Lost Caverns of Ixalan (LCI)</t>
        </is>
      </c>
      <c r="I400" s="13" t="inlineStr">
        <is>
          <t>Não</t>
        </is>
      </c>
      <c r="J400" s="13" t="n">
        <v>2023</v>
      </c>
      <c r="K400" s="10" t="n">
        <v>46083</v>
      </c>
      <c r="L400" s="13" t="n">
        <v>1</v>
      </c>
      <c r="M400" s="8">
        <f>L400*G400</f>
        <v/>
      </c>
      <c r="P400" s="9" t="n"/>
    </row>
    <row r="401">
      <c r="A401" s="13" t="inlineStr">
        <is>
          <t>Brazen Freebooter / Filibusteira Brônzea</t>
        </is>
      </c>
      <c r="B401" s="13" t="inlineStr">
        <is>
          <t>Creature — Human Pirate / Criatura — Humano Pirata</t>
        </is>
      </c>
      <c r="C401" s="13" t="inlineStr">
        <is>
          <t>Common / Comum</t>
        </is>
      </c>
      <c r="D401" s="13"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401" s="13" t="inlineStr">
        <is>
          <t>{3}{R}</t>
        </is>
      </c>
      <c r="F401" s="13" t="inlineStr">
        <is>
          <t>Vermelho</t>
        </is>
      </c>
      <c r="G401" s="8" t="n">
        <v>0.03</v>
      </c>
      <c r="H401" s="13" t="inlineStr">
        <is>
          <t>Rivals of Ixalan (RIX)</t>
        </is>
      </c>
      <c r="I401" s="13" t="inlineStr">
        <is>
          <t>Não</t>
        </is>
      </c>
      <c r="J401" s="13" t="n">
        <v>2018</v>
      </c>
      <c r="K401" s="10" t="n">
        <v>46084</v>
      </c>
      <c r="L401" s="13" t="n">
        <v>1</v>
      </c>
      <c r="M401" s="8">
        <f>L401*G401</f>
        <v/>
      </c>
      <c r="P401" s="9" t="n"/>
    </row>
    <row r="402">
      <c r="A402" s="13" t="inlineStr">
        <is>
          <t>Brazen Scourge / Praga Insolente</t>
        </is>
      </c>
      <c r="B402" s="13" t="inlineStr">
        <is>
          <t>Creature — Gremlin / Criatura — Gremlin</t>
        </is>
      </c>
      <c r="C402" s="13" t="inlineStr">
        <is>
          <t>Uncommon / Incomum</t>
        </is>
      </c>
      <c r="D402" s="13" t="inlineStr">
        <is>
          <t>Haste (This creature can attack and {T} as soon as it comes under your control.) / Ímpeto</t>
        </is>
      </c>
      <c r="E402" s="13" t="inlineStr">
        <is>
          <t>{1}{R}{R}</t>
        </is>
      </c>
      <c r="F402" s="13" t="inlineStr">
        <is>
          <t>Vermelho</t>
        </is>
      </c>
      <c r="G402" s="8" t="n">
        <v>0.05</v>
      </c>
      <c r="H402" s="13" t="inlineStr">
        <is>
          <t>Foundations (FDN)</t>
        </is>
      </c>
      <c r="I402" s="13" t="inlineStr">
        <is>
          <t>Não</t>
        </is>
      </c>
      <c r="J402" s="13" t="n">
        <v>2024</v>
      </c>
      <c r="K402" s="10" t="n">
        <v>46084</v>
      </c>
      <c r="L402" s="13" t="n">
        <v>1</v>
      </c>
      <c r="M402" s="8">
        <f>L402*G402</f>
        <v/>
      </c>
      <c r="P402" s="9" t="n"/>
    </row>
    <row r="403">
      <c r="A403" s="13" t="inlineStr">
        <is>
          <t>Breaking // Entering // Quebrar // Entrar</t>
        </is>
      </c>
      <c r="B403" s="13" t="inlineStr">
        <is>
          <t>Feitiço // Feitiço</t>
        </is>
      </c>
      <c r="C403" s="13" t="inlineStr">
        <is>
          <t>Raro</t>
        </is>
      </c>
      <c r="D403" s="13"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03" s="13" t="inlineStr">
        <is>
          <t>{U}{B} // 4{B}{R}</t>
        </is>
      </c>
      <c r="F403" s="13" t="inlineStr">
        <is>
          <t>Multicolorido</t>
        </is>
      </c>
      <c r="G403" s="8" t="n">
        <v>0.92</v>
      </c>
      <c r="H403" s="13" t="inlineStr">
        <is>
          <t>Dragon's Maze</t>
        </is>
      </c>
      <c r="I403" s="13" t="inlineStr">
        <is>
          <t>Sim</t>
        </is>
      </c>
      <c r="J403" s="13" t="n">
        <v>2013</v>
      </c>
      <c r="L403" s="13" t="n">
        <v>1</v>
      </c>
      <c r="M403" s="8">
        <f>L403*G403</f>
        <v/>
      </c>
      <c r="P403" s="9" t="n"/>
    </row>
    <row r="404">
      <c r="A404" s="13" t="inlineStr">
        <is>
          <t>Breathe Your Last / Respire pela Última Vez</t>
        </is>
      </c>
      <c r="B404" s="13" t="inlineStr">
        <is>
          <t>Instant / Mágica Instantânea</t>
        </is>
      </c>
      <c r="C404" s="13" t="inlineStr">
        <is>
          <t>Common / Comum</t>
        </is>
      </c>
      <c r="D404" s="13" t="inlineStr">
        <is>
          <t>Destroy target creature or planeswalker. You gain 1 life for each of its colors. / Destrua a criatura ou o planeswalker alvo. Você ganha 1 ponto de vida por cada uma de suas cores.</t>
        </is>
      </c>
      <c r="E404" s="13" t="inlineStr">
        <is>
          <t>{1}{B}{B}</t>
        </is>
      </c>
      <c r="F404" s="13" t="inlineStr">
        <is>
          <t>Preto</t>
        </is>
      </c>
      <c r="G404" s="8" t="n">
        <v>0.05</v>
      </c>
      <c r="H404" s="13" t="inlineStr">
        <is>
          <t>Modern Horizons 3 (MH3)</t>
        </is>
      </c>
      <c r="I404" s="13" t="inlineStr">
        <is>
          <t>Não</t>
        </is>
      </c>
      <c r="J404" s="13" t="n">
        <v>2024</v>
      </c>
      <c r="L404" s="13" t="n">
        <v>1</v>
      </c>
      <c r="M404" s="8">
        <f>L404*G404</f>
        <v/>
      </c>
      <c r="P404" s="9" t="n"/>
    </row>
    <row r="405">
      <c r="A405" s="13" t="inlineStr">
        <is>
          <t>Breathstealer / Ladrão de Fôlego</t>
        </is>
      </c>
      <c r="B405" s="13" t="inlineStr">
        <is>
          <t>Creature — Nightstalker</t>
        </is>
      </c>
      <c r="C405" s="13" t="inlineStr">
        <is>
          <t>Common / Comum</t>
        </is>
      </c>
      <c r="D405" s="13" t="inlineStr">
        <is>
          <t>{B}: This creature gets +1/-1 until end of turn.</t>
        </is>
      </c>
      <c r="E405" s="13" t="inlineStr">
        <is>
          <t>{2}{B}</t>
        </is>
      </c>
      <c r="F405" s="13" t="inlineStr">
        <is>
          <t>Preto</t>
        </is>
      </c>
      <c r="G405" s="8" t="n">
        <v>0.05</v>
      </c>
      <c r="H405" s="13" t="inlineStr">
        <is>
          <t>Mirage (MIR)</t>
        </is>
      </c>
      <c r="I405" s="13" t="inlineStr">
        <is>
          <t>Não</t>
        </is>
      </c>
      <c r="J405" s="13" t="n">
        <v>1996</v>
      </c>
      <c r="K405" s="10" t="n">
        <v>46055</v>
      </c>
      <c r="L405" s="13" t="n">
        <v>1</v>
      </c>
      <c r="M405" s="8">
        <f>L405*G405</f>
        <v/>
      </c>
      <c r="P405" s="9" t="n"/>
    </row>
    <row r="406">
      <c r="A406" s="13" t="inlineStr">
        <is>
          <t>Briarpack Alpha / Alfa da Alcateia dos Espinhos</t>
        </is>
      </c>
      <c r="B406" s="13" t="inlineStr">
        <is>
          <t>Creature — Wolf / Criatura — Lobo</t>
        </is>
      </c>
      <c r="C406" s="13" t="inlineStr">
        <is>
          <t>Uncommon / Incomum</t>
        </is>
      </c>
      <c r="D406" s="13" t="inlineStr">
        <is>
          <t>Flash. When Briarpack Alpha enters the battlefield, target creature gets +2/+2 until end of turn. / Lampejo. Quando Alfa da Alcateia dos Espinhos entra no campo de batalha, a criatura alvo recebe +2/+2 até o final do turno.</t>
        </is>
      </c>
      <c r="E406" s="13" t="inlineStr">
        <is>
          <t>{3}{G}</t>
        </is>
      </c>
      <c r="F406" s="13" t="inlineStr">
        <is>
          <t>Verde</t>
        </is>
      </c>
      <c r="G406" s="8" t="n">
        <v>0.06</v>
      </c>
      <c r="H406" s="13" t="inlineStr">
        <is>
          <t>Avacyn Restored (AVR)</t>
        </is>
      </c>
      <c r="I406" s="13" t="inlineStr">
        <is>
          <t>Não</t>
        </is>
      </c>
      <c r="J406" s="13" t="n">
        <v>2012</v>
      </c>
      <c r="K406" s="10" t="n">
        <v>46084</v>
      </c>
      <c r="L406" s="13" t="n">
        <v>1</v>
      </c>
      <c r="M406" s="8">
        <f>L406*G406</f>
        <v/>
      </c>
      <c r="P406" s="9" t="n"/>
    </row>
    <row r="407">
      <c r="A407" s="13" t="inlineStr">
        <is>
          <t>Brightblade Stoat</t>
        </is>
      </c>
      <c r="B407" s="13" t="inlineStr">
        <is>
          <t>Creature — Weasel Soldier</t>
        </is>
      </c>
      <c r="C407" s="13" t="inlineStr">
        <is>
          <t>Uncommon / Incomum</t>
        </is>
      </c>
      <c r="D407" s="13" t="inlineStr">
        <is>
          <t>First strike, lifelink</t>
        </is>
      </c>
      <c r="E407" s="13" t="inlineStr">
        <is>
          <t>{1}{W}</t>
        </is>
      </c>
      <c r="F407" s="13" t="inlineStr">
        <is>
          <t>Branco</t>
        </is>
      </c>
      <c r="G407" s="8" t="n">
        <v>0.2</v>
      </c>
      <c r="H407" s="13" t="inlineStr">
        <is>
          <t>Bloomburrow (BLB)</t>
        </is>
      </c>
      <c r="I407" s="13" t="inlineStr">
        <is>
          <t>Não</t>
        </is>
      </c>
      <c r="J407" s="13" t="n">
        <v>2024</v>
      </c>
      <c r="K407" s="10" t="n">
        <v>46055</v>
      </c>
      <c r="L407" s="13" t="n">
        <v>1</v>
      </c>
      <c r="M407" s="8">
        <f>L407*G407</f>
        <v/>
      </c>
      <c r="P407" s="9" t="n"/>
    </row>
    <row r="408">
      <c r="A408" s="13" t="inlineStr">
        <is>
          <t>Brightfield Mustang</t>
        </is>
      </c>
      <c r="B408" s="13" t="inlineStr">
        <is>
          <t>Creature — Horse Mount</t>
        </is>
      </c>
      <c r="C408" s="13" t="inlineStr">
        <is>
          <t>Common / Comum</t>
        </is>
      </c>
      <c r="D408" s="13" t="inlineStr">
        <is>
          <t>Whenever this creature attacks while saddled, untap it and put a +1/+1 counter on it. Saddle 1 (Tap any number of other creatures you control with total power 1 or more: This Mount becomes saddled until end of turn. Saddle only as a sorcery.)</t>
        </is>
      </c>
      <c r="E408" s="13" t="inlineStr">
        <is>
          <t>{3}{W}</t>
        </is>
      </c>
      <c r="F408" s="13" t="inlineStr">
        <is>
          <t>Branco</t>
        </is>
      </c>
      <c r="G408" s="8" t="n">
        <v>0.08</v>
      </c>
      <c r="H408" s="13" t="inlineStr">
        <is>
          <t>Aetherdrift (DFT)</t>
        </is>
      </c>
      <c r="I408" s="13" t="inlineStr">
        <is>
          <t>Não</t>
        </is>
      </c>
      <c r="J408" s="13" t="n">
        <v>2025</v>
      </c>
      <c r="K408" s="10" t="n">
        <v>46084</v>
      </c>
      <c r="L408" s="13" t="n">
        <v>1</v>
      </c>
      <c r="M408" s="8">
        <f>L408*G408</f>
        <v/>
      </c>
      <c r="P408" s="9" t="n"/>
    </row>
    <row r="409">
      <c r="A409" s="13" t="inlineStr">
        <is>
          <t>Brigid's Command</t>
        </is>
      </c>
      <c r="B409" s="13" t="inlineStr">
        <is>
          <t>Kindred Sorcery — Kithkin</t>
        </is>
      </c>
      <c r="C409" s="13" t="inlineStr">
        <is>
          <t>Rare / Rara</t>
        </is>
      </c>
      <c r="D409" s="13"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409" s="13" t="inlineStr">
        <is>
          <t>{1}{G}{W}</t>
        </is>
      </c>
      <c r="F409" s="13" t="inlineStr">
        <is>
          <t>Verde, Branco</t>
        </is>
      </c>
      <c r="G409" s="8" t="n">
        <v>0.37</v>
      </c>
      <c r="H409" s="13" t="inlineStr">
        <is>
          <t>Lorwyn Eclipsed (ECL)</t>
        </is>
      </c>
      <c r="I409" s="13" t="inlineStr">
        <is>
          <t>Não</t>
        </is>
      </c>
      <c r="J409" s="13" t="n">
        <v>2026</v>
      </c>
      <c r="L409" s="13" t="n">
        <v>1</v>
      </c>
      <c r="M409" s="8">
        <f>L409*G409</f>
        <v/>
      </c>
      <c r="P409" s="9" t="n"/>
    </row>
    <row r="410">
      <c r="A410" s="13" t="inlineStr">
        <is>
          <t>Brilliance Unleashed</t>
        </is>
      </c>
      <c r="B410" s="13" t="inlineStr">
        <is>
          <t>Sorcery</t>
        </is>
      </c>
      <c r="C410" s="13" t="inlineStr">
        <is>
          <t>Uncommon / Incomum</t>
        </is>
      </c>
      <c r="D410" s="13"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410" s="13" t="inlineStr">
        <is>
          <t>{4}{U}{R}</t>
        </is>
      </c>
      <c r="F410" s="13" t="inlineStr">
        <is>
          <t>Vermelho, Azul</t>
        </is>
      </c>
      <c r="G410" s="8" t="n">
        <v>0.13</v>
      </c>
      <c r="H410" s="13" t="inlineStr">
        <is>
          <t>Teenage Mutant Ninja Turtles (TMT)</t>
        </is>
      </c>
      <c r="I410" s="13" t="inlineStr">
        <is>
          <t>Não</t>
        </is>
      </c>
      <c r="J410" s="13" t="n">
        <v>2026</v>
      </c>
      <c r="L410" s="13" t="n">
        <v>1</v>
      </c>
      <c r="M410" s="8">
        <f>L410*G410</f>
        <v/>
      </c>
      <c r="P410" s="9" t="n"/>
    </row>
    <row r="411">
      <c r="A411" s="13" t="inlineStr">
        <is>
          <t>Brine Shaman / Xamã do Oceano</t>
        </is>
      </c>
      <c r="B411" s="13" t="inlineStr">
        <is>
          <t>Creature — Human Cleric Shaman</t>
        </is>
      </c>
      <c r="C411" s="13" t="inlineStr">
        <is>
          <t>Common / Comum</t>
        </is>
      </c>
      <c r="D411" s="13" t="inlineStr">
        <is>
          <t>{T}, Sacrifice a creature: Target creature gets +2/+2 until end of turn. {1}{U}{U}, Sacrifice a creature: Counter target creature spell.</t>
        </is>
      </c>
      <c r="E411" s="13" t="inlineStr">
        <is>
          <t>{1}{B}</t>
        </is>
      </c>
      <c r="F411" s="13" t="inlineStr">
        <is>
          <t>Preto</t>
        </is>
      </c>
      <c r="G411" s="8" t="n">
        <v>0.14</v>
      </c>
      <c r="H411" s="13" t="inlineStr">
        <is>
          <t>Ice Age (ICE)</t>
        </is>
      </c>
      <c r="I411" s="13" t="inlineStr">
        <is>
          <t>Não</t>
        </is>
      </c>
      <c r="J411" s="13" t="n">
        <v>1995</v>
      </c>
      <c r="K411" s="10" t="n">
        <v>46023</v>
      </c>
      <c r="L411" s="13" t="n">
        <v>3</v>
      </c>
      <c r="M411" s="8">
        <f>L411*G411</f>
        <v/>
      </c>
      <c r="P411" s="9" t="n"/>
    </row>
    <row r="412">
      <c r="A412" s="13" t="inlineStr">
        <is>
          <t>Brinelin, the Moon Kraken / Salmouríneo, o Kraken Lunar</t>
        </is>
      </c>
      <c r="B412" s="13" t="inlineStr">
        <is>
          <t>Legendary Creature — Kraken / Criatura Lendária — Kraken</t>
        </is>
      </c>
      <c r="C412" s="13" t="inlineStr">
        <is>
          <t>Uncommon / Incomum</t>
        </is>
      </c>
      <c r="D412" s="13"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412" s="13" t="inlineStr">
        <is>
          <t>{6}{U}{U}</t>
        </is>
      </c>
      <c r="F412" s="13" t="inlineStr">
        <is>
          <t>Azul</t>
        </is>
      </c>
      <c r="G412" s="8" t="n">
        <v>0.25</v>
      </c>
      <c r="H412" s="13" t="inlineStr">
        <is>
          <t>Commander Masters (CMM)</t>
        </is>
      </c>
      <c r="I412" s="13" t="inlineStr">
        <is>
          <t>Não</t>
        </is>
      </c>
      <c r="J412" s="13" t="n">
        <v>2023</v>
      </c>
      <c r="K412" s="10" t="n">
        <v>46240</v>
      </c>
      <c r="L412" s="13" t="n">
        <v>1</v>
      </c>
      <c r="M412" s="8">
        <f>L412*G412</f>
        <v/>
      </c>
      <c r="P412" s="9" t="n"/>
    </row>
    <row r="413">
      <c r="A413" s="13" t="inlineStr">
        <is>
          <t>Broken Visage / Imagem Estilhaçada</t>
        </is>
      </c>
      <c r="B413" s="13" t="inlineStr">
        <is>
          <t>Instant</t>
        </is>
      </c>
      <c r="C413" s="13" t="inlineStr">
        <is>
          <t>Rare / Rara</t>
        </is>
      </c>
      <c r="D413" s="13"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413" s="13" t="inlineStr">
        <is>
          <t>{4}{B}</t>
        </is>
      </c>
      <c r="F413" s="13" t="inlineStr">
        <is>
          <t>Preto</t>
        </is>
      </c>
      <c r="G413" s="8" t="n">
        <v>0.34</v>
      </c>
      <c r="H413" s="13" t="inlineStr">
        <is>
          <t>Homelands (HML)</t>
        </is>
      </c>
      <c r="I413" s="13" t="inlineStr">
        <is>
          <t>Não</t>
        </is>
      </c>
      <c r="J413" s="13" t="n">
        <v>1995</v>
      </c>
      <c r="L413" s="13" t="n">
        <v>1</v>
      </c>
      <c r="M413" s="8">
        <f>L413*G413</f>
        <v/>
      </c>
      <c r="P413" s="9" t="n"/>
    </row>
    <row r="414">
      <c r="A414" s="13" t="inlineStr">
        <is>
          <t>Broken Wings / Asas Quebradas</t>
        </is>
      </c>
      <c r="B414" s="13" t="inlineStr">
        <is>
          <t>Instant / Mágica Instantânea</t>
        </is>
      </c>
      <c r="C414" s="13" t="inlineStr">
        <is>
          <t>Common / Comum</t>
        </is>
      </c>
      <c r="D414" s="13" t="inlineStr">
        <is>
          <t>Destroy target artifact, enchantment, or creature with flying. / Destrua o artefato, o encantamento ou a criatura com voar alvo.</t>
        </is>
      </c>
      <c r="E414" s="13" t="inlineStr">
        <is>
          <t>{2}{G}</t>
        </is>
      </c>
      <c r="F414" s="13" t="inlineStr">
        <is>
          <t>Verde</t>
        </is>
      </c>
      <c r="G414" s="8" t="n">
        <v>0.04</v>
      </c>
      <c r="H414" s="13" t="inlineStr">
        <is>
          <t>Foundations (FDN)</t>
        </is>
      </c>
      <c r="I414" s="13" t="inlineStr">
        <is>
          <t>Não</t>
        </is>
      </c>
      <c r="J414" s="13" t="n">
        <v>2024</v>
      </c>
      <c r="L414" s="13" t="n">
        <v>3</v>
      </c>
      <c r="M414" s="8">
        <f>L414*G414</f>
        <v/>
      </c>
      <c r="P414" s="9" t="n"/>
    </row>
    <row r="415">
      <c r="A415" s="13" t="inlineStr">
        <is>
          <t>Bronze Tablet</t>
        </is>
      </c>
      <c r="B415" s="13" t="inlineStr">
        <is>
          <t>Artifact</t>
        </is>
      </c>
      <c r="C415" s="13" t="inlineStr">
        <is>
          <t>Rare / Rara</t>
        </is>
      </c>
      <c r="D415" s="13"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415" s="13" t="inlineStr">
        <is>
          <t>{6}</t>
        </is>
      </c>
      <c r="F415" s="13" t="inlineStr">
        <is>
          <t>Incolor</t>
        </is>
      </c>
      <c r="G415" s="8" t="n">
        <v>4.8</v>
      </c>
      <c r="H415" s="13" t="inlineStr">
        <is>
          <t>Antiquities (ATQ)</t>
        </is>
      </c>
      <c r="I415" s="13" t="inlineStr">
        <is>
          <t>Não</t>
        </is>
      </c>
      <c r="J415" s="13" t="n">
        <v>1994</v>
      </c>
      <c r="L415" s="13" t="n">
        <v>1</v>
      </c>
      <c r="M415" s="8">
        <f>L415*G415</f>
        <v/>
      </c>
      <c r="N415" s="13" t="inlineStr">
        <is>
          <t>Pasta</t>
        </is>
      </c>
      <c r="P415" s="9" t="n"/>
    </row>
    <row r="416">
      <c r="A416" s="13" t="inlineStr">
        <is>
          <t>Broodguard Elite / Elite da Guarda da Ninhada</t>
        </is>
      </c>
      <c r="B416" s="13" t="inlineStr">
        <is>
          <t>Criatura — Inseto Cavaleiro</t>
        </is>
      </c>
      <c r="C416" s="13" t="inlineStr">
        <is>
          <t>Incomum</t>
        </is>
      </c>
      <c r="D416" s="13"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16" s="13" t="inlineStr">
        <is>
          <t>X{G}{G}</t>
        </is>
      </c>
      <c r="F416" s="13" t="inlineStr">
        <is>
          <t>Verde</t>
        </is>
      </c>
      <c r="G416" s="8" t="n">
        <v>0.18</v>
      </c>
      <c r="H416" s="13" t="inlineStr">
        <is>
          <t>Edge of Eternity</t>
        </is>
      </c>
      <c r="I416" s="13" t="inlineStr">
        <is>
          <t>Não</t>
        </is>
      </c>
      <c r="J416" s="13" t="n">
        <v>2025</v>
      </c>
      <c r="K416" s="13" t="inlineStr">
        <is>
          <t>0/0</t>
        </is>
      </c>
      <c r="L416" s="13" t="n">
        <v>2</v>
      </c>
      <c r="M416" s="8">
        <f>L416*G416</f>
        <v/>
      </c>
      <c r="P416" s="9" t="n"/>
    </row>
    <row r="417">
      <c r="A417" s="13" t="inlineStr">
        <is>
          <t>Broodheart Engine</t>
        </is>
      </c>
      <c r="B417" s="13" t="inlineStr">
        <is>
          <t>Artifact</t>
        </is>
      </c>
      <c r="C417" s="13" t="inlineStr">
        <is>
          <t>Uncommon / Incomum</t>
        </is>
      </c>
      <c r="D417" s="13" t="inlineStr">
        <is>
          <t>At the beginning of your upkeep, surveil 1. {2}{B}{G}, {T}, Sacrifice this artifact: Return target creature or Vehicle card from your graveyard to the battlefield. Activate only as a sorcery.</t>
        </is>
      </c>
      <c r="E417" s="13" t="inlineStr">
        <is>
          <t>{B}{G}</t>
        </is>
      </c>
      <c r="F417" s="13" t="inlineStr">
        <is>
          <t>Preto, Verde</t>
        </is>
      </c>
      <c r="G417" s="8" t="n">
        <v>0.25</v>
      </c>
      <c r="H417" s="13" t="inlineStr">
        <is>
          <t>Aetherdrift (DFT)</t>
        </is>
      </c>
      <c r="I417" s="13" t="inlineStr">
        <is>
          <t>Não</t>
        </is>
      </c>
      <c r="J417" s="13" t="n">
        <v>2025</v>
      </c>
      <c r="L417" s="13" t="n">
        <v>1</v>
      </c>
      <c r="M417" s="8">
        <f>L417*G417</f>
        <v/>
      </c>
      <c r="P417" s="9" t="n"/>
    </row>
    <row r="418">
      <c r="A418" s="13" t="inlineStr">
        <is>
          <t>Broodrage Mycoid / Micoide da Prole Furiosa</t>
        </is>
      </c>
      <c r="B418" s="13" t="inlineStr">
        <is>
          <t>Creature — Fungus / Criatura — Fungo</t>
        </is>
      </c>
      <c r="C418" s="13" t="inlineStr">
        <is>
          <t>Common / Comum</t>
        </is>
      </c>
      <c r="D418" s="13"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418" s="13" t="inlineStr">
        <is>
          <t>{3}{B}</t>
        </is>
      </c>
      <c r="F418" s="13" t="inlineStr">
        <is>
          <t>Preto</t>
        </is>
      </c>
      <c r="G418" s="8" t="n">
        <v>0.1</v>
      </c>
      <c r="H418" s="13" t="inlineStr">
        <is>
          <t>The Lost Caverns of Ixalan (LCI)</t>
        </is>
      </c>
      <c r="I418" s="13" t="inlineStr">
        <is>
          <t>Não</t>
        </is>
      </c>
      <c r="J418" s="13" t="n">
        <v>2023</v>
      </c>
      <c r="K418" s="10" t="n">
        <v>46085</v>
      </c>
      <c r="L418" s="13" t="n">
        <v>1</v>
      </c>
      <c r="M418" s="8">
        <f>L418*G418</f>
        <v/>
      </c>
      <c r="P418" s="9" t="n"/>
    </row>
    <row r="419">
      <c r="A419" s="13" t="inlineStr">
        <is>
          <t>Brothers of Fire / Irmãos do Fogo</t>
        </is>
      </c>
      <c r="B419" s="13" t="inlineStr">
        <is>
          <t>Creature — Human Shaman</t>
        </is>
      </c>
      <c r="C419" s="13" t="inlineStr">
        <is>
          <t>Uncommon / Incomum</t>
        </is>
      </c>
      <c r="D419" s="13" t="inlineStr">
        <is>
          <t>{1}{R}{R}: This creature deals 1 damage to any target and 1 damage to you.</t>
        </is>
      </c>
      <c r="E419" s="13" t="inlineStr">
        <is>
          <t>{1}{R}{R}</t>
        </is>
      </c>
      <c r="F419" s="13" t="inlineStr">
        <is>
          <t>Vermelho</t>
        </is>
      </c>
      <c r="G419" s="8" t="n">
        <v>0.05</v>
      </c>
      <c r="H419" s="13" t="inlineStr">
        <is>
          <t>Fourth Edition</t>
        </is>
      </c>
      <c r="I419" s="13" t="inlineStr">
        <is>
          <t>Não</t>
        </is>
      </c>
      <c r="J419" s="13" t="n">
        <v>1995</v>
      </c>
      <c r="K419" s="10" t="n">
        <v>46055</v>
      </c>
      <c r="L419" s="13" t="n">
        <v>2</v>
      </c>
      <c r="M419" s="8">
        <f>L419*G419</f>
        <v/>
      </c>
      <c r="P419" s="9" t="n"/>
    </row>
    <row r="420">
      <c r="A420" s="13" t="inlineStr">
        <is>
          <t>Brothers of Fire / Irmãos do Fogo</t>
        </is>
      </c>
      <c r="B420" s="13" t="inlineStr">
        <is>
          <t>Creature — Human Shaman</t>
        </is>
      </c>
      <c r="C420" s="13" t="inlineStr">
        <is>
          <t>Uncommon / Incomum</t>
        </is>
      </c>
      <c r="D420" s="13" t="inlineStr">
        <is>
          <t>{1}{R}{R}: This creature deals 1 damage to any target and 1 damage to you.</t>
        </is>
      </c>
      <c r="E420" s="13" t="inlineStr">
        <is>
          <t>{1}{R}{R}</t>
        </is>
      </c>
      <c r="F420" s="13" t="inlineStr">
        <is>
          <t>Vermelho</t>
        </is>
      </c>
      <c r="G420" s="8" t="n">
        <v>0.16</v>
      </c>
      <c r="H420" s="13" t="inlineStr">
        <is>
          <t>Fourth Edition (BB)</t>
        </is>
      </c>
      <c r="I420" s="13" t="inlineStr">
        <is>
          <t>Não</t>
        </is>
      </c>
      <c r="J420" s="13" t="n">
        <v>1995</v>
      </c>
      <c r="K420" s="10" t="n">
        <v>46055</v>
      </c>
      <c r="L420" s="13" t="n">
        <v>3</v>
      </c>
      <c r="M420" s="8">
        <f>L420*G420</f>
        <v/>
      </c>
      <c r="P420" s="9" t="n"/>
    </row>
    <row r="421">
      <c r="A421" s="13" t="inlineStr">
        <is>
          <t>Brothers Yamazaki</t>
        </is>
      </c>
      <c r="B421" s="13" t="inlineStr">
        <is>
          <t>Legendary Creature — Human Samurai</t>
        </is>
      </c>
      <c r="C421" s="13" t="inlineStr">
        <is>
          <t>Uncommon / Incomum</t>
        </is>
      </c>
      <c r="D421" s="13"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421" s="13" t="inlineStr">
        <is>
          <t>{2}{R}</t>
        </is>
      </c>
      <c r="F421" s="13" t="inlineStr">
        <is>
          <t>Vermelho</t>
        </is>
      </c>
      <c r="G421" s="8" t="n">
        <v>0.19</v>
      </c>
      <c r="H421" s="13" t="inlineStr">
        <is>
          <t>Champions of Kamigawa (CHK)</t>
        </is>
      </c>
      <c r="I421" s="13" t="inlineStr">
        <is>
          <t>Não</t>
        </is>
      </c>
      <c r="J421" s="13" t="n">
        <v>2004</v>
      </c>
      <c r="K421" s="10" t="n">
        <v>46024</v>
      </c>
      <c r="L421" s="13" t="n">
        <v>1</v>
      </c>
      <c r="M421" s="8">
        <f>L421*G421</f>
        <v/>
      </c>
      <c r="P421" s="9" t="n"/>
    </row>
    <row r="422">
      <c r="A422" s="13" t="inlineStr">
        <is>
          <t>Brothers Yamazaki</t>
        </is>
      </c>
      <c r="B422" s="13" t="inlineStr">
        <is>
          <t>Legendary Creature — Human Samurai</t>
        </is>
      </c>
      <c r="C422" s="13" t="inlineStr">
        <is>
          <t>Uncommon / Incomum</t>
        </is>
      </c>
      <c r="D422" s="13"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422" s="13" t="inlineStr">
        <is>
          <t>{2}{R}</t>
        </is>
      </c>
      <c r="F422" s="13" t="inlineStr">
        <is>
          <t>Vermelho</t>
        </is>
      </c>
      <c r="G422" s="8" t="n">
        <v>0.14</v>
      </c>
      <c r="H422" s="13" t="inlineStr">
        <is>
          <t>Champions of Kamigawa (CHK)</t>
        </is>
      </c>
      <c r="I422" s="13" t="inlineStr">
        <is>
          <t>Não</t>
        </is>
      </c>
      <c r="J422" s="13" t="n">
        <v>2004</v>
      </c>
      <c r="K422" s="10" t="n">
        <v>46024</v>
      </c>
      <c r="L422" s="13" t="n">
        <v>1</v>
      </c>
      <c r="M422" s="8">
        <f>L422*G422</f>
        <v/>
      </c>
      <c r="N422" s="13" t="inlineStr">
        <is>
          <t>Virado para a direita</t>
        </is>
      </c>
      <c r="P422" s="9" t="n"/>
    </row>
    <row r="423">
      <c r="A423" s="13" t="inlineStr">
        <is>
          <t>Bubble Smuggler / Contrabandista Borbulhante</t>
        </is>
      </c>
      <c r="B423" s="13" t="inlineStr">
        <is>
          <t>Creature — Octopus Fish / Criatura — Polvo Peixe</t>
        </is>
      </c>
      <c r="C423" s="13" t="inlineStr">
        <is>
          <t>Common / Comum</t>
        </is>
      </c>
      <c r="D423" s="13"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423" s="13" t="inlineStr">
        <is>
          <t>{1}{U}</t>
        </is>
      </c>
      <c r="F423" s="13" t="inlineStr">
        <is>
          <t>Azul</t>
        </is>
      </c>
      <c r="G423" s="8" t="n">
        <v>0.22</v>
      </c>
      <c r="H423" s="13" t="inlineStr">
        <is>
          <t>Murders at Karlov Manor (MKM)</t>
        </is>
      </c>
      <c r="I423" s="13" t="inlineStr">
        <is>
          <t>Sim</t>
        </is>
      </c>
      <c r="J423" s="13" t="n">
        <v>2024</v>
      </c>
      <c r="K423" s="10" t="n">
        <v>46024</v>
      </c>
      <c r="L423" s="13" t="n">
        <v>1</v>
      </c>
      <c r="M423" s="8">
        <f>L423*G423</f>
        <v/>
      </c>
      <c r="P423" s="9" t="n"/>
    </row>
    <row r="424">
      <c r="A424" s="13" t="inlineStr">
        <is>
          <t>Builder's Bane / Maldição do Construtor</t>
        </is>
      </c>
      <c r="B424" s="13" t="inlineStr">
        <is>
          <t>Sorcery</t>
        </is>
      </c>
      <c r="C424" s="13" t="inlineStr">
        <is>
          <t>Common / Comum</t>
        </is>
      </c>
      <c r="D424" s="13" t="inlineStr">
        <is>
          <t>Destroy X target artifacts. Builder's Bane deals damage to each player equal to the number of artifacts they controlled that were put into a graveyard this way.</t>
        </is>
      </c>
      <c r="E424" s="13" t="inlineStr">
        <is>
          <t>{X}{X}{R}</t>
        </is>
      </c>
      <c r="F424" s="13" t="inlineStr">
        <is>
          <t>Vermelho</t>
        </is>
      </c>
      <c r="G424" s="8" t="n">
        <v>0.05</v>
      </c>
      <c r="H424" s="13" t="inlineStr">
        <is>
          <t>Mirage (MIR)</t>
        </is>
      </c>
      <c r="I424" s="13" t="inlineStr">
        <is>
          <t>Não</t>
        </is>
      </c>
      <c r="J424" s="13" t="n">
        <v>1996</v>
      </c>
      <c r="L424" s="13" t="n">
        <v>1</v>
      </c>
      <c r="M424" s="8">
        <f>L424*G424</f>
        <v/>
      </c>
      <c r="P424" s="9" t="n"/>
    </row>
    <row r="425">
      <c r="A425" s="13" t="inlineStr">
        <is>
          <t>Bulette / Bulete</t>
        </is>
      </c>
      <c r="B425" s="13" t="inlineStr">
        <is>
          <t>Creature — Beast / Criatura — Besta</t>
        </is>
      </c>
      <c r="C425" s="13" t="inlineStr">
        <is>
          <t>Common / Comum</t>
        </is>
      </c>
      <c r="D425" s="13" t="inlineStr">
        <is>
          <t>At the beginning of your end step, if a creature died this turn, put a +1/+1 counter on Bulette. / No início de sua etapa final, se uma criatura tiver morrido neste turno, coloque um marcador +1/+1 em Bulete.</t>
        </is>
      </c>
      <c r="E425" s="13" t="inlineStr">
        <is>
          <t>{3}{G}</t>
        </is>
      </c>
      <c r="F425" s="13" t="inlineStr">
        <is>
          <t>Verde</t>
        </is>
      </c>
      <c r="G425" s="8" t="n">
        <v>0.06</v>
      </c>
      <c r="H425" s="13" t="inlineStr">
        <is>
          <t>Adventures in the Forgotten Realms (AFR)</t>
        </is>
      </c>
      <c r="I425" s="13" t="inlineStr">
        <is>
          <t>Não</t>
        </is>
      </c>
      <c r="J425" s="13" t="n">
        <v>2021</v>
      </c>
      <c r="K425" s="10" t="n">
        <v>46084</v>
      </c>
      <c r="L425" s="13" t="n">
        <v>1</v>
      </c>
      <c r="M425" s="8">
        <f>L425*G425</f>
        <v/>
      </c>
      <c r="P425" s="9" t="n"/>
    </row>
    <row r="426">
      <c r="A426" s="13" t="inlineStr">
        <is>
          <t>Bullseye, Death Dealer / Mercenário, Negociante da Morte</t>
        </is>
      </c>
      <c r="B426" s="13" t="inlineStr">
        <is>
          <t>Criatura Lendária — Humano Assassino Vilão</t>
        </is>
      </c>
      <c r="C426" s="13" t="inlineStr">
        <is>
          <t>Incomum</t>
        </is>
      </c>
      <c r="D426" s="13"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26" s="13" t="inlineStr">
        <is>
          <t>2{B/R}</t>
        </is>
      </c>
      <c r="F426" s="13" t="inlineStr">
        <is>
          <t>Multicolorido</t>
        </is>
      </c>
      <c r="G426" s="8" t="n">
        <v>1.86</v>
      </c>
      <c r="H426" s="13" t="inlineStr">
        <is>
          <t>Marvel</t>
        </is>
      </c>
      <c r="I426" s="13" t="inlineStr">
        <is>
          <t>Não</t>
        </is>
      </c>
      <c r="J426" s="13" t="n">
        <v>2026</v>
      </c>
      <c r="K426" s="10" t="n">
        <v>46083</v>
      </c>
      <c r="L426" s="13" t="n">
        <v>1</v>
      </c>
      <c r="M426" s="8">
        <f>L426*G426</f>
        <v/>
      </c>
      <c r="P426" s="9" t="n"/>
    </row>
    <row r="427">
      <c r="A427" s="13" t="inlineStr">
        <is>
          <t>Bumi Bash</t>
        </is>
      </c>
      <c r="B427" s="13" t="inlineStr">
        <is>
          <t>Sorcery</t>
        </is>
      </c>
      <c r="C427" s="13" t="inlineStr">
        <is>
          <t>Common / Comum</t>
        </is>
      </c>
      <c r="D427" s="13" t="inlineStr">
        <is>
          <t>Choose one — • Bumi Bash deals damage equal to the number of lands you control to target creature. • Destroy target land creature or nonbasic land.</t>
        </is>
      </c>
      <c r="E427" s="13" t="inlineStr">
        <is>
          <t>{3}{R}</t>
        </is>
      </c>
      <c r="F427" s="13" t="inlineStr">
        <is>
          <t>Vermelho</t>
        </is>
      </c>
      <c r="G427" s="8" t="n">
        <v>0.17</v>
      </c>
      <c r="H427" s="13" t="inlineStr">
        <is>
          <t>Avatar: The Last Airbender (TLA)</t>
        </is>
      </c>
      <c r="I427" s="13" t="inlineStr">
        <is>
          <t>Sim</t>
        </is>
      </c>
      <c r="J427" s="13" t="n">
        <v>2025</v>
      </c>
      <c r="L427" s="13" t="n">
        <v>1</v>
      </c>
      <c r="M427" s="8">
        <f>L427*G427</f>
        <v/>
      </c>
      <c r="P427" s="9" t="n"/>
    </row>
    <row r="428">
      <c r="A428" s="13" t="inlineStr">
        <is>
          <t>Bumi, King of Three Trials</t>
        </is>
      </c>
      <c r="B428" s="13" t="inlineStr">
        <is>
          <t>Legendary Creature — Human Noble Ally</t>
        </is>
      </c>
      <c r="C428" s="13" t="inlineStr">
        <is>
          <t>Uncommon / Incomum</t>
        </is>
      </c>
      <c r="D428" s="13"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428" s="13" t="inlineStr">
        <is>
          <t>{5}{G}</t>
        </is>
      </c>
      <c r="F428" s="13" t="inlineStr">
        <is>
          <t>Verde</t>
        </is>
      </c>
      <c r="G428" s="8" t="n">
        <v>0.2</v>
      </c>
      <c r="H428" s="13" t="inlineStr">
        <is>
          <t>Avatar: The Last Airbender (TLA)</t>
        </is>
      </c>
      <c r="I428" s="13" t="inlineStr">
        <is>
          <t>Não</t>
        </is>
      </c>
      <c r="J428" s="13" t="n">
        <v>2025</v>
      </c>
      <c r="K428" s="10" t="n">
        <v>46116</v>
      </c>
      <c r="L428" s="13" t="n">
        <v>1</v>
      </c>
      <c r="M428" s="8">
        <f>L428*G428</f>
        <v/>
      </c>
      <c r="P428" s="9" t="n"/>
    </row>
    <row r="429">
      <c r="A429" s="13" t="inlineStr">
        <is>
          <t>Burn the Accursed / Queimar os Amaldiçoados</t>
        </is>
      </c>
      <c r="B429" s="13" t="inlineStr">
        <is>
          <t>Instant / Mágica Instantânea</t>
        </is>
      </c>
      <c r="C429" s="13" t="inlineStr">
        <is>
          <t>Common / Comum</t>
        </is>
      </c>
      <c r="D429" s="13"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429" s="13" t="inlineStr">
        <is>
          <t>{4}{R}</t>
        </is>
      </c>
      <c r="F429" s="13" t="inlineStr">
        <is>
          <t>Vermelho</t>
        </is>
      </c>
      <c r="G429" s="8" t="n">
        <v>0.05</v>
      </c>
      <c r="H429" s="13" t="inlineStr">
        <is>
          <t>Innistrad: Midnight Hunt (MID)</t>
        </is>
      </c>
      <c r="I429" s="13" t="inlineStr">
        <is>
          <t>Não</t>
        </is>
      </c>
      <c r="J429" s="13" t="n">
        <v>2021</v>
      </c>
      <c r="L429" s="13" t="n">
        <v>2</v>
      </c>
      <c r="M429" s="8">
        <f>L429*G429</f>
        <v/>
      </c>
      <c r="P429" s="9" t="n"/>
    </row>
    <row r="430">
      <c r="A430" s="13" t="inlineStr">
        <is>
          <t>Burr Grafter / Enxerta-Buril</t>
        </is>
      </c>
      <c r="B430" s="13" t="inlineStr">
        <is>
          <t>Creature — Spirit / Criatura - Espírito</t>
        </is>
      </c>
      <c r="C430" s="13" t="inlineStr">
        <is>
          <t>Common / Comum</t>
        </is>
      </c>
      <c r="D430" s="13"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430" s="13" t="inlineStr">
        <is>
          <t>{3}{G}</t>
        </is>
      </c>
      <c r="F430" s="13" t="inlineStr">
        <is>
          <t>Verde</t>
        </is>
      </c>
      <c r="G430" s="8" t="n">
        <v>0.07000000000000001</v>
      </c>
      <c r="H430" s="13" t="inlineStr">
        <is>
          <t>Champions of Kamigawa (CHK)</t>
        </is>
      </c>
      <c r="I430" s="13" t="inlineStr">
        <is>
          <t>Não</t>
        </is>
      </c>
      <c r="J430" s="13" t="n">
        <v>2004</v>
      </c>
      <c r="K430" s="10" t="n">
        <v>46055</v>
      </c>
      <c r="L430" s="13" t="n">
        <v>1</v>
      </c>
      <c r="M430" s="8">
        <f>L430*G430</f>
        <v/>
      </c>
      <c r="P430" s="9" t="n"/>
    </row>
    <row r="431">
      <c r="A431" s="13" t="inlineStr">
        <is>
          <t>Burrog Banemaker / Criador de Maldições Burrog</t>
        </is>
      </c>
      <c r="B431" s="13" t="inlineStr">
        <is>
          <t>Creature — Frog Warlock / Criatura — Sapo Bruxo</t>
        </is>
      </c>
      <c r="C431" s="13" t="inlineStr">
        <is>
          <t>Common / Comum</t>
        </is>
      </c>
      <c r="D431" s="13" t="inlineStr">
        <is>
          <t>Deathtouch. {1}{B}: This creature gets +1/+1 until end of turn. / Toque mortífero. {1}{B}: Esta criatura recebe +1/+1 até o final do turno.</t>
        </is>
      </c>
      <c r="E431" s="13" t="inlineStr">
        <is>
          <t>{B}</t>
        </is>
      </c>
      <c r="F431" s="13" t="inlineStr">
        <is>
          <t>Preto</t>
        </is>
      </c>
      <c r="G431" s="8" t="n">
        <v>0.08</v>
      </c>
      <c r="H431" s="13" t="inlineStr">
        <is>
          <t>Shadows of Sothia (SOS)</t>
        </is>
      </c>
      <c r="I431" s="13" t="inlineStr">
        <is>
          <t>No</t>
        </is>
      </c>
      <c r="J431" s="13" t="n">
        <v>2026</v>
      </c>
      <c r="K431" s="10" t="n">
        <v>46023</v>
      </c>
      <c r="L431" s="13" t="n">
        <v>3</v>
      </c>
      <c r="M431" s="8">
        <f>L431*G431</f>
        <v/>
      </c>
      <c r="P431" s="9" t="n"/>
    </row>
    <row r="432">
      <c r="A432" s="13" t="inlineStr">
        <is>
          <t>Burrowing / Escavar</t>
        </is>
      </c>
      <c r="B432" s="13" t="inlineStr">
        <is>
          <t>Enchantment — Aura</t>
        </is>
      </c>
      <c r="C432" s="13" t="inlineStr">
        <is>
          <t>Uncommon / Incomum</t>
        </is>
      </c>
      <c r="D432" s="13" t="inlineStr">
        <is>
          <t>Enchant creature Enchanted creature has mountainwalk. (It can't be blocked as long as defending player controls a Mountain.)</t>
        </is>
      </c>
      <c r="E432" s="13" t="inlineStr">
        <is>
          <t>{R}</t>
        </is>
      </c>
      <c r="F432" s="13" t="inlineStr">
        <is>
          <t>Vermelho</t>
        </is>
      </c>
      <c r="G432" s="8" t="n">
        <v>0.18</v>
      </c>
      <c r="H432" s="13" t="inlineStr">
        <is>
          <t>Quarta Edição</t>
        </is>
      </c>
      <c r="I432" s="13" t="inlineStr">
        <is>
          <t>Não</t>
        </is>
      </c>
      <c r="J432" s="13" t="n">
        <v>1995</v>
      </c>
      <c r="L432" s="13" t="n">
        <v>1</v>
      </c>
      <c r="M432" s="8">
        <f>L432*G432</f>
        <v/>
      </c>
      <c r="P432" s="9" t="n"/>
    </row>
    <row r="433">
      <c r="A433" s="13" t="inlineStr">
        <is>
          <t>Burrowing / Escavar</t>
        </is>
      </c>
      <c r="B433" s="13" t="inlineStr">
        <is>
          <t>Enchantment — Aura</t>
        </is>
      </c>
      <c r="C433" s="13" t="inlineStr">
        <is>
          <t>Uncommon / Incomum</t>
        </is>
      </c>
      <c r="D433" s="13" t="inlineStr">
        <is>
          <t>Enchant creature Enchanted creature has mountainwalk. (It can't be blocked as long as defending player controls a Mountain.)</t>
        </is>
      </c>
      <c r="E433" s="13" t="inlineStr">
        <is>
          <t>{R}</t>
        </is>
      </c>
      <c r="F433" s="13" t="inlineStr">
        <is>
          <t>Vermelho</t>
        </is>
      </c>
      <c r="G433" s="8" t="n">
        <v>0.43</v>
      </c>
      <c r="H433" s="13" t="inlineStr">
        <is>
          <t>Quarta Edição (BB)</t>
        </is>
      </c>
      <c r="I433" s="13" t="inlineStr">
        <is>
          <t>Não</t>
        </is>
      </c>
      <c r="J433" s="13" t="n">
        <v>1995</v>
      </c>
      <c r="L433" s="13" t="n">
        <v>1</v>
      </c>
      <c r="M433" s="8">
        <f>L433*G433</f>
        <v/>
      </c>
      <c r="P433" s="9" t="n"/>
    </row>
    <row r="434">
      <c r="A434" s="13" t="inlineStr">
        <is>
          <t>Burst Lightning / Explodir em Raios</t>
        </is>
      </c>
      <c r="B434" s="13" t="inlineStr">
        <is>
          <t>Instant / Mágica Instantânea</t>
        </is>
      </c>
      <c r="C434" s="13" t="inlineStr">
        <is>
          <t>Common / Comum</t>
        </is>
      </c>
      <c r="D434" s="13"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434" s="13" t="inlineStr">
        <is>
          <t>{R}</t>
        </is>
      </c>
      <c r="F434" s="13" t="inlineStr">
        <is>
          <t>Vermelho</t>
        </is>
      </c>
      <c r="G434" s="8" t="n">
        <v>0.12</v>
      </c>
      <c r="H434" s="13" t="inlineStr">
        <is>
          <t>Foundations (FDN)</t>
        </is>
      </c>
      <c r="I434" s="13" t="inlineStr">
        <is>
          <t>Não</t>
        </is>
      </c>
      <c r="J434" s="13" t="n">
        <v>2024</v>
      </c>
      <c r="L434" s="13" t="n">
        <v>1</v>
      </c>
      <c r="M434" s="8">
        <f>L434*G434</f>
        <v/>
      </c>
      <c r="P434" s="9" t="n"/>
    </row>
    <row r="435">
      <c r="A435" s="13" t="inlineStr">
        <is>
          <t>Buzz Bots</t>
        </is>
      </c>
      <c r="B435" s="13" t="inlineStr">
        <is>
          <t>Artifact Creature — Robot Insect</t>
        </is>
      </c>
      <c r="C435" s="13" t="inlineStr">
        <is>
          <t>Common / Comum</t>
        </is>
      </c>
      <c r="D435" s="13" t="inlineStr">
        <is>
          <t>Flying, vigilance When this creature dies, draw a card.</t>
        </is>
      </c>
      <c r="E435" s="13" t="inlineStr">
        <is>
          <t>{1}{U}</t>
        </is>
      </c>
      <c r="F435" s="13" t="inlineStr">
        <is>
          <t>Azul</t>
        </is>
      </c>
      <c r="G435" s="8" t="n">
        <v>0.05</v>
      </c>
      <c r="H435" s="13" t="inlineStr">
        <is>
          <t>Teenage Mutant Ninja Turtles (TMT)</t>
        </is>
      </c>
      <c r="I435" s="13" t="inlineStr">
        <is>
          <t>Não</t>
        </is>
      </c>
      <c r="J435" s="13" t="n">
        <v>2026</v>
      </c>
      <c r="K435" s="10" t="n">
        <v>46023</v>
      </c>
      <c r="L435" s="13" t="n">
        <v>3</v>
      </c>
      <c r="M435" s="8">
        <f>L435*G435</f>
        <v/>
      </c>
      <c r="P435" s="9" t="n"/>
    </row>
    <row r="436">
      <c r="A436" s="13" t="inlineStr">
        <is>
          <t>Buzzard-Wasp Colony</t>
        </is>
      </c>
      <c r="B436" s="13" t="inlineStr">
        <is>
          <t>Creature — Bird Insect</t>
        </is>
      </c>
      <c r="C436" s="13" t="inlineStr">
        <is>
          <t>Uncommon / Incomum</t>
        </is>
      </c>
      <c r="D436" s="13" t="inlineStr">
        <is>
          <t>Flying When this creature enters, you may sacrifice an artifact or creature. If you do, draw a card. Whenever another creature you control dies, if it had counters on it, put its counters on this creature.</t>
        </is>
      </c>
      <c r="E436" s="13" t="inlineStr">
        <is>
          <t>{3}{B}</t>
        </is>
      </c>
      <c r="F436" s="13" t="inlineStr">
        <is>
          <t>Preto</t>
        </is>
      </c>
      <c r="G436" s="8" t="n">
        <v>0.13</v>
      </c>
      <c r="H436" s="13" t="inlineStr">
        <is>
          <t>Avatar: The Last Airbender (TLA)</t>
        </is>
      </c>
      <c r="I436" s="13" t="inlineStr">
        <is>
          <t>Não</t>
        </is>
      </c>
      <c r="J436" s="13" t="n">
        <v>2025</v>
      </c>
      <c r="K436" s="10" t="n">
        <v>46055</v>
      </c>
      <c r="L436" s="13" t="n">
        <v>1</v>
      </c>
      <c r="M436" s="8">
        <f>L436*G436</f>
        <v/>
      </c>
      <c r="P436" s="9" t="n"/>
    </row>
    <row r="437">
      <c r="A437" s="13" t="inlineStr">
        <is>
          <t>Caçador de Duas Cabeças / Two-Headed Hunter</t>
        </is>
      </c>
      <c r="B437" s="13" t="inlineStr">
        <is>
          <t>Criatura — Gigante / Creature — Giant</t>
        </is>
      </c>
      <c r="C437" s="13" t="inlineStr">
        <is>
          <t>Incomum / Uncommon</t>
        </is>
      </c>
      <c r="D437" s="13"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437" s="13" t="inlineStr">
        <is>
          <t>{4}{R} // {1}{R}</t>
        </is>
      </c>
      <c r="F437" s="13" t="inlineStr">
        <is>
          <t>Vermelho / Red</t>
        </is>
      </c>
      <c r="G437" s="8" t="n">
        <v>0.1</v>
      </c>
      <c r="H437" s="13" t="inlineStr">
        <is>
          <t>Wilds of Eldraine (WOE)</t>
        </is>
      </c>
      <c r="I437" s="13" t="inlineStr">
        <is>
          <t>Não</t>
        </is>
      </c>
      <c r="J437" s="13" t="n">
        <v>2023</v>
      </c>
      <c r="K437" s="10" t="n">
        <v>46117</v>
      </c>
      <c r="L437" s="13" t="n">
        <v>1</v>
      </c>
      <c r="M437" s="8">
        <f>L437*G437</f>
        <v/>
      </c>
      <c r="P437" s="9" t="n"/>
    </row>
    <row r="438">
      <c r="A438" s="13" t="inlineStr">
        <is>
          <t>Cackling Counterpart / Dupla de Bufões</t>
        </is>
      </c>
      <c r="B438" s="13" t="inlineStr">
        <is>
          <t>Instant / Mágica Instantânea</t>
        </is>
      </c>
      <c r="C438" s="13" t="inlineStr">
        <is>
          <t>Rare / Rara</t>
        </is>
      </c>
      <c r="D438" s="13"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438" s="13" t="inlineStr">
        <is>
          <t>{1}{U}{U}</t>
        </is>
      </c>
      <c r="F438" s="13" t="inlineStr">
        <is>
          <t>Azul</t>
        </is>
      </c>
      <c r="G438" s="8" t="n">
        <v>0.5</v>
      </c>
      <c r="H438" s="13" t="inlineStr">
        <is>
          <t>Innistrad (ISD)</t>
        </is>
      </c>
      <c r="I438" s="13" t="inlineStr">
        <is>
          <t>Não</t>
        </is>
      </c>
      <c r="J438" s="13" t="n">
        <v>2011</v>
      </c>
      <c r="L438" s="13" t="n">
        <v>1</v>
      </c>
      <c r="M438" s="8">
        <f>L438*G438</f>
        <v/>
      </c>
      <c r="P438" s="9" t="n"/>
    </row>
    <row r="439">
      <c r="A439" s="13" t="inlineStr">
        <is>
          <t>Cactuar / Cactuar</t>
        </is>
      </c>
      <c r="B439" s="13" t="inlineStr">
        <is>
          <t>Criatura — Planta</t>
        </is>
      </c>
      <c r="C439" s="13" t="inlineStr">
        <is>
          <t>Incomum</t>
        </is>
      </c>
      <c r="D439" s="13" t="inlineStr">
        <is>
          <t>Atropelar. No início de sua etapa final, se esta criatura não tiver entrado no campo de batalha neste turno, devolva-a para a mão de seu dono.</t>
        </is>
      </c>
      <c r="E439" s="13" t="inlineStr">
        <is>
          <t>{G}</t>
        </is>
      </c>
      <c r="F439" s="13" t="inlineStr">
        <is>
          <t>Verde</t>
        </is>
      </c>
      <c r="G439" s="8" t="n">
        <v>0.23</v>
      </c>
      <c r="H439" s="13" t="inlineStr">
        <is>
          <t>Final Fantasy</t>
        </is>
      </c>
      <c r="I439" s="13" t="inlineStr">
        <is>
          <t>Não</t>
        </is>
      </c>
      <c r="J439" s="13" t="n">
        <v>2025</v>
      </c>
      <c r="K439" s="10" t="n">
        <v>46084</v>
      </c>
      <c r="L439" s="13" t="n">
        <v>2</v>
      </c>
      <c r="M439" s="8">
        <f>L439*G439</f>
        <v/>
      </c>
      <c r="P439" s="9" t="n"/>
    </row>
    <row r="440">
      <c r="A440" s="13" t="inlineStr">
        <is>
          <t>Cactusfolk Sureshot / Tiro-certo Cactoide</t>
        </is>
      </c>
      <c r="B440" s="13" t="inlineStr">
        <is>
          <t>Creature — Plant Mercenary / Criatura — Planta Mercenário</t>
        </is>
      </c>
      <c r="C440" s="13" t="inlineStr">
        <is>
          <t>Uncommon / Incomum</t>
        </is>
      </c>
      <c r="D440" s="13"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440" s="13" t="inlineStr">
        <is>
          <t>{2}{R}{G}</t>
        </is>
      </c>
      <c r="F440" s="13" t="inlineStr">
        <is>
          <t>Verde, Vermelho</t>
        </is>
      </c>
      <c r="G440" s="8" t="n">
        <v>0.58</v>
      </c>
      <c r="H440" s="13" t="inlineStr">
        <is>
          <t>Outlaws of Thunder Junction (OTJ)</t>
        </is>
      </c>
      <c r="I440" s="13" t="inlineStr">
        <is>
          <t>Sim</t>
        </is>
      </c>
      <c r="J440" s="13" t="n">
        <v>2024</v>
      </c>
      <c r="K440" s="10" t="n">
        <v>46116</v>
      </c>
      <c r="L440" s="13" t="n">
        <v>1</v>
      </c>
      <c r="M440" s="8">
        <f>L440*G440</f>
        <v/>
      </c>
      <c r="P440" s="9" t="n"/>
    </row>
    <row r="441">
      <c r="A441" s="13" t="inlineStr">
        <is>
          <t>Cadaver Imp / Diabrete dos Cadáveres</t>
        </is>
      </c>
      <c r="B441" s="13" t="inlineStr">
        <is>
          <t>Creature — Imp / Criatura — Diabrete</t>
        </is>
      </c>
      <c r="C441" s="13" t="inlineStr">
        <is>
          <t>Common / Comum</t>
        </is>
      </c>
      <c r="D441" s="13" t="inlineStr">
        <is>
          <t>Flying When this creature enters, you may return target creature card from your graveyard to your hand. / Voar Quando Diabrete dos Cadáveres entra no campo de batalha, você pode devolver o card de criatura alvo de seu cemitério para a sua mão.</t>
        </is>
      </c>
      <c r="E441" s="13" t="inlineStr">
        <is>
          <t>{1}{B}{B}</t>
        </is>
      </c>
      <c r="F441" s="13" t="inlineStr">
        <is>
          <t>Preto</t>
        </is>
      </c>
      <c r="G441" s="8" t="n">
        <v>0.17</v>
      </c>
      <c r="H441" s="13" t="inlineStr">
        <is>
          <t>Commander Masters (CMM)</t>
        </is>
      </c>
      <c r="I441" s="13" t="inlineStr">
        <is>
          <t>Não</t>
        </is>
      </c>
      <c r="J441" s="13" t="n">
        <v>2023</v>
      </c>
      <c r="K441" s="10" t="n">
        <v>46023</v>
      </c>
      <c r="L441" s="13" t="n">
        <v>1</v>
      </c>
      <c r="M441" s="8">
        <f>L441*G441</f>
        <v/>
      </c>
      <c r="P441" s="9" t="n"/>
    </row>
    <row r="442">
      <c r="A442" s="13" t="inlineStr">
        <is>
          <t>Cage of Hands / Jaula de Mãos</t>
        </is>
      </c>
      <c r="B442" s="13" t="inlineStr">
        <is>
          <t>Enchantment — Aura / Encantamento — Aura</t>
        </is>
      </c>
      <c r="C442" s="13" t="inlineStr">
        <is>
          <t>Common / Comum</t>
        </is>
      </c>
      <c r="D442" s="13" t="inlineStr">
        <is>
          <t>Enchant creature Enchanted creature can't attack or block. {1}{W}: Return this Aura to its owner's hand. / Encantar criatura A criatura encantada não pode atacar nem bloquear. {1}{W}: Devolva Jaula de Mãos para a mão de seu dono.</t>
        </is>
      </c>
      <c r="E442" s="13" t="inlineStr">
        <is>
          <t>{2}{W}</t>
        </is>
      </c>
      <c r="F442" s="13" t="inlineStr">
        <is>
          <t>Branco</t>
        </is>
      </c>
      <c r="G442" s="8" t="n">
        <v>0.14</v>
      </c>
      <c r="H442" s="13" t="inlineStr">
        <is>
          <t>Jumpstart 2022 (J22)</t>
        </is>
      </c>
      <c r="I442" s="13" t="inlineStr">
        <is>
          <t>Não</t>
        </is>
      </c>
      <c r="J442" s="13" t="n">
        <v>2022</v>
      </c>
      <c r="L442" s="13" t="n">
        <v>1</v>
      </c>
      <c r="M442" s="8">
        <f>L442*G442</f>
        <v/>
      </c>
      <c r="P442" s="9" t="n"/>
    </row>
    <row r="443">
      <c r="A443" s="13" t="inlineStr">
        <is>
          <t>Call the Mountain Chocobo</t>
        </is>
      </c>
      <c r="B443" s="13" t="inlineStr">
        <is>
          <t>Sorcery</t>
        </is>
      </c>
      <c r="C443" s="13" t="inlineStr">
        <is>
          <t>Comum</t>
        </is>
      </c>
      <c r="D443" s="13"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443" s="13" t="inlineStr">
        <is>
          <t>3R</t>
        </is>
      </c>
      <c r="F443" s="13" t="inlineStr">
        <is>
          <t>Vermelha</t>
        </is>
      </c>
      <c r="G443" s="8" t="n">
        <v>0.05</v>
      </c>
      <c r="H443" s="13" t="inlineStr">
        <is>
          <t>Final Fantasy (FFVII)</t>
        </is>
      </c>
      <c r="I443" s="13" t="inlineStr">
        <is>
          <t>Sim</t>
        </is>
      </c>
      <c r="J443" s="13" t="n">
        <v>2025</v>
      </c>
      <c r="L443" s="13" t="n">
        <v>1</v>
      </c>
      <c r="M443" s="8">
        <f>L443*G443</f>
        <v/>
      </c>
      <c r="P443" s="9" t="n"/>
    </row>
    <row r="444">
      <c r="A444" s="13" t="inlineStr">
        <is>
          <t>Call the Mountain Chocobo</t>
        </is>
      </c>
      <c r="B444" s="13" t="inlineStr">
        <is>
          <t>Sorcery</t>
        </is>
      </c>
      <c r="C444" s="13" t="inlineStr">
        <is>
          <t>Comum</t>
        </is>
      </c>
      <c r="D444" s="13"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444" s="13" t="inlineStr">
        <is>
          <t>3R</t>
        </is>
      </c>
      <c r="F444" s="13" t="inlineStr">
        <is>
          <t>Vermelha</t>
        </is>
      </c>
      <c r="G444" s="8" t="n">
        <v>0.05</v>
      </c>
      <c r="H444" s="13" t="inlineStr">
        <is>
          <t>Final Fantasy (FFVII)</t>
        </is>
      </c>
      <c r="I444" s="13" t="inlineStr">
        <is>
          <t>Não</t>
        </is>
      </c>
      <c r="J444" s="13" t="n">
        <v>2025</v>
      </c>
      <c r="L444" s="13" t="n">
        <v>3</v>
      </c>
      <c r="M444" s="8">
        <f>L444*G444</f>
        <v/>
      </c>
      <c r="P444" s="9" t="n"/>
    </row>
    <row r="445">
      <c r="A445" s="13" t="inlineStr">
        <is>
          <t>Call to the Feast / Chamado ao Banquete</t>
        </is>
      </c>
      <c r="B445" s="13" t="inlineStr">
        <is>
          <t>Sorcery / Feitiço</t>
        </is>
      </c>
      <c r="C445" s="13" t="inlineStr">
        <is>
          <t>Common / Comum</t>
        </is>
      </c>
      <c r="D445" s="13" t="inlineStr">
        <is>
          <t>Create three 1/1 white Vampire creature tokens with lifelink. / Crie três fichas de criatura branca 1/1 do tipo Vampiro com vínculo com a vida.</t>
        </is>
      </c>
      <c r="E445" s="13" t="inlineStr">
        <is>
          <t>{2}{W}{B}</t>
        </is>
      </c>
      <c r="F445" s="13" t="inlineStr">
        <is>
          <t>Preto, Branco</t>
        </is>
      </c>
      <c r="G445" s="8" t="n">
        <v>0.25</v>
      </c>
      <c r="H445" s="13" t="inlineStr">
        <is>
          <t>Double Masters 2022 (2X2)</t>
        </is>
      </c>
      <c r="I445" s="13" t="inlineStr">
        <is>
          <t>Sim</t>
        </is>
      </c>
      <c r="J445" s="13" t="n">
        <v>2022</v>
      </c>
      <c r="L445" s="13" t="n">
        <v>2</v>
      </c>
      <c r="M445" s="8">
        <f>L445*G445</f>
        <v/>
      </c>
      <c r="P445" s="9" t="n"/>
    </row>
    <row r="446">
      <c r="A446" s="13" t="inlineStr">
        <is>
          <t>Callous Inspector</t>
        </is>
      </c>
      <c r="B446" s="13" t="inlineStr">
        <is>
          <t>Creature — Human Soldier</t>
        </is>
      </c>
      <c r="C446" s="13" t="inlineStr">
        <is>
          <t>Common / Comum</t>
        </is>
      </c>
      <c r="D446" s="13" t="inlineStr">
        <is>
          <t>Menace (This creature can't be blocked except by two or more creatures.) When this creature dies, it deals 1 damage to you. Create a Clue token. (It's an artifact with "{2}, Sacrifice this token: Draw a card.")</t>
        </is>
      </c>
      <c r="E446" s="13" t="inlineStr">
        <is>
          <t>{B}</t>
        </is>
      </c>
      <c r="F446" s="13" t="inlineStr">
        <is>
          <t>Preto</t>
        </is>
      </c>
      <c r="G446" s="8" t="n">
        <v>0.06</v>
      </c>
      <c r="H446" s="13" t="inlineStr">
        <is>
          <t>Avatar: The Last Airbender (TLA)</t>
        </is>
      </c>
      <c r="I446" s="13" t="inlineStr">
        <is>
          <t>Não</t>
        </is>
      </c>
      <c r="J446" s="13" t="n">
        <v>2025</v>
      </c>
      <c r="K446" s="10" t="n">
        <v>46023</v>
      </c>
      <c r="L446" s="13" t="n">
        <v>5</v>
      </c>
      <c r="M446" s="8">
        <f>L446*G446</f>
        <v/>
      </c>
      <c r="P446" s="9" t="n"/>
    </row>
    <row r="447">
      <c r="A447" s="13" t="inlineStr">
        <is>
          <t>Camaraderie / Camaradagem</t>
        </is>
      </c>
      <c r="B447" s="13" t="inlineStr">
        <is>
          <t>Sorcery / Feitiço</t>
        </is>
      </c>
      <c r="C447" s="13" t="inlineStr">
        <is>
          <t>Rare / Rara</t>
        </is>
      </c>
      <c r="D447" s="13"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447" s="13" t="inlineStr">
        <is>
          <t>{4}{G}{W}</t>
        </is>
      </c>
      <c r="F447" s="13" t="inlineStr">
        <is>
          <t>Verde, Branco</t>
        </is>
      </c>
      <c r="G447" s="8" t="n">
        <v>0.46</v>
      </c>
      <c r="H447" s="13" t="inlineStr">
        <is>
          <t>Guilds of Ravnica (GRN)</t>
        </is>
      </c>
      <c r="I447" s="13" t="inlineStr">
        <is>
          <t>Não</t>
        </is>
      </c>
      <c r="J447" s="13" t="n">
        <v>2018</v>
      </c>
      <c r="L447" s="13" t="n">
        <v>2</v>
      </c>
      <c r="M447" s="8">
        <f>L447*G447</f>
        <v/>
      </c>
      <c r="P447" s="9" t="n"/>
    </row>
    <row r="448">
      <c r="A448" s="13" t="inlineStr">
        <is>
          <t>Campfire / Fogueira</t>
        </is>
      </c>
      <c r="B448" s="13" t="inlineStr">
        <is>
          <t>Artifact / Artefato</t>
        </is>
      </c>
      <c r="C448" s="13" t="inlineStr">
        <is>
          <t>Common / Comum</t>
        </is>
      </c>
      <c r="D448" s="13"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448" s="13" t="inlineStr">
        <is>
          <t>{1}</t>
        </is>
      </c>
      <c r="F448" s="13" t="inlineStr">
        <is>
          <t>Incolor</t>
        </is>
      </c>
      <c r="G448" s="8" t="n">
        <v>13.99</v>
      </c>
      <c r="H448" s="13" t="inlineStr">
        <is>
          <t>Commander Masters (CMM)</t>
        </is>
      </c>
      <c r="I448" s="13" t="inlineStr">
        <is>
          <t>Não</t>
        </is>
      </c>
      <c r="J448" s="13" t="n">
        <v>2023</v>
      </c>
      <c r="L448" s="13" t="n">
        <v>1</v>
      </c>
      <c r="M448" s="8">
        <f>L448*G448</f>
        <v/>
      </c>
      <c r="N448" s="13" t="inlineStr">
        <is>
          <t>Pasta</t>
        </is>
      </c>
      <c r="P448" s="9" t="n"/>
    </row>
    <row r="449">
      <c r="A449" s="13" t="inlineStr">
        <is>
          <t>Campus Guide / Guia do Campus</t>
        </is>
      </c>
      <c r="B449" s="13" t="inlineStr">
        <is>
          <t>Artifact Creature — Golem / Criatura Artefato — Golem</t>
        </is>
      </c>
      <c r="C449" s="13" t="inlineStr">
        <is>
          <t>Common / Comum</t>
        </is>
      </c>
      <c r="D449" s="13"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449" s="13" t="inlineStr">
        <is>
          <t>{2}</t>
        </is>
      </c>
      <c r="F449" s="13" t="inlineStr">
        <is>
          <t>Incolor</t>
        </is>
      </c>
      <c r="G449" s="8" t="n">
        <v>0.05</v>
      </c>
      <c r="H449" s="13" t="inlineStr">
        <is>
          <t>Foundation (FDN)</t>
        </is>
      </c>
      <c r="I449" s="13" t="inlineStr">
        <is>
          <t>No</t>
        </is>
      </c>
      <c r="J449" s="13" t="n">
        <v>2024</v>
      </c>
      <c r="K449" s="10" t="n">
        <v>46024</v>
      </c>
      <c r="L449" s="13" t="n">
        <v>1</v>
      </c>
      <c r="M449" s="8">
        <f>L449*G449</f>
        <v/>
      </c>
      <c r="P449" s="9" t="n"/>
    </row>
    <row r="450">
      <c r="A450" s="13" t="inlineStr">
        <is>
          <t>Campus Guide / Guia do Campus</t>
        </is>
      </c>
      <c r="B450" s="13" t="inlineStr">
        <is>
          <t>Artifact Creature — Golem / Criatura Artefato — Golem</t>
        </is>
      </c>
      <c r="C450" s="13" t="inlineStr">
        <is>
          <t>Common / Comum</t>
        </is>
      </c>
      <c r="D450" s="13"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450" s="13" t="inlineStr">
        <is>
          <t>{2}</t>
        </is>
      </c>
      <c r="F450" s="13" t="inlineStr">
        <is>
          <t>Incolor</t>
        </is>
      </c>
      <c r="G450" s="8" t="n">
        <v>0.25</v>
      </c>
      <c r="H450" s="13" t="inlineStr">
        <is>
          <t>Foundation (FDN)</t>
        </is>
      </c>
      <c r="I450" s="13" t="inlineStr">
        <is>
          <t>Sim</t>
        </is>
      </c>
      <c r="J450" s="13" t="n">
        <v>2024</v>
      </c>
      <c r="K450" s="10" t="n">
        <v>46024</v>
      </c>
      <c r="L450" s="13" t="n">
        <v>1</v>
      </c>
      <c r="M450" s="8">
        <f>L450*G450</f>
        <v/>
      </c>
      <c r="P450" s="9" t="n"/>
    </row>
    <row r="451">
      <c r="A451" s="13" t="inlineStr">
        <is>
          <t>Canyon Crab / Caranguejo do Cânion</t>
        </is>
      </c>
      <c r="B451" s="13" t="inlineStr">
        <is>
          <t>Creature — Crab / Criatura — Caranguejo</t>
        </is>
      </c>
      <c r="C451" s="13" t="inlineStr">
        <is>
          <t>Uncommon / Incomum</t>
        </is>
      </c>
      <c r="D451" s="13"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451" s="13" t="inlineStr">
        <is>
          <t>{1}{U}</t>
        </is>
      </c>
      <c r="F451" s="13" t="inlineStr">
        <is>
          <t>Azul</t>
        </is>
      </c>
      <c r="G451" s="8" t="n">
        <v>0.09</v>
      </c>
      <c r="H451" s="13" t="inlineStr">
        <is>
          <t>Outlaws of Thunder Junction (OTJ)</t>
        </is>
      </c>
      <c r="I451" s="13" t="inlineStr">
        <is>
          <t>Não</t>
        </is>
      </c>
      <c r="J451" s="13" t="n">
        <v>2024</v>
      </c>
      <c r="K451" s="13" t="inlineStr">
        <is>
          <t>0/5</t>
        </is>
      </c>
      <c r="L451" s="13" t="n">
        <v>1</v>
      </c>
      <c r="M451" s="8">
        <f>L451*G451</f>
        <v/>
      </c>
      <c r="P451" s="9" t="n"/>
    </row>
    <row r="452">
      <c r="A452" s="13" t="inlineStr">
        <is>
          <t>Canyon Crawler</t>
        </is>
      </c>
      <c r="B452" s="13" t="inlineStr">
        <is>
          <t>Creature — Spider Beast</t>
        </is>
      </c>
      <c r="C452" s="13" t="inlineStr">
        <is>
          <t>Common / Comum</t>
        </is>
      </c>
      <c r="D452" s="13" t="inlineStr">
        <is>
          <t>Deathtouch When this creature enters, create a Food token. (It's an artifact with "{2}, {T}, Sacrifice this token: You gain 3 life.") Swampcycling {2} ({2}, Discard this card: Search your library for a Swamp card, reveal it, put it into your hand, then shuffle.)</t>
        </is>
      </c>
      <c r="E452" s="13" t="inlineStr">
        <is>
          <t>{4}{B}{B}</t>
        </is>
      </c>
      <c r="F452" s="13" t="inlineStr">
        <is>
          <t>Preto</t>
        </is>
      </c>
      <c r="G452" s="8" t="n">
        <v>0.04</v>
      </c>
      <c r="H452" s="13" t="inlineStr">
        <is>
          <t>Avatar: The Last Airbender (TLA)</t>
        </is>
      </c>
      <c r="I452" s="13" t="inlineStr">
        <is>
          <t>Não</t>
        </is>
      </c>
      <c r="J452" s="13" t="n">
        <v>2025</v>
      </c>
      <c r="K452" s="10" t="n">
        <v>46179</v>
      </c>
      <c r="L452" s="13" t="n">
        <v>3</v>
      </c>
      <c r="M452" s="8">
        <f>L452*G452</f>
        <v/>
      </c>
      <c r="P452" s="9" t="n"/>
    </row>
    <row r="453">
      <c r="A453" s="13" t="inlineStr">
        <is>
          <t>Canyon Wildcat / Lince do Desfiladeiro</t>
        </is>
      </c>
      <c r="B453" s="13" t="inlineStr">
        <is>
          <t>Creature — Cat / Criatura — Gato</t>
        </is>
      </c>
      <c r="C453" s="13" t="inlineStr">
        <is>
          <t>Common / Comum</t>
        </is>
      </c>
      <c r="D453" s="13" t="inlineStr">
        <is>
          <t>Mountainwalk (This creature can't be blocked as long as defending player controls a Mountain.) / Travessia de Montanha (Esta criatura não pode ser bloqueada desde que o jogador defensor controle uma Montanha.)</t>
        </is>
      </c>
      <c r="E453" s="13" t="inlineStr">
        <is>
          <t>{1}{R}</t>
        </is>
      </c>
      <c r="F453" s="13" t="inlineStr">
        <is>
          <t>Vermelho</t>
        </is>
      </c>
      <c r="G453" s="8" t="n">
        <v>0.08</v>
      </c>
      <c r="H453" s="13" t="inlineStr">
        <is>
          <t>Eighth Edition (8ED)</t>
        </is>
      </c>
      <c r="I453" s="13" t="inlineStr">
        <is>
          <t>Não</t>
        </is>
      </c>
      <c r="J453" s="13" t="n">
        <v>2003</v>
      </c>
      <c r="K453" s="10" t="n">
        <v>46024</v>
      </c>
      <c r="L453" s="13" t="n">
        <v>1</v>
      </c>
      <c r="M453" s="8">
        <f>L453*G453</f>
        <v/>
      </c>
      <c r="P453" s="9" t="n"/>
    </row>
    <row r="454">
      <c r="A454" s="13" t="inlineStr">
        <is>
          <t>Capashen Unicorn / Unicórnio de Capashen</t>
        </is>
      </c>
      <c r="B454" s="13" t="inlineStr">
        <is>
          <t>Creature — Unicorn / Criatura — Unicórnio</t>
        </is>
      </c>
      <c r="C454" s="13" t="inlineStr">
        <is>
          <t>Common / Comum</t>
        </is>
      </c>
      <c r="D454" s="13" t="inlineStr">
        <is>
          <t>{1}{W}, {T}, Sacrifice Capashen Unicorn: Destroy target artifact or enchantment. / {1}{W}, {T}, Sacrifique Unicórnio de Capashen: Destrua o artefato ou encantamento alvo.</t>
        </is>
      </c>
      <c r="E454" s="13" t="inlineStr">
        <is>
          <t>{1}{W}</t>
        </is>
      </c>
      <c r="F454" s="13" t="inlineStr">
        <is>
          <t>Branco</t>
        </is>
      </c>
      <c r="G454" s="8" t="n">
        <v>0.07000000000000001</v>
      </c>
      <c r="H454" s="13" t="inlineStr">
        <is>
          <t>Invasion (INV)</t>
        </is>
      </c>
      <c r="I454" s="13" t="inlineStr">
        <is>
          <t>No</t>
        </is>
      </c>
      <c r="J454" s="13" t="n">
        <v>2000</v>
      </c>
      <c r="K454" s="10" t="n">
        <v>46054</v>
      </c>
      <c r="L454" s="13" t="n">
        <v>1</v>
      </c>
      <c r="M454" s="8">
        <f>L454*G454</f>
        <v/>
      </c>
      <c r="P454" s="9" t="n"/>
    </row>
    <row r="455">
      <c r="A455" s="13" t="inlineStr">
        <is>
          <t>Capitã de Umbar / Captain of Umbar</t>
        </is>
      </c>
      <c r="B455" s="13" t="inlineStr">
        <is>
          <t>Criatura — Humano Pirata</t>
        </is>
      </c>
      <c r="C455" s="13" t="inlineStr">
        <is>
          <t>Comum</t>
        </is>
      </c>
      <c r="D455" s="13" t="inlineStr">
        <is>
          <t>{1}, {T}: Compre um card e depois descarte um card.</t>
        </is>
      </c>
      <c r="E455" s="13" t="inlineStr">
        <is>
          <t>2{U}</t>
        </is>
      </c>
      <c r="F455" s="13" t="inlineStr">
        <is>
          <t>Azul</t>
        </is>
      </c>
      <c r="G455" s="8" t="n">
        <v>0.08</v>
      </c>
      <c r="H455" s="13" t="inlineStr">
        <is>
          <t>The Lord of the Rings: Tales of Middle-earth (LTR)</t>
        </is>
      </c>
      <c r="I455" s="13" t="inlineStr">
        <is>
          <t>Não</t>
        </is>
      </c>
      <c r="J455" s="13" t="n">
        <v>2023</v>
      </c>
      <c r="K455" s="10" t="n">
        <v>46083</v>
      </c>
      <c r="L455" s="13" t="n">
        <v>2</v>
      </c>
      <c r="M455" s="8">
        <f>L455*G455</f>
        <v/>
      </c>
      <c r="P455" s="9" t="n"/>
    </row>
    <row r="456">
      <c r="A456" s="13" t="inlineStr">
        <is>
          <t>Captain Ripley Vance / Capitã Ripley Vance</t>
        </is>
      </c>
      <c r="B456" s="13" t="inlineStr">
        <is>
          <t>Legendary Creature — Human Pirate / Criatura Lendária — Humano Pirata</t>
        </is>
      </c>
      <c r="C456" s="13" t="inlineStr">
        <is>
          <t>Uncommon / Incomum</t>
        </is>
      </c>
      <c r="D456" s="13"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456" s="13" t="inlineStr">
        <is>
          <t>{2}{R}</t>
        </is>
      </c>
      <c r="F456" s="13" t="inlineStr">
        <is>
          <t>Vermelho</t>
        </is>
      </c>
      <c r="G456" s="8" t="n">
        <v>0.18</v>
      </c>
      <c r="H456" s="13" t="inlineStr">
        <is>
          <t>Commander Masters (CMM)</t>
        </is>
      </c>
      <c r="I456" s="13" t="inlineStr">
        <is>
          <t>Não</t>
        </is>
      </c>
      <c r="J456" s="13" t="n">
        <v>2023</v>
      </c>
      <c r="K456" s="10" t="n">
        <v>46056</v>
      </c>
      <c r="L456" s="13" t="n">
        <v>1</v>
      </c>
      <c r="M456" s="8">
        <f>L456*G456</f>
        <v/>
      </c>
      <c r="P456" s="9" t="n"/>
    </row>
    <row r="457">
      <c r="A457" s="13" t="inlineStr">
        <is>
          <t>Careful Cultivation / Cultivo Cuidadoso</t>
        </is>
      </c>
      <c r="B457" s="13" t="inlineStr">
        <is>
          <t>Enchantment — Aura / Encantamento — Aura</t>
        </is>
      </c>
      <c r="C457" s="13" t="inlineStr">
        <is>
          <t>Common / Comum</t>
        </is>
      </c>
      <c r="D457" s="13"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457" s="13" t="inlineStr">
        <is>
          <t>{2}{G}</t>
        </is>
      </c>
      <c r="F457" s="13" t="inlineStr">
        <is>
          <t>Verde</t>
        </is>
      </c>
      <c r="G457" s="8" t="n">
        <v>0.14</v>
      </c>
      <c r="H457" s="13" t="inlineStr">
        <is>
          <t>Kamigawa: Neon Dynasty (NEO)</t>
        </is>
      </c>
      <c r="I457" s="13" t="inlineStr">
        <is>
          <t>Não</t>
        </is>
      </c>
      <c r="J457" s="13" t="n">
        <v>2022</v>
      </c>
      <c r="L457" s="13" t="n">
        <v>1</v>
      </c>
      <c r="M457" s="8">
        <f>L457*G457</f>
        <v/>
      </c>
      <c r="P457" s="9" t="n"/>
    </row>
    <row r="458">
      <c r="A458" s="13" t="inlineStr">
        <is>
          <t>Carniçal Pardo / Grizzly Ghoul</t>
        </is>
      </c>
      <c r="B458" s="13" t="inlineStr">
        <is>
          <t>Criatura — Zumbi Urso</t>
        </is>
      </c>
      <c r="C458" s="13" t="inlineStr">
        <is>
          <t>Incomum</t>
        </is>
      </c>
      <c r="D458" s="13" t="inlineStr">
        <is>
          <t>Atropelar Carniçal Pardo entra no campo de batalha com um marcador +1/+1 para cada criatura que morreu neste turno.</t>
        </is>
      </c>
      <c r="E458" s="13" t="inlineStr">
        <is>
          <t>2{B}{G}</t>
        </is>
      </c>
      <c r="F458" s="13" t="inlineStr">
        <is>
          <t>Preto, Verde</t>
        </is>
      </c>
      <c r="G458" s="8" t="n">
        <v>0.09</v>
      </c>
      <c r="H458" s="13" t="inlineStr">
        <is>
          <t>Innistrad: Midnight Hunt (MID)</t>
        </is>
      </c>
      <c r="I458" s="13" t="inlineStr">
        <is>
          <t>Não</t>
        </is>
      </c>
      <c r="J458" s="13" t="n">
        <v>2021</v>
      </c>
      <c r="K458" s="10" t="n">
        <v>46085</v>
      </c>
      <c r="L458" s="13" t="n">
        <v>1</v>
      </c>
      <c r="M458" s="8">
        <f>L458*G458</f>
        <v/>
      </c>
      <c r="P458" s="9" t="n"/>
    </row>
    <row r="459">
      <c r="A459" s="13" t="inlineStr">
        <is>
          <t>Carnival // Carnage / Carnaval // Carnificina</t>
        </is>
      </c>
      <c r="B459" s="13" t="inlineStr">
        <is>
          <t>Instant // Sorcery / Mágica Instantânea</t>
        </is>
      </c>
      <c r="C459" s="13" t="inlineStr">
        <is>
          <t>Uncommon / Incomum</t>
        </is>
      </c>
      <c r="D459" s="13"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459" s="13" t="inlineStr">
        <is>
          <t>{B/R} // {2}{B}{R}</t>
        </is>
      </c>
      <c r="F459" s="13" t="inlineStr">
        <is>
          <t>Preto, Vermelho</t>
        </is>
      </c>
      <c r="G459" s="8" t="n">
        <v>0.13</v>
      </c>
      <c r="H459" s="13" t="inlineStr">
        <is>
          <t>Ravnica Allegiance (RNA)</t>
        </is>
      </c>
      <c r="I459" s="13" t="inlineStr">
        <is>
          <t>Não</t>
        </is>
      </c>
      <c r="J459" s="13" t="n">
        <v>2019</v>
      </c>
      <c r="L459" s="13" t="n">
        <v>4</v>
      </c>
      <c r="M459" s="8">
        <f>L459*G459</f>
        <v/>
      </c>
      <c r="P459" s="9" t="n"/>
    </row>
    <row r="460">
      <c r="A460" s="13" t="inlineStr">
        <is>
          <t>Carnival // Carnage / Carnaval // Carnificina</t>
        </is>
      </c>
      <c r="B460" s="13" t="inlineStr">
        <is>
          <t>Instant // Sorcery / Mágica Instantânea</t>
        </is>
      </c>
      <c r="C460" s="13" t="inlineStr">
        <is>
          <t>Uncommon / Incomum</t>
        </is>
      </c>
      <c r="D460" s="13"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460" s="13" t="inlineStr">
        <is>
          <t>{B/R} // {2}{B}{R}</t>
        </is>
      </c>
      <c r="F460" s="13" t="inlineStr">
        <is>
          <t>Preto, Vermelho</t>
        </is>
      </c>
      <c r="G460" s="8" t="n">
        <v>0.09</v>
      </c>
      <c r="H460" s="13" t="inlineStr">
        <is>
          <t>Ravnica Allegiance (RNA)</t>
        </is>
      </c>
      <c r="I460" s="13" t="inlineStr">
        <is>
          <t>Não</t>
        </is>
      </c>
      <c r="J460" s="13" t="n">
        <v>2019</v>
      </c>
      <c r="L460" s="13" t="n">
        <v>1</v>
      </c>
      <c r="M460" s="8">
        <f>L460*G460</f>
        <v/>
      </c>
      <c r="N460" s="13" t="inlineStr">
        <is>
          <t>Bulk Shopee</t>
        </is>
      </c>
      <c r="P460" s="9" t="n"/>
    </row>
    <row r="461">
      <c r="A461" s="13" t="inlineStr">
        <is>
          <t>Carrapicho, Estalajadeiro de Bree / Butterbur, Bree Innkeeper</t>
        </is>
      </c>
      <c r="B461" s="13" t="inlineStr">
        <is>
          <t>Criatura Lendária — Humano Plebeu</t>
        </is>
      </c>
      <c r="C461" s="13" t="inlineStr">
        <is>
          <t>Incomum</t>
        </is>
      </c>
      <c r="D461" s="13" t="inlineStr">
        <is>
          <t>No início de sua etapa final, se você não controlar uma Comida, crie uma ficha de Comida. (Ela é um artefato com "{2}, {T}, sacrifique este artefato: Você ganha 3 pontos de vida".)</t>
        </is>
      </c>
      <c r="E461" s="13" t="inlineStr">
        <is>
          <t>2{G}{W}</t>
        </is>
      </c>
      <c r="F461" s="13" t="inlineStr">
        <is>
          <t>Multicolorido (Verde e Branco)</t>
        </is>
      </c>
      <c r="G461" s="8" t="n">
        <v>0.08</v>
      </c>
      <c r="H461" s="13" t="inlineStr">
        <is>
          <t>The Lord of the Rings: Tales of Middle-earth (LTR)</t>
        </is>
      </c>
      <c r="I461" s="13" t="inlineStr">
        <is>
          <t>Não</t>
        </is>
      </c>
      <c r="J461" s="13" t="n">
        <v>2023</v>
      </c>
      <c r="K461" s="10" t="n">
        <v>46084</v>
      </c>
      <c r="L461" s="13" t="n">
        <v>2</v>
      </c>
      <c r="M461" s="8">
        <f>L461*G461</f>
        <v/>
      </c>
      <c r="P461" s="9" t="n"/>
    </row>
    <row r="462">
      <c r="A462" s="13" t="inlineStr">
        <is>
          <t>Carrion Ants / Formigas Carrieiras</t>
        </is>
      </c>
      <c r="B462" s="13" t="inlineStr">
        <is>
          <t>Creature — Insect</t>
        </is>
      </c>
      <c r="C462" s="13" t="inlineStr">
        <is>
          <t>Rare / Rara</t>
        </is>
      </c>
      <c r="D462" s="13" t="inlineStr">
        <is>
          <t>{1}: This creature gets +1/+1 until end of turn.</t>
        </is>
      </c>
      <c r="E462" s="13" t="inlineStr">
        <is>
          <t>{2}{B}{B}</t>
        </is>
      </c>
      <c r="F462" s="13" t="inlineStr">
        <is>
          <t>Preto</t>
        </is>
      </c>
      <c r="G462" s="8" t="n">
        <v>0.1</v>
      </c>
      <c r="H462" s="13" t="inlineStr">
        <is>
          <t>Quarta Edição</t>
        </is>
      </c>
      <c r="I462" s="13" t="inlineStr">
        <is>
          <t>Não</t>
        </is>
      </c>
      <c r="J462" s="13" t="n">
        <v>1995</v>
      </c>
      <c r="K462" s="13" t="inlineStr">
        <is>
          <t>0/1</t>
        </is>
      </c>
      <c r="L462" s="13" t="n">
        <v>2</v>
      </c>
      <c r="M462" s="8">
        <f>L462*G462</f>
        <v/>
      </c>
      <c r="P462" s="9" t="n"/>
    </row>
    <row r="463">
      <c r="A463" s="13" t="inlineStr">
        <is>
          <t>Carrion Ants / Formigas Carrieiras</t>
        </is>
      </c>
      <c r="B463" s="13" t="inlineStr">
        <is>
          <t>Creature — Insect</t>
        </is>
      </c>
      <c r="C463" s="13" t="inlineStr">
        <is>
          <t>Rare / Rara</t>
        </is>
      </c>
      <c r="D463" s="13" t="inlineStr">
        <is>
          <t>{1}: This creature gets +1/+1 until end of turn.</t>
        </is>
      </c>
      <c r="E463" s="13" t="inlineStr">
        <is>
          <t>{2}{B}{B}</t>
        </is>
      </c>
      <c r="F463" s="13" t="inlineStr">
        <is>
          <t>Preto</t>
        </is>
      </c>
      <c r="G463" s="8" t="n">
        <v>0.15</v>
      </c>
      <c r="H463" s="13" t="inlineStr">
        <is>
          <t>Quarta Edição (BB)</t>
        </is>
      </c>
      <c r="I463" s="13" t="inlineStr">
        <is>
          <t>Não</t>
        </is>
      </c>
      <c r="J463" s="13" t="n">
        <v>1995</v>
      </c>
      <c r="K463" s="13" t="inlineStr">
        <is>
          <t>0/1</t>
        </is>
      </c>
      <c r="L463" s="13" t="n">
        <v>1</v>
      </c>
      <c r="M463" s="8">
        <f>L463*G463</f>
        <v/>
      </c>
      <c r="P463" s="9" t="n"/>
    </row>
    <row r="464">
      <c r="A464" s="13" t="inlineStr">
        <is>
          <t>Carrion Beetles / Besouros Carrieiros</t>
        </is>
      </c>
      <c r="B464" s="13" t="inlineStr">
        <is>
          <t>Creature — Insect</t>
        </is>
      </c>
      <c r="C464" s="13" t="inlineStr">
        <is>
          <t>Common / Comum</t>
        </is>
      </c>
      <c r="D464" s="13" t="inlineStr">
        <is>
          <t>{2}{B}, {T}: Exile up to three target cards from a single graveyard.</t>
        </is>
      </c>
      <c r="E464" s="13" t="inlineStr">
        <is>
          <t>{B}</t>
        </is>
      </c>
      <c r="F464" s="13" t="inlineStr">
        <is>
          <t>Preto</t>
        </is>
      </c>
      <c r="G464" s="8" t="n">
        <v>0.1</v>
      </c>
      <c r="H464" s="13" t="inlineStr">
        <is>
          <t>Urza's Saga (USG)</t>
        </is>
      </c>
      <c r="I464" s="13" t="inlineStr">
        <is>
          <t>Não</t>
        </is>
      </c>
      <c r="J464" s="13" t="n">
        <v>1998</v>
      </c>
      <c r="K464" s="10" t="n">
        <v>46023</v>
      </c>
      <c r="L464" s="13" t="n">
        <v>1</v>
      </c>
      <c r="M464" s="8">
        <f>L464*G464</f>
        <v/>
      </c>
      <c r="P464" s="9" t="n"/>
    </row>
    <row r="465">
      <c r="A465" s="13" t="inlineStr">
        <is>
          <t>Carrion Crow / Corvo Carniceiro</t>
        </is>
      </c>
      <c r="B465" s="13" t="inlineStr">
        <is>
          <t>Creature — Zombie Bird / Criatura — Zumbi Ave</t>
        </is>
      </c>
      <c r="C465" s="13" t="inlineStr">
        <is>
          <t>Common / Comum</t>
        </is>
      </c>
      <c r="D465" s="13" t="inlineStr">
        <is>
          <t>Flying (This creature can't be blocked except by creatures with flying or reach.) This creature enters tapped. / Voar (Esta criatura só pode ser bloqueada por criaturas com voar ou alcance.) Corvo Carniceiro entra no campo de batalha virado.</t>
        </is>
      </c>
      <c r="E465" s="13" t="inlineStr">
        <is>
          <t>{2}{B}</t>
        </is>
      </c>
      <c r="F465" s="13" t="inlineStr">
        <is>
          <t>Preto</t>
        </is>
      </c>
      <c r="G465" s="8" t="n">
        <v>0.06</v>
      </c>
      <c r="H465" s="13" t="inlineStr">
        <is>
          <t>Magic 2015 (M15)</t>
        </is>
      </c>
      <c r="I465" s="13" t="inlineStr">
        <is>
          <t>Não</t>
        </is>
      </c>
      <c r="J465" s="13" t="n">
        <v>2014</v>
      </c>
      <c r="K465" s="10" t="n">
        <v>46055</v>
      </c>
      <c r="L465" s="13" t="n">
        <v>1</v>
      </c>
      <c r="M465" s="8">
        <f>L465*G465</f>
        <v/>
      </c>
      <c r="P465" s="9" t="n"/>
    </row>
    <row r="466">
      <c r="A466" s="13" t="inlineStr">
        <is>
          <t>Carrion Grub / Larva Necrófaga</t>
        </is>
      </c>
      <c r="B466" s="13" t="inlineStr">
        <is>
          <t>Creature — Insect / Criatura — Inseto</t>
        </is>
      </c>
      <c r="C466" s="13" t="inlineStr">
        <is>
          <t>Uncommon / Incomum</t>
        </is>
      </c>
      <c r="D466" s="13"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466" s="13" t="inlineStr">
        <is>
          <t>{3}{B}</t>
        </is>
      </c>
      <c r="F466" s="13" t="inlineStr">
        <is>
          <t>Preto</t>
        </is>
      </c>
      <c r="G466" s="8" t="n">
        <v>0.05</v>
      </c>
      <c r="H466" s="13" t="inlineStr">
        <is>
          <t>Core Set 2021 (M21)</t>
        </is>
      </c>
      <c r="I466" s="13" t="inlineStr">
        <is>
          <t>Não</t>
        </is>
      </c>
      <c r="J466" s="13" t="n">
        <v>2020</v>
      </c>
      <c r="K466" s="13" t="inlineStr">
        <is>
          <t>0/5</t>
        </is>
      </c>
      <c r="L466" s="13" t="n">
        <v>1</v>
      </c>
      <c r="M466" s="8">
        <f>L466*G466</f>
        <v/>
      </c>
      <c r="P466" s="9" t="n"/>
    </row>
    <row r="467">
      <c r="A467" s="13" t="inlineStr">
        <is>
          <t>Carrot Cake / Bolo de Cenoura</t>
        </is>
      </c>
      <c r="B467" s="13" t="inlineStr">
        <is>
          <t>Artifact — Food / Artefato — Comida</t>
        </is>
      </c>
      <c r="C467" s="13" t="inlineStr">
        <is>
          <t>Common / Comum</t>
        </is>
      </c>
      <c r="D467" s="13"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467" s="13" t="inlineStr">
        <is>
          <t>{1}{W}</t>
        </is>
      </c>
      <c r="F467" s="13" t="inlineStr">
        <is>
          <t>White / Branca</t>
        </is>
      </c>
      <c r="G467" s="8" t="n">
        <v>0.45</v>
      </c>
      <c r="H467" s="13" t="inlineStr">
        <is>
          <t>Bloomburrow (BLB)</t>
        </is>
      </c>
      <c r="I467" s="13" t="inlineStr">
        <is>
          <t>Sim</t>
        </is>
      </c>
      <c r="J467" s="13" t="n">
        <v>2024</v>
      </c>
      <c r="L467" s="13" t="n">
        <v>4</v>
      </c>
      <c r="M467" s="8">
        <f>L467*G467</f>
        <v/>
      </c>
      <c r="P467" s="9" t="n"/>
    </row>
    <row r="468">
      <c r="A468" s="13" t="inlineStr">
        <is>
          <t>Case File Auditor / Auditora de Arquivos de Caso</t>
        </is>
      </c>
      <c r="B468" s="13" t="inlineStr">
        <is>
          <t>Creature — Human Detective / Criatura — Humano Detetive</t>
        </is>
      </c>
      <c r="C468" s="13" t="inlineStr">
        <is>
          <t>Uncommon / Incomum</t>
        </is>
      </c>
      <c r="D468" s="13"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468" s="13" t="inlineStr">
        <is>
          <t>{2}{W}</t>
        </is>
      </c>
      <c r="F468" s="13" t="inlineStr">
        <is>
          <t>Branco</t>
        </is>
      </c>
      <c r="G468" s="8" t="n">
        <v>0.06</v>
      </c>
      <c r="H468" s="13" t="inlineStr">
        <is>
          <t>Murders at Karlov Manor (MKM)</t>
        </is>
      </c>
      <c r="I468" s="13" t="inlineStr">
        <is>
          <t>Não</t>
        </is>
      </c>
      <c r="J468" s="13" t="n">
        <v>2024</v>
      </c>
      <c r="K468" s="10" t="n">
        <v>46113</v>
      </c>
      <c r="L468" s="13" t="n">
        <v>1</v>
      </c>
      <c r="M468" s="8">
        <f>L468*G468</f>
        <v/>
      </c>
      <c r="P468" s="9" t="n"/>
    </row>
    <row r="469">
      <c r="A469" s="13" t="inlineStr">
        <is>
          <t>Case of the Gateway Express / Caso do Expresso do Portão</t>
        </is>
      </c>
      <c r="B469" s="13" t="inlineStr">
        <is>
          <t>Enchantment — Case / Encantamento — Caso</t>
        </is>
      </c>
      <c r="C469" s="13" t="inlineStr">
        <is>
          <t>Uncommon / Incomum</t>
        </is>
      </c>
      <c r="D469" s="13"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469" s="13" t="inlineStr">
        <is>
          <t>{1}{W}</t>
        </is>
      </c>
      <c r="F469" s="13" t="inlineStr">
        <is>
          <t>Branco</t>
        </is>
      </c>
      <c r="G469" s="8" t="n">
        <v>1.2</v>
      </c>
      <c r="H469" s="13" t="inlineStr">
        <is>
          <t>Murders at Karlov Manor (MKM)</t>
        </is>
      </c>
      <c r="I469" s="13" t="inlineStr">
        <is>
          <t>Sim</t>
        </is>
      </c>
      <c r="J469" s="13" t="n">
        <v>2024</v>
      </c>
      <c r="L469" s="13" t="n">
        <v>1</v>
      </c>
      <c r="M469" s="8">
        <f>L469*G469</f>
        <v/>
      </c>
      <c r="N469" s="13" t="inlineStr">
        <is>
          <t>Pasta</t>
        </is>
      </c>
      <c r="P469" s="9" t="n"/>
    </row>
    <row r="470">
      <c r="A470" s="13" t="inlineStr">
        <is>
          <t>Casey Jones, Jury-Rig Justiciar</t>
        </is>
      </c>
      <c r="B470" s="13" t="inlineStr">
        <is>
          <t>Legendary Creature — Human Berserker</t>
        </is>
      </c>
      <c r="C470" s="13" t="inlineStr">
        <is>
          <t>Uncommon / Incomum</t>
        </is>
      </c>
      <c r="D470" s="13" t="inlineStr">
        <is>
          <t>Haste When Casey Jones enters, look at the top four cards of your library. You may reveal an artifact card from among them and put it into your hand. Put the rest on the bottom of your library in a random order.</t>
        </is>
      </c>
      <c r="E470" s="13" t="inlineStr">
        <is>
          <t>{1}{R}</t>
        </is>
      </c>
      <c r="F470" s="13" t="inlineStr">
        <is>
          <t>Vermelho</t>
        </is>
      </c>
      <c r="G470" s="8" t="n">
        <v>0.1</v>
      </c>
      <c r="H470" s="13" t="inlineStr">
        <is>
          <t>Teenage Mutant Ninja Turtles (TMT)</t>
        </is>
      </c>
      <c r="I470" s="13" t="inlineStr">
        <is>
          <t>Não</t>
        </is>
      </c>
      <c r="J470" s="13" t="n">
        <v>2026</v>
      </c>
      <c r="K470" s="10" t="n">
        <v>46024</v>
      </c>
      <c r="L470" s="13" t="n">
        <v>2</v>
      </c>
      <c r="M470" s="8">
        <f>L470*G470</f>
        <v/>
      </c>
      <c r="P470" s="9" t="n"/>
    </row>
    <row r="471">
      <c r="A471" s="13" t="inlineStr">
        <is>
          <t>Cast into Darkness / Lançar na Escuridão</t>
        </is>
      </c>
      <c r="B471" s="13" t="inlineStr">
        <is>
          <t>Enchantment — Aura / Encantamento — Aura</t>
        </is>
      </c>
      <c r="C471" s="13" t="inlineStr">
        <is>
          <t>Common / Comum</t>
        </is>
      </c>
      <c r="D471" s="13" t="inlineStr">
        <is>
          <t>Enchant creature Enchanted creature gets -2/-0 and can't block. / Encantar criatura A criatura encantada recebe -2/-0 e não pode bloquear.</t>
        </is>
      </c>
      <c r="E471" s="13" t="inlineStr">
        <is>
          <t>{1}{B}</t>
        </is>
      </c>
      <c r="F471" s="13" t="inlineStr">
        <is>
          <t>Preto</t>
        </is>
      </c>
      <c r="G471" s="8" t="n">
        <v>0.03</v>
      </c>
      <c r="H471" s="13" t="inlineStr">
        <is>
          <t>Journey into Nyx (JOU)</t>
        </is>
      </c>
      <c r="I471" s="13" t="inlineStr">
        <is>
          <t>Não</t>
        </is>
      </c>
      <c r="J471" s="13" t="n">
        <v>2014</v>
      </c>
      <c r="L471" s="13" t="n">
        <v>3</v>
      </c>
      <c r="M471" s="8">
        <f>L471*G471</f>
        <v/>
      </c>
      <c r="P471" s="9" t="n"/>
    </row>
    <row r="472">
      <c r="A472" s="13" t="inlineStr">
        <is>
          <t>Cast Out / Degredar</t>
        </is>
      </c>
      <c r="B472" s="13" t="inlineStr">
        <is>
          <t>Enchantment / Encantamento</t>
        </is>
      </c>
      <c r="C472" s="13" t="inlineStr">
        <is>
          <t>Uncommon / Incomum</t>
        </is>
      </c>
      <c r="D472" s="13"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472" s="13" t="inlineStr">
        <is>
          <t>{3}{W}</t>
        </is>
      </c>
      <c r="F472" s="13" t="inlineStr">
        <is>
          <t>Branco</t>
        </is>
      </c>
      <c r="G472" s="8" t="n">
        <v>0.09</v>
      </c>
      <c r="H472" s="13" t="inlineStr">
        <is>
          <t>Amonkhet (AKH)</t>
        </is>
      </c>
      <c r="I472" s="13" t="inlineStr">
        <is>
          <t>Não</t>
        </is>
      </c>
      <c r="J472" s="13" t="n">
        <v>2017</v>
      </c>
      <c r="L472" s="13" t="n">
        <v>1</v>
      </c>
      <c r="M472" s="8">
        <f>L472*G472</f>
        <v/>
      </c>
      <c r="P472" s="9" t="n"/>
    </row>
    <row r="473">
      <c r="A473" s="13" t="inlineStr">
        <is>
          <t>Castelo / Castle</t>
        </is>
      </c>
      <c r="B473" s="13" t="inlineStr">
        <is>
          <t>Encantamento</t>
        </is>
      </c>
      <c r="C473" s="13" t="inlineStr">
        <is>
          <t>Incomum</t>
        </is>
      </c>
      <c r="D473" s="13" t="inlineStr">
        <is>
          <t>As criaturas desviradas sob seu controle ganham +0/+2 quando não estiverem atacando.</t>
        </is>
      </c>
      <c r="E473" s="13" t="inlineStr">
        <is>
          <t>{3}{W}</t>
        </is>
      </c>
      <c r="F473" s="13" t="inlineStr">
        <is>
          <t>Branco</t>
        </is>
      </c>
      <c r="G473" s="8" t="n">
        <v>0.43</v>
      </c>
      <c r="H473" s="13" t="inlineStr">
        <is>
          <t>Fourth Edition (4ED)</t>
        </is>
      </c>
      <c r="I473" s="13" t="inlineStr">
        <is>
          <t>Não</t>
        </is>
      </c>
      <c r="J473" s="13" t="n">
        <v>1995</v>
      </c>
      <c r="L473" s="13" t="n">
        <v>1</v>
      </c>
      <c r="M473" s="8">
        <f>L473*G473</f>
        <v/>
      </c>
      <c r="P473" s="9" t="n"/>
    </row>
    <row r="474">
      <c r="A474" s="13" t="inlineStr">
        <is>
          <t>Castelo / Castle</t>
        </is>
      </c>
      <c r="B474" s="13" t="inlineStr">
        <is>
          <t>Encantamento</t>
        </is>
      </c>
      <c r="C474" s="13" t="inlineStr">
        <is>
          <t>Incomum</t>
        </is>
      </c>
      <c r="D474" s="13" t="inlineStr">
        <is>
          <t>As criaturas desviradas sob seu controle ganham +0/+2 quando não estiverem atacando.</t>
        </is>
      </c>
      <c r="E474" s="13" t="inlineStr">
        <is>
          <t>{3}{W}</t>
        </is>
      </c>
      <c r="F474" s="13" t="inlineStr">
        <is>
          <t>Branco</t>
        </is>
      </c>
      <c r="G474" s="8" t="n">
        <v>0.17</v>
      </c>
      <c r="H474" s="13" t="inlineStr">
        <is>
          <t>Fourth Edition (4ED)</t>
        </is>
      </c>
      <c r="I474" s="13" t="inlineStr">
        <is>
          <t>Não</t>
        </is>
      </c>
      <c r="J474" s="13" t="n">
        <v>1999</v>
      </c>
      <c r="L474" s="13" t="n">
        <v>1</v>
      </c>
      <c r="M474" s="8">
        <f>L474*G474</f>
        <v/>
      </c>
      <c r="P474" s="9" t="n"/>
    </row>
    <row r="475">
      <c r="A475" s="13" t="inlineStr">
        <is>
          <t>Castigate / Castigar</t>
        </is>
      </c>
      <c r="B475" s="13" t="inlineStr">
        <is>
          <t>Sorcery / Feitiço</t>
        </is>
      </c>
      <c r="C475" s="13" t="inlineStr">
        <is>
          <t>Rare / Rara</t>
        </is>
      </c>
      <c r="D475" s="13" t="inlineStr">
        <is>
          <t>Target opponent reveals their hand. You choose a nonland card from it and exile that card. / O oponente alvo revela sua própria mão. Escolha um card que não seja um terreno. Remova de jogo aquele card.</t>
        </is>
      </c>
      <c r="E475" s="13" t="inlineStr">
        <is>
          <t>{W}{B}</t>
        </is>
      </c>
      <c r="F475" s="13" t="inlineStr">
        <is>
          <t>Preto, Branco</t>
        </is>
      </c>
      <c r="G475" s="8" t="n">
        <v>0.21</v>
      </c>
      <c r="H475" s="13" t="inlineStr">
        <is>
          <t>Arena League 2006 (PAL06)</t>
        </is>
      </c>
      <c r="I475" s="13" t="inlineStr">
        <is>
          <t>Sim</t>
        </is>
      </c>
      <c r="J475" s="13" t="n">
        <v>2006</v>
      </c>
      <c r="L475" s="13" t="n">
        <v>4</v>
      </c>
      <c r="M475" s="8">
        <f>L475*G475</f>
        <v/>
      </c>
      <c r="P475" s="9" t="n"/>
    </row>
    <row r="476">
      <c r="A476" s="13" t="inlineStr">
        <is>
          <t>Casting of Bones / Osteomancia</t>
        </is>
      </c>
      <c r="B476" s="13" t="inlineStr">
        <is>
          <t>Enchantment — Aura</t>
        </is>
      </c>
      <c r="C476" s="13" t="inlineStr">
        <is>
          <t>Common / Comum</t>
        </is>
      </c>
      <c r="D476" s="13" t="inlineStr">
        <is>
          <t>Enchant creature When enchanted creature dies, draw three cards, then discard one of them.</t>
        </is>
      </c>
      <c r="E476" s="13" t="inlineStr">
        <is>
          <t>{2}{B}</t>
        </is>
      </c>
      <c r="F476" s="13" t="inlineStr">
        <is>
          <t>Preto</t>
        </is>
      </c>
      <c r="G476" s="8" t="n">
        <v>0.1</v>
      </c>
      <c r="H476" s="13" t="inlineStr">
        <is>
          <t>Alliances (ALL)</t>
        </is>
      </c>
      <c r="I476" s="13" t="inlineStr">
        <is>
          <t>Não</t>
        </is>
      </c>
      <c r="J476" s="13" t="n">
        <v>1996</v>
      </c>
      <c r="L476" s="13" t="n">
        <v>1</v>
      </c>
      <c r="M476" s="8">
        <f>L476*G476</f>
        <v/>
      </c>
      <c r="P476" s="9" t="n"/>
    </row>
    <row r="477">
      <c r="A477" s="13" t="inlineStr">
        <is>
          <t>Cat-Owl</t>
        </is>
      </c>
      <c r="B477" s="13" t="inlineStr">
        <is>
          <t>Creature — Cat Bird</t>
        </is>
      </c>
      <c r="C477" s="13" t="inlineStr">
        <is>
          <t>Common / Comum</t>
        </is>
      </c>
      <c r="D477" s="13" t="inlineStr">
        <is>
          <t>Flying Whenever this creature attacks, untap target artifact or creature.</t>
        </is>
      </c>
      <c r="E477" s="13" t="inlineStr">
        <is>
          <t>{3}{W/U}</t>
        </is>
      </c>
      <c r="F477" s="13" t="inlineStr">
        <is>
          <t>Azul, Branco</t>
        </is>
      </c>
      <c r="G477" s="8" t="n">
        <v>0.05</v>
      </c>
      <c r="H477" s="13" t="inlineStr">
        <is>
          <t>Avatar: The Last Airbender (TLA)</t>
        </is>
      </c>
      <c r="I477" s="13" t="inlineStr">
        <is>
          <t>Não</t>
        </is>
      </c>
      <c r="J477" s="13" t="n">
        <v>2025</v>
      </c>
      <c r="K477" s="10" t="n">
        <v>46084</v>
      </c>
      <c r="L477" s="13" t="n">
        <v>1</v>
      </c>
      <c r="M477" s="8">
        <f>L477*G477</f>
        <v/>
      </c>
      <c r="P477" s="9" t="n"/>
    </row>
    <row r="478">
      <c r="A478" s="13" t="inlineStr">
        <is>
          <t>Catacomb Slug / Lesma de Catacumba</t>
        </is>
      </c>
      <c r="B478" s="13" t="inlineStr">
        <is>
          <t>Creature — Slug / Criatura — Lesma</t>
        </is>
      </c>
      <c r="C478" s="13" t="inlineStr">
        <is>
          <t>Common / Comum</t>
        </is>
      </c>
      <c r="E478" s="13" t="inlineStr">
        <is>
          <t>{4}{B}</t>
        </is>
      </c>
      <c r="F478" s="13" t="inlineStr">
        <is>
          <t>Preto</t>
        </is>
      </c>
      <c r="G478" s="8" t="n">
        <v>0.05</v>
      </c>
      <c r="H478" s="13" t="inlineStr">
        <is>
          <t>Return to Ravnica (RTR)</t>
        </is>
      </c>
      <c r="I478" s="13" t="inlineStr">
        <is>
          <t>Não</t>
        </is>
      </c>
      <c r="J478" s="13" t="n">
        <v>2012</v>
      </c>
      <c r="K478" s="10" t="n">
        <v>46175</v>
      </c>
      <c r="L478" s="13" t="n">
        <v>1</v>
      </c>
      <c r="M478" s="8">
        <f>L478*G478</f>
        <v/>
      </c>
      <c r="P478" s="9" t="n"/>
    </row>
    <row r="479">
      <c r="A479" s="13" t="inlineStr">
        <is>
          <t>Cautious Survivor</t>
        </is>
      </c>
      <c r="B479" s="13" t="inlineStr">
        <is>
          <t>Creature — Elf Survivor</t>
        </is>
      </c>
      <c r="C479" s="13" t="inlineStr">
        <is>
          <t>Common / Comum</t>
        </is>
      </c>
      <c r="D479" s="13" t="inlineStr">
        <is>
          <t>Survival — At the beginning of your second main phase, if this creature is tapped, you gain 2 life.</t>
        </is>
      </c>
      <c r="E479" s="13" t="inlineStr">
        <is>
          <t>{3}{G}</t>
        </is>
      </c>
      <c r="F479" s="13" t="inlineStr">
        <is>
          <t>Verde</t>
        </is>
      </c>
      <c r="G479" s="8" t="n">
        <v>0.05</v>
      </c>
      <c r="H479" s="13" t="inlineStr">
        <is>
          <t>Duskmourn: House of Horror (DSK)</t>
        </is>
      </c>
      <c r="I479" s="13" t="inlineStr">
        <is>
          <t>Não</t>
        </is>
      </c>
      <c r="J479" s="13" t="n">
        <v>2024</v>
      </c>
      <c r="K479" s="10" t="n">
        <v>46116</v>
      </c>
      <c r="L479" s="13" t="n">
        <v>1</v>
      </c>
      <c r="M479" s="8">
        <f>L479*G479</f>
        <v/>
      </c>
      <c r="P479" s="9" t="n"/>
    </row>
    <row r="480">
      <c r="A480" s="13" t="inlineStr">
        <is>
          <t>Cavalcade of Calamity / Parada da Calamidade</t>
        </is>
      </c>
      <c r="B480" s="13" t="inlineStr">
        <is>
          <t>Enchantment / Encantamento</t>
        </is>
      </c>
      <c r="C480" s="13" t="inlineStr">
        <is>
          <t>Uncommon / Incomum</t>
        </is>
      </c>
      <c r="D480" s="13"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480" s="13" t="inlineStr">
        <is>
          <t>{1}{R}</t>
        </is>
      </c>
      <c r="F480" s="13" t="inlineStr">
        <is>
          <t>Vermelho</t>
        </is>
      </c>
      <c r="G480" s="8" t="n">
        <v>0.13</v>
      </c>
      <c r="H480" s="13" t="inlineStr">
        <is>
          <t>Ravnica Allegiance (RNA)</t>
        </is>
      </c>
      <c r="I480" s="13" t="inlineStr">
        <is>
          <t>Não</t>
        </is>
      </c>
      <c r="J480" s="13" t="n">
        <v>2019</v>
      </c>
      <c r="L480" s="13" t="n">
        <v>1</v>
      </c>
      <c r="M480" s="8">
        <f>L480*G480</f>
        <v/>
      </c>
      <c r="P480" s="9" t="n"/>
    </row>
    <row r="481">
      <c r="A481" s="13" t="inlineStr">
        <is>
          <t>Cavaleiros de Dol Amroth / Knights of Dol Amroth</t>
        </is>
      </c>
      <c r="B481" s="13" t="inlineStr">
        <is>
          <t>Criatura — Humano Cavaleiro</t>
        </is>
      </c>
      <c r="C481" s="13" t="inlineStr">
        <is>
          <t>Comum</t>
        </is>
      </c>
      <c r="D481" s="13" t="inlineStr">
        <is>
          <t>Toda vez que você comprar seu segundo card a cada turno, coloque um marcador +1/+1 em Cavaleiros de Dol Amroth.</t>
        </is>
      </c>
      <c r="E481" s="13" t="inlineStr">
        <is>
          <t>3{U}</t>
        </is>
      </c>
      <c r="F481" s="13" t="inlineStr">
        <is>
          <t>Azul</t>
        </is>
      </c>
      <c r="G481" s="8" t="n">
        <v>0.14</v>
      </c>
      <c r="H481" s="13" t="inlineStr">
        <is>
          <t>The Lord of the Rings: Tales of Middle-earth (LTR)</t>
        </is>
      </c>
      <c r="I481" s="13" t="inlineStr">
        <is>
          <t>Não</t>
        </is>
      </c>
      <c r="J481" s="13" t="n">
        <v>2023</v>
      </c>
      <c r="K481" s="10" t="n">
        <v>46084</v>
      </c>
      <c r="L481" s="13" t="n">
        <v>1</v>
      </c>
      <c r="M481" s="8">
        <f>L481*G481</f>
        <v/>
      </c>
      <c r="P481" s="9" t="n"/>
    </row>
    <row r="482">
      <c r="A482" s="13" t="inlineStr">
        <is>
          <t>Cavalry Drillmaster / Mestre de Exercícios da Cavalaria</t>
        </is>
      </c>
      <c r="B482" s="13" t="inlineStr">
        <is>
          <t>Creature — Human Knight / Criatura — Humano Cavaleiro</t>
        </is>
      </c>
      <c r="C482" s="13" t="inlineStr">
        <is>
          <t>Common / Comum</t>
        </is>
      </c>
      <c r="D482" s="13"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482" s="13" t="inlineStr">
        <is>
          <t>{1}{W}</t>
        </is>
      </c>
      <c r="F482" s="13" t="inlineStr">
        <is>
          <t>Branco</t>
        </is>
      </c>
      <c r="G482" s="8" t="n">
        <v>0.1</v>
      </c>
      <c r="H482" s="13" t="inlineStr">
        <is>
          <t>Jumpstart 2022 (J22)</t>
        </is>
      </c>
      <c r="I482" s="13" t="inlineStr">
        <is>
          <t>Não</t>
        </is>
      </c>
      <c r="J482" s="13" t="n">
        <v>2022</v>
      </c>
      <c r="K482" s="10" t="n">
        <v>46024</v>
      </c>
      <c r="L482" s="13" t="n">
        <v>1</v>
      </c>
      <c r="M482" s="8">
        <f>L482*G482</f>
        <v/>
      </c>
      <c r="P482" s="9" t="n"/>
    </row>
    <row r="483">
      <c r="A483" s="13" t="inlineStr">
        <is>
          <t>Cave People / Povo da Caverna</t>
        </is>
      </c>
      <c r="B483" s="13" t="inlineStr">
        <is>
          <t>Creature — Human</t>
        </is>
      </c>
      <c r="C483" s="13" t="inlineStr">
        <is>
          <t>Uncommon / Incomum</t>
        </is>
      </c>
      <c r="D483" s="13" t="inlineStr">
        <is>
          <t>Whenever this creature attacks, it gets +1/-2 until end of turn. {1}{R}{R}, {T}: Target creature gains mountainwalk until end of turn. (It can't be blocked as long as defending player controls a Mountain.)</t>
        </is>
      </c>
      <c r="E483" s="13" t="inlineStr">
        <is>
          <t>{1}{R}{R}</t>
        </is>
      </c>
      <c r="F483" s="13" t="inlineStr">
        <is>
          <t>Vermelho</t>
        </is>
      </c>
      <c r="G483" s="8" t="n">
        <v>0.1</v>
      </c>
      <c r="H483" s="13" t="inlineStr">
        <is>
          <t>Fourth Edition</t>
        </is>
      </c>
      <c r="I483" s="13" t="inlineStr">
        <is>
          <t>Não</t>
        </is>
      </c>
      <c r="J483" s="13" t="n">
        <v>1995</v>
      </c>
      <c r="K483" s="10" t="n">
        <v>46113</v>
      </c>
      <c r="L483" s="13" t="n">
        <v>1</v>
      </c>
      <c r="M483" s="8">
        <f>L483*G483</f>
        <v/>
      </c>
      <c r="P483" s="9" t="n"/>
    </row>
    <row r="484">
      <c r="A484" s="13" t="inlineStr">
        <is>
          <t>Cave People / Povo da Caverna</t>
        </is>
      </c>
      <c r="B484" s="13" t="inlineStr">
        <is>
          <t>Creature — Human</t>
        </is>
      </c>
      <c r="C484" s="13" t="inlineStr">
        <is>
          <t>Uncommon / Incomum</t>
        </is>
      </c>
      <c r="D484" s="13" t="inlineStr">
        <is>
          <t>Whenever this creature attacks, it gets +1/-2 until end of turn. {1}{R}{R}, {T}: Target creature gains mountainwalk until end of turn. (It can't be blocked as long as defending player controls a Mountain.)</t>
        </is>
      </c>
      <c r="E484" s="13" t="inlineStr">
        <is>
          <t>{1}{R}{R}</t>
        </is>
      </c>
      <c r="F484" s="13" t="inlineStr">
        <is>
          <t>Vermelho</t>
        </is>
      </c>
      <c r="G484" s="8" t="n">
        <v>0.2</v>
      </c>
      <c r="H484" s="13" t="inlineStr">
        <is>
          <t>Fourth Edition (BB)</t>
        </is>
      </c>
      <c r="I484" s="13" t="inlineStr">
        <is>
          <t>Não</t>
        </is>
      </c>
      <c r="J484" s="13" t="n">
        <v>1995</v>
      </c>
      <c r="K484" s="10" t="n">
        <v>46113</v>
      </c>
      <c r="L484" s="13" t="n">
        <v>2</v>
      </c>
      <c r="M484" s="8">
        <f>L484*G484</f>
        <v/>
      </c>
      <c r="P484" s="9" t="n"/>
    </row>
    <row r="485">
      <c r="A485" s="13" t="inlineStr">
        <is>
          <t>Cease-Fire / Cessar-Fogo</t>
        </is>
      </c>
      <c r="B485" s="13" t="inlineStr">
        <is>
          <t>Instant / Mágica Instantânea</t>
        </is>
      </c>
      <c r="C485" s="13" t="inlineStr">
        <is>
          <t>Common / Comum</t>
        </is>
      </c>
      <c r="D485" s="13" t="inlineStr">
        <is>
          <t>Target player can't cast creature spells this turn. Draw a card. / O jogador alvo não pode baixar mágicas de criatura neste turno. Compre um card.</t>
        </is>
      </c>
      <c r="E485" s="13" t="inlineStr">
        <is>
          <t>{2}{W}</t>
        </is>
      </c>
      <c r="F485" s="13" t="inlineStr">
        <is>
          <t>Branco</t>
        </is>
      </c>
      <c r="G485" s="8" t="n">
        <v>0.15</v>
      </c>
      <c r="H485" s="13" t="inlineStr">
        <is>
          <t>Odyssey (ODY)</t>
        </is>
      </c>
      <c r="I485" s="13" t="inlineStr">
        <is>
          <t>Não</t>
        </is>
      </c>
      <c r="J485" s="13" t="n">
        <v>2001</v>
      </c>
      <c r="L485" s="13" t="n">
        <v>4</v>
      </c>
      <c r="M485" s="8">
        <f>L485*G485</f>
        <v/>
      </c>
      <c r="P485" s="9" t="n"/>
    </row>
    <row r="486">
      <c r="A486" s="13" t="inlineStr">
        <is>
          <t>Celeborn, o Sábio / Celeborn the Wise</t>
        </is>
      </c>
      <c r="B486" s="13" t="inlineStr">
        <is>
          <t>Criatura Lendária — Elfo Nobre</t>
        </is>
      </c>
      <c r="C486" s="13" t="inlineStr">
        <is>
          <t>Incomum</t>
        </is>
      </c>
      <c r="D486" s="13"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486" s="13" t="inlineStr">
        <is>
          <t>1{G}</t>
        </is>
      </c>
      <c r="F486" s="13" t="inlineStr">
        <is>
          <t>Verde</t>
        </is>
      </c>
      <c r="G486" s="8" t="n">
        <v>0.2</v>
      </c>
      <c r="H486" s="13" t="inlineStr">
        <is>
          <t>The Lord of the Rings: Tales of Middle-earth (LTR)</t>
        </is>
      </c>
      <c r="I486" s="13" t="inlineStr">
        <is>
          <t>Não</t>
        </is>
      </c>
      <c r="J486" s="13" t="n">
        <v>2023</v>
      </c>
      <c r="K486" s="10" t="n">
        <v>46084</v>
      </c>
      <c r="L486" s="13" t="n">
        <v>2</v>
      </c>
      <c r="M486" s="8">
        <f>L486*G486</f>
        <v/>
      </c>
      <c r="P486" s="9" t="n"/>
    </row>
    <row r="487">
      <c r="A487" s="13" t="inlineStr">
        <is>
          <t>Celestial Flare / Clarão Celestial</t>
        </is>
      </c>
      <c r="B487" s="13" t="inlineStr">
        <is>
          <t>Instant / Mágica Instantânea</t>
        </is>
      </c>
      <c r="C487" s="13" t="inlineStr">
        <is>
          <t>Common / Comum</t>
        </is>
      </c>
      <c r="D487" s="13" t="inlineStr">
        <is>
          <t>Target player sacrifices an attacking or blocking creature of their choice. / O jogador alvo sacrifica uma criatura atacante ou bloqueadora.</t>
        </is>
      </c>
      <c r="E487" s="13" t="inlineStr">
        <is>
          <t>{W}{W}</t>
        </is>
      </c>
      <c r="F487" s="13" t="inlineStr">
        <is>
          <t>Branco</t>
        </is>
      </c>
      <c r="G487" s="8" t="n">
        <v>0.08</v>
      </c>
      <c r="H487" s="13" t="inlineStr">
        <is>
          <t>Magic 2014 (M14)</t>
        </is>
      </c>
      <c r="I487" s="13" t="inlineStr">
        <is>
          <t>Não</t>
        </is>
      </c>
      <c r="J487" s="13" t="n">
        <v>2013</v>
      </c>
      <c r="L487" s="13" t="n">
        <v>3</v>
      </c>
      <c r="M487" s="8">
        <f>L487*G487</f>
        <v/>
      </c>
      <c r="P487" s="9" t="n"/>
    </row>
    <row r="488">
      <c r="A488" s="13" t="inlineStr">
        <is>
          <t>Celestial Prism / Prisma Celestial</t>
        </is>
      </c>
      <c r="B488" s="13" t="inlineStr">
        <is>
          <t>Artifact</t>
        </is>
      </c>
      <c r="C488" s="13" t="inlineStr">
        <is>
          <t>Uncommon / Incomum</t>
        </is>
      </c>
      <c r="D488" s="13" t="inlineStr">
        <is>
          <t>{2}, {T}: Add one mana of any color.</t>
        </is>
      </c>
      <c r="E488" s="13" t="inlineStr">
        <is>
          <t>{3}</t>
        </is>
      </c>
      <c r="F488" s="13" t="inlineStr">
        <is>
          <t>Incolor</t>
        </is>
      </c>
      <c r="G488" s="8" t="n">
        <v>0.15</v>
      </c>
      <c r="H488" s="13" t="inlineStr">
        <is>
          <t>Fourth Edition</t>
        </is>
      </c>
      <c r="I488" s="13" t="inlineStr">
        <is>
          <t>Não</t>
        </is>
      </c>
      <c r="J488" s="13" t="n">
        <v>1995</v>
      </c>
      <c r="L488" s="13" t="n">
        <v>1</v>
      </c>
      <c r="M488" s="8">
        <f>L488*G488</f>
        <v/>
      </c>
      <c r="P488" s="9" t="n"/>
    </row>
    <row r="489">
      <c r="A489" s="13" t="inlineStr">
        <is>
          <t>Celestial Prism / Prisma Celestial</t>
        </is>
      </c>
      <c r="B489" s="13" t="inlineStr">
        <is>
          <t>Artifact</t>
        </is>
      </c>
      <c r="C489" s="13" t="inlineStr">
        <is>
          <t>Uncommon / Incomum</t>
        </is>
      </c>
      <c r="D489" s="13" t="inlineStr">
        <is>
          <t>{2}, {T}: Add one mana of any color.</t>
        </is>
      </c>
      <c r="E489" s="13" t="inlineStr">
        <is>
          <t>{3}</t>
        </is>
      </c>
      <c r="F489" s="13" t="inlineStr">
        <is>
          <t>Incolor</t>
        </is>
      </c>
      <c r="G489" s="8" t="n">
        <v>0.5</v>
      </c>
      <c r="H489" s="13" t="inlineStr">
        <is>
          <t>Fourth Edition (BB)</t>
        </is>
      </c>
      <c r="I489" s="13" t="inlineStr">
        <is>
          <t>Não</t>
        </is>
      </c>
      <c r="J489" s="13" t="n">
        <v>1995</v>
      </c>
      <c r="L489" s="13" t="n">
        <v>1</v>
      </c>
      <c r="M489" s="8">
        <f>L489*G489</f>
        <v/>
      </c>
      <c r="P489" s="9" t="n"/>
    </row>
    <row r="490">
      <c r="A490" s="13" t="inlineStr">
        <is>
          <t>Cemetery Gate / Portão do Cemitério</t>
        </is>
      </c>
      <c r="B490" s="13" t="inlineStr">
        <is>
          <t>Creature — Wall</t>
        </is>
      </c>
      <c r="C490" s="13" t="inlineStr">
        <is>
          <t>Common / Comum</t>
        </is>
      </c>
      <c r="D490" s="13" t="inlineStr">
        <is>
          <t>Defender (This creature can't attack.) Protection from black</t>
        </is>
      </c>
      <c r="E490" s="13" t="inlineStr">
        <is>
          <t>{2}{B}</t>
        </is>
      </c>
      <c r="F490" s="13" t="inlineStr">
        <is>
          <t>Preto</t>
        </is>
      </c>
      <c r="G490" s="8" t="n">
        <v>0.1</v>
      </c>
      <c r="H490" s="13" t="inlineStr">
        <is>
          <t>Homelands (HML)</t>
        </is>
      </c>
      <c r="I490" s="13" t="inlineStr">
        <is>
          <t>Não</t>
        </is>
      </c>
      <c r="J490" s="13" t="n">
        <v>1995</v>
      </c>
      <c r="K490" s="13" t="inlineStr">
        <is>
          <t>0/5</t>
        </is>
      </c>
      <c r="L490" s="13" t="n">
        <v>1</v>
      </c>
      <c r="M490" s="8">
        <f>L490*G490</f>
        <v/>
      </c>
      <c r="P490" s="9" t="n"/>
    </row>
    <row r="491">
      <c r="A491" s="13" t="inlineStr">
        <is>
          <t>Centaur Battlemaster / Centauro Mestre da Espada</t>
        </is>
      </c>
      <c r="B491" s="13" t="inlineStr">
        <is>
          <t>Creature — Centaur Warrior / Criatura — Centauro Guerreiro</t>
        </is>
      </c>
      <c r="C491" s="13" t="inlineStr">
        <is>
          <t>Common / Comum</t>
        </is>
      </c>
      <c r="E491" s="13" t="inlineStr">
        <is>
          <t>{G}{G}</t>
        </is>
      </c>
      <c r="F491" s="13" t="inlineStr">
        <is>
          <t>Verde</t>
        </is>
      </c>
      <c r="G491" s="8" t="n">
        <v>0.03</v>
      </c>
      <c r="H491" s="13" t="inlineStr">
        <is>
          <t>Journey into Nyx (JOU)</t>
        </is>
      </c>
      <c r="I491" s="13" t="inlineStr">
        <is>
          <t>Não</t>
        </is>
      </c>
      <c r="J491" s="13" t="n">
        <v>2014</v>
      </c>
      <c r="K491" s="10" t="n">
        <v>46056</v>
      </c>
      <c r="L491" s="13" t="n">
        <v>1</v>
      </c>
      <c r="M491" s="8">
        <f>L491*G491</f>
        <v/>
      </c>
      <c r="P491" s="9" t="n"/>
    </row>
    <row r="492">
      <c r="A492" s="13" t="inlineStr">
        <is>
          <t>Centaur Courser / Centaura-caçadora</t>
        </is>
      </c>
      <c r="B492" s="13" t="inlineStr">
        <is>
          <t>Creature — Centaur Warrior / Criatura — Centauro Guerreiro</t>
        </is>
      </c>
      <c r="C492" s="13" t="inlineStr">
        <is>
          <t>Common / Comum</t>
        </is>
      </c>
      <c r="E492" s="13" t="inlineStr">
        <is>
          <t>{2}{G}</t>
        </is>
      </c>
      <c r="F492" s="13" t="inlineStr">
        <is>
          <t>Verde</t>
        </is>
      </c>
      <c r="G492" s="8" t="n">
        <v>0.03</v>
      </c>
      <c r="H492" s="13" t="inlineStr">
        <is>
          <t>Core Set 2019 (M19)</t>
        </is>
      </c>
      <c r="I492" s="13" t="inlineStr">
        <is>
          <t>Não</t>
        </is>
      </c>
      <c r="J492" s="13" t="n">
        <v>2018</v>
      </c>
      <c r="K492" s="10" t="n">
        <v>46084</v>
      </c>
      <c r="L492" s="13" t="n">
        <v>3</v>
      </c>
      <c r="M492" s="8">
        <f>L492*G492</f>
        <v/>
      </c>
      <c r="P492" s="9" t="n"/>
    </row>
    <row r="493">
      <c r="A493" s="13" t="inlineStr">
        <is>
          <t>Centaur Courser / Centaura-caçadora</t>
        </is>
      </c>
      <c r="B493" s="13" t="inlineStr">
        <is>
          <t>Creature — Centaur Warrior / Criatura — Centauro Guerreiro</t>
        </is>
      </c>
      <c r="C493" s="13" t="inlineStr">
        <is>
          <t>Common / Comum</t>
        </is>
      </c>
      <c r="E493" s="13" t="inlineStr">
        <is>
          <t>{2}{G}</t>
        </is>
      </c>
      <c r="F493" s="13" t="inlineStr">
        <is>
          <t>Verde</t>
        </is>
      </c>
      <c r="G493" s="8" t="n">
        <v>0.03</v>
      </c>
      <c r="H493" s="13" t="inlineStr">
        <is>
          <t>Core Set 2020 (M20)</t>
        </is>
      </c>
      <c r="I493" s="13" t="inlineStr">
        <is>
          <t>Não</t>
        </is>
      </c>
      <c r="J493" s="13" t="n">
        <v>2019</v>
      </c>
      <c r="K493" s="10" t="n">
        <v>46084</v>
      </c>
      <c r="L493" s="13" t="n">
        <v>1</v>
      </c>
      <c r="M493" s="8">
        <f>L493*G493</f>
        <v/>
      </c>
      <c r="P493" s="9" t="n"/>
    </row>
    <row r="494">
      <c r="A494" s="13" t="inlineStr">
        <is>
          <t>Cephalid Inkmage</t>
        </is>
      </c>
      <c r="B494" s="13" t="inlineStr">
        <is>
          <t>Creature — Octopus Wizard</t>
        </is>
      </c>
      <c r="C494" s="13" t="inlineStr">
        <is>
          <t>Uncommon / Incomum</t>
        </is>
      </c>
      <c r="D494" s="13"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494" s="13" t="inlineStr">
        <is>
          <t>{2}{U}</t>
        </is>
      </c>
      <c r="F494" s="13" t="inlineStr">
        <is>
          <t>Azul</t>
        </is>
      </c>
      <c r="G494" s="8" t="n">
        <v>0.11</v>
      </c>
      <c r="H494" s="13" t="inlineStr">
        <is>
          <t>Foundations (FDN)</t>
        </is>
      </c>
      <c r="I494" s="13" t="inlineStr">
        <is>
          <t>Não</t>
        </is>
      </c>
      <c r="J494" s="13" t="n">
        <v>2024</v>
      </c>
      <c r="K494" s="10" t="n">
        <v>46055</v>
      </c>
      <c r="L494" s="13" t="n">
        <v>1</v>
      </c>
      <c r="M494" s="8">
        <f>L494*G494</f>
        <v/>
      </c>
      <c r="P494" s="9" t="n"/>
    </row>
    <row r="495">
      <c r="A495" s="13" t="inlineStr">
        <is>
          <t>Cercados por Orcs / Surrounded by Orcs</t>
        </is>
      </c>
      <c r="B495" s="13" t="inlineStr">
        <is>
          <t>Feitiço</t>
        </is>
      </c>
      <c r="C495" s="13" t="inlineStr">
        <is>
          <t>Comum</t>
        </is>
      </c>
      <c r="D495" s="13"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495" s="13" t="inlineStr">
        <is>
          <t>3{U}</t>
        </is>
      </c>
      <c r="F495" s="13" t="inlineStr">
        <is>
          <t>Azul</t>
        </is>
      </c>
      <c r="G495" s="8" t="n">
        <v>0.08</v>
      </c>
      <c r="H495" s="13" t="inlineStr">
        <is>
          <t>The Lord of the Rings: Tales of Middle-earth (LTR)</t>
        </is>
      </c>
      <c r="I495" s="13" t="inlineStr">
        <is>
          <t>Não</t>
        </is>
      </c>
      <c r="J495" s="13" t="n">
        <v>2023</v>
      </c>
      <c r="L495" s="13" t="n">
        <v>1</v>
      </c>
      <c r="M495" s="8">
        <f>L495*G495</f>
        <v/>
      </c>
      <c r="P495" s="9" t="n"/>
    </row>
    <row r="496">
      <c r="A496" s="13" t="inlineStr">
        <is>
          <t>Ceremonious Rejection / Rejeição Cerimoniosa</t>
        </is>
      </c>
      <c r="B496" s="13" t="inlineStr">
        <is>
          <t>Instant / Mágica Instantânea</t>
        </is>
      </c>
      <c r="C496" s="13" t="inlineStr">
        <is>
          <t>Uncommon / Incomum</t>
        </is>
      </c>
      <c r="D496" s="13" t="inlineStr">
        <is>
          <t>Counter target colorless spell. / Anule a mágica incolor alvo.</t>
        </is>
      </c>
      <c r="E496" s="13" t="inlineStr">
        <is>
          <t>{U}</t>
        </is>
      </c>
      <c r="F496" s="13" t="inlineStr">
        <is>
          <t>Azul</t>
        </is>
      </c>
      <c r="G496" s="8" t="n">
        <v>0.03</v>
      </c>
      <c r="H496" s="13" t="inlineStr">
        <is>
          <t>Kaladesh (KLD)</t>
        </is>
      </c>
      <c r="I496" s="13" t="inlineStr">
        <is>
          <t>Não</t>
        </is>
      </c>
      <c r="J496" s="13" t="n">
        <v>2016</v>
      </c>
      <c r="L496" s="13" t="n">
        <v>1</v>
      </c>
      <c r="M496" s="8">
        <f>L496*G496</f>
        <v/>
      </c>
      <c r="P496" s="9" t="n"/>
    </row>
    <row r="497">
      <c r="A497" s="13" t="inlineStr">
        <is>
          <t>Cerulean Sphinx / Esfinge Celeste</t>
        </is>
      </c>
      <c r="B497" s="13" t="inlineStr">
        <is>
          <t>Creature — Sphinx / Criatura - Esfinge</t>
        </is>
      </c>
      <c r="C497" s="13" t="inlineStr">
        <is>
          <t>Uncommon / Incomum</t>
        </is>
      </c>
      <c r="D497" s="13" t="inlineStr">
        <is>
          <t>Flying {U}: This creature's owner shuffles it into their library. / Voar {U}: O dono de Esfinge Celeste a embaralha em seu grimório.</t>
        </is>
      </c>
      <c r="E497" s="13" t="inlineStr">
        <is>
          <t>{4}{U}{U}</t>
        </is>
      </c>
      <c r="F497" s="13" t="inlineStr">
        <is>
          <t>Azul</t>
        </is>
      </c>
      <c r="G497" s="8" t="n">
        <v>0.1</v>
      </c>
      <c r="H497" s="13" t="inlineStr">
        <is>
          <t>Ravnica Remastered (RVR)</t>
        </is>
      </c>
      <c r="I497" s="13" t="inlineStr">
        <is>
          <t>Não</t>
        </is>
      </c>
      <c r="J497" s="13" t="n">
        <v>2024</v>
      </c>
      <c r="K497" s="10" t="n">
        <v>46147</v>
      </c>
      <c r="L497" s="13" t="n">
        <v>1</v>
      </c>
      <c r="M497" s="8">
        <f>L497*G497</f>
        <v/>
      </c>
      <c r="P497" s="9" t="n"/>
    </row>
    <row r="498">
      <c r="A498" s="13" t="inlineStr">
        <is>
          <t>Cesto Remendado / Patchwork Gnomes</t>
        </is>
      </c>
      <c r="B498" s="13" t="inlineStr">
        <is>
          <t>Artifact Creature — Scarecrow / Criatura Artefato — Espantalho</t>
        </is>
      </c>
      <c r="C498" s="13" t="inlineStr">
        <is>
          <t>Common / Comum</t>
        </is>
      </c>
      <c r="D498" s="13" t="inlineStr">
        <is>
          <t>{1}: Cesto Remendado torna-se de todas as cores até o final do turno. / {1}: Patchwork Gnomes becomes all colors until end of turn.</t>
        </is>
      </c>
      <c r="E498" s="13" t="inlineStr">
        <is>
          <t>{4}</t>
        </is>
      </c>
      <c r="F498" s="13" t="inlineStr">
        <is>
          <t>Incolor</t>
        </is>
      </c>
      <c r="G498" s="8" t="n">
        <v>0.09</v>
      </c>
      <c r="H498" s="13" t="inlineStr">
        <is>
          <t>Shadowmoor (SHM)</t>
        </is>
      </c>
      <c r="I498" s="13" t="inlineStr">
        <is>
          <t>No</t>
        </is>
      </c>
      <c r="J498" s="13" t="n">
        <v>2008</v>
      </c>
      <c r="K498" s="10" t="n">
        <v>46056</v>
      </c>
      <c r="L498" s="13" t="n">
        <v>1</v>
      </c>
      <c r="M498" s="8">
        <f>L498*G498</f>
        <v/>
      </c>
      <c r="P498" s="9" t="n"/>
    </row>
    <row r="499">
      <c r="A499" s="13" t="inlineStr">
        <is>
          <t>Chain Devil / Diabo das Correntes</t>
        </is>
      </c>
      <c r="B499" s="13" t="inlineStr">
        <is>
          <t>Creature — Devil / Criatura — Diabo</t>
        </is>
      </c>
      <c r="C499" s="13" t="inlineStr">
        <is>
          <t>Common / Comum</t>
        </is>
      </c>
      <c r="D499" s="13" t="inlineStr">
        <is>
          <t>Animate Chains — When this creature enters, each player sacrifices a nontoken creature of their choice. / Animar correntes — Quando Diabo das Correntes entra no campo de batalha, cada jogador sacrifica uma criatura não ficha.</t>
        </is>
      </c>
      <c r="E499" s="13" t="inlineStr">
        <is>
          <t>{3}{B}</t>
        </is>
      </c>
      <c r="F499" s="13" t="inlineStr">
        <is>
          <t>Preto</t>
        </is>
      </c>
      <c r="G499" s="8" t="n">
        <v>0.1</v>
      </c>
      <c r="H499" s="13" t="inlineStr">
        <is>
          <t>Commander Legends: Battle for Baldur's Gate (CLB)</t>
        </is>
      </c>
      <c r="I499" s="13" t="inlineStr">
        <is>
          <t>Não</t>
        </is>
      </c>
      <c r="J499" s="13" t="n">
        <v>2022</v>
      </c>
      <c r="K499" s="10" t="n">
        <v>46057</v>
      </c>
      <c r="L499" s="13" t="n">
        <v>1</v>
      </c>
      <c r="M499" s="8">
        <f>L499*G499</f>
        <v/>
      </c>
      <c r="P499" s="9" t="n"/>
    </row>
    <row r="500">
      <c r="A500" s="13" t="inlineStr">
        <is>
          <t>Chain Lightning / Relâmpago em Cadeia</t>
        </is>
      </c>
      <c r="B500" s="13" t="inlineStr">
        <is>
          <t>Sorcery / Feitiço</t>
        </is>
      </c>
      <c r="C500" s="13" t="inlineStr">
        <is>
          <t>Common / Comum</t>
        </is>
      </c>
      <c r="D500" s="13"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500" s="13" t="inlineStr">
        <is>
          <t>{R}</t>
        </is>
      </c>
      <c r="F500" s="13" t="inlineStr">
        <is>
          <t>Vermelho</t>
        </is>
      </c>
      <c r="G500" s="8" t="n">
        <v>3.15</v>
      </c>
      <c r="H500" s="13" t="inlineStr">
        <is>
          <t>Dominaria Remastered (DMR)</t>
        </is>
      </c>
      <c r="I500" s="13" t="inlineStr">
        <is>
          <t>Não</t>
        </is>
      </c>
      <c r="J500" s="13" t="n">
        <v>2023</v>
      </c>
      <c r="L500" s="13" t="n">
        <v>3</v>
      </c>
      <c r="M500" s="8">
        <f>L500*G500</f>
        <v/>
      </c>
      <c r="P500" s="9" t="n"/>
    </row>
    <row r="501">
      <c r="A501" s="13" t="inlineStr">
        <is>
          <t>Chain Lightning / Relâmpago em Cadeia</t>
        </is>
      </c>
      <c r="B501" s="13" t="inlineStr">
        <is>
          <t>Sorcery / Feitiço</t>
        </is>
      </c>
      <c r="C501" s="13" t="inlineStr">
        <is>
          <t>Common / Comum</t>
        </is>
      </c>
      <c r="D501" s="13"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501" s="13" t="inlineStr">
        <is>
          <t>{R}</t>
        </is>
      </c>
      <c r="F501" s="13" t="inlineStr">
        <is>
          <t>Vermelho</t>
        </is>
      </c>
      <c r="G501" s="8" t="n">
        <v>4.75</v>
      </c>
      <c r="H501" s="13" t="inlineStr">
        <is>
          <t>Jumpstart (JMP)</t>
        </is>
      </c>
      <c r="I501" s="13" t="inlineStr">
        <is>
          <t>Não</t>
        </is>
      </c>
      <c r="J501" s="13" t="n">
        <v>2020</v>
      </c>
      <c r="L501" s="13" t="n">
        <v>1</v>
      </c>
      <c r="M501" s="8">
        <f>L501*G501</f>
        <v/>
      </c>
      <c r="P501" s="9" t="n"/>
    </row>
    <row r="502">
      <c r="A502" s="13" t="inlineStr">
        <is>
          <t>Champion of the Path</t>
        </is>
      </c>
      <c r="B502" s="13" t="inlineStr">
        <is>
          <t>Creature — Elemental Sorcerer</t>
        </is>
      </c>
      <c r="C502" s="13" t="inlineStr">
        <is>
          <t>Rare</t>
        </is>
      </c>
      <c r="D502" s="13"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502" s="13" t="inlineStr">
        <is>
          <t>{3}{R}</t>
        </is>
      </c>
      <c r="F502" s="13" t="inlineStr">
        <is>
          <t>Vermelho</t>
        </is>
      </c>
      <c r="G502" s="8" t="n">
        <v>0.49</v>
      </c>
      <c r="H502" s="13" t="inlineStr">
        <is>
          <t>Lorwyn Eclipsed (ECL)</t>
        </is>
      </c>
      <c r="I502" s="13" t="inlineStr">
        <is>
          <t>Não</t>
        </is>
      </c>
      <c r="J502" s="13" t="n">
        <v>2026</v>
      </c>
      <c r="K502" s="10" t="n">
        <v>46088</v>
      </c>
      <c r="L502" s="13" t="n">
        <v>1</v>
      </c>
      <c r="M502" s="8">
        <f>L502*G502</f>
        <v/>
      </c>
      <c r="P502" s="9" t="n"/>
    </row>
    <row r="503">
      <c r="A503" s="13" t="inlineStr">
        <is>
          <t>Champion of the Weird</t>
        </is>
      </c>
      <c r="B503" s="13" t="inlineStr">
        <is>
          <t>Creature — Goblin Berserker</t>
        </is>
      </c>
      <c r="C503" s="13" t="inlineStr">
        <is>
          <t>Rare</t>
        </is>
      </c>
      <c r="D503" s="13"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503" s="13" t="inlineStr">
        <is>
          <t>{3}{B}</t>
        </is>
      </c>
      <c r="F503" s="13" t="inlineStr">
        <is>
          <t>Preto</t>
        </is>
      </c>
      <c r="G503" s="8" t="n">
        <v>0.7</v>
      </c>
      <c r="H503" s="13" t="inlineStr">
        <is>
          <t>Lorwyn Eclipsed (ECL)</t>
        </is>
      </c>
      <c r="I503" s="13" t="inlineStr">
        <is>
          <t>Não</t>
        </is>
      </c>
      <c r="J503" s="13" t="n">
        <v>2026</v>
      </c>
      <c r="K503" s="10" t="n">
        <v>46147</v>
      </c>
      <c r="L503" s="13" t="n">
        <v>1</v>
      </c>
      <c r="M503" s="8">
        <f>L503*G503</f>
        <v/>
      </c>
      <c r="P503" s="9" t="n"/>
    </row>
    <row r="504">
      <c r="A504" s="13" t="inlineStr">
        <is>
          <t>Chandler</t>
        </is>
      </c>
      <c r="B504" s="13" t="inlineStr">
        <is>
          <t>Legendary Creature — Human Rogue</t>
        </is>
      </c>
      <c r="C504" s="13" t="inlineStr">
        <is>
          <t>Common / Comum</t>
        </is>
      </c>
      <c r="D504" s="13" t="inlineStr">
        <is>
          <t>{R}{R}{R}, {T}: Destroy target artifact creature.</t>
        </is>
      </c>
      <c r="E504" s="13" t="inlineStr">
        <is>
          <t>{4}{R}</t>
        </is>
      </c>
      <c r="F504" s="13" t="inlineStr">
        <is>
          <t>Vermelho</t>
        </is>
      </c>
      <c r="G504" s="8" t="n">
        <v>0.1</v>
      </c>
      <c r="H504" s="13" t="inlineStr">
        <is>
          <t>Homelands (HML)</t>
        </is>
      </c>
      <c r="I504" s="13" t="inlineStr">
        <is>
          <t>Não</t>
        </is>
      </c>
      <c r="J504" s="13" t="n">
        <v>1995</v>
      </c>
      <c r="K504" s="10" t="n">
        <v>46084</v>
      </c>
      <c r="L504" s="13" t="n">
        <v>1</v>
      </c>
      <c r="M504" s="8">
        <f>L504*G504</f>
        <v/>
      </c>
      <c r="P504" s="9" t="n"/>
    </row>
    <row r="505">
      <c r="A505" s="13" t="inlineStr">
        <is>
          <t>Chandra's Incinerator / Incinerador de Chandra</t>
        </is>
      </c>
      <c r="B505" s="13" t="inlineStr">
        <is>
          <t>Creature — Elemental / Criatura — Elemental</t>
        </is>
      </c>
      <c r="C505" s="13" t="inlineStr">
        <is>
          <t>Rare / Rara</t>
        </is>
      </c>
      <c r="D505" s="13"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505" s="13" t="inlineStr">
        <is>
          <t>{5}{R}</t>
        </is>
      </c>
      <c r="F505" s="13" t="inlineStr">
        <is>
          <t>Vermelho</t>
        </is>
      </c>
      <c r="G505" s="8" t="n">
        <v>13.5</v>
      </c>
      <c r="H505" s="13" t="inlineStr">
        <is>
          <t>Core Set 2021 (M21)</t>
        </is>
      </c>
      <c r="I505" s="13" t="inlineStr">
        <is>
          <t>Não</t>
        </is>
      </c>
      <c r="J505" s="13" t="n">
        <v>2020</v>
      </c>
      <c r="K505" s="10" t="n">
        <v>46179</v>
      </c>
      <c r="L505" s="13" t="n">
        <v>1</v>
      </c>
      <c r="M505" s="8">
        <f>L505*G505</f>
        <v/>
      </c>
      <c r="N505" s="13" t="inlineStr">
        <is>
          <t>Pasta</t>
        </is>
      </c>
      <c r="P505" s="9" t="n"/>
    </row>
    <row r="506">
      <c r="A506" s="13" t="inlineStr">
        <is>
          <t>Channel / Canal</t>
        </is>
      </c>
      <c r="B506" s="13" t="inlineStr">
        <is>
          <t>Sorcery / Feitiço</t>
        </is>
      </c>
      <c r="C506" s="13" t="inlineStr">
        <is>
          <t>Mythic / Mítica</t>
        </is>
      </c>
      <c r="D506" s="13" t="inlineStr">
        <is>
          <t>Until end of turn, any time you could activate a mana ability, you may pay 1 life. If you do, add {C}. / Até o final do turno, a qualquer momento em que você poderia ativar uma habilidade de mana, você poderá pagar 1 ponto de vida. Se fizer isso, adicione {C}.</t>
        </is>
      </c>
      <c r="E506" s="13" t="inlineStr">
        <is>
          <t>{G}{G}</t>
        </is>
      </c>
      <c r="F506" s="13" t="inlineStr">
        <is>
          <t>Verde</t>
        </is>
      </c>
      <c r="G506" s="8" t="n">
        <v>0.78</v>
      </c>
      <c r="H506" s="13" t="inlineStr">
        <is>
          <t>From the Vault: Exiled (V09)</t>
        </is>
      </c>
      <c r="I506" s="13" t="inlineStr">
        <is>
          <t>Sim</t>
        </is>
      </c>
      <c r="J506" s="13" t="n">
        <v>2009</v>
      </c>
      <c r="L506" s="13" t="n">
        <v>1</v>
      </c>
      <c r="M506" s="8">
        <f>L506*G506</f>
        <v/>
      </c>
      <c r="P506" s="9" t="n"/>
    </row>
    <row r="507">
      <c r="A507" s="13" t="inlineStr">
        <is>
          <t>Channel Harm / Canalizar Dano</t>
        </is>
      </c>
      <c r="B507" s="13" t="inlineStr">
        <is>
          <t>Instant / Mágica Instantânea</t>
        </is>
      </c>
      <c r="C507" s="13" t="inlineStr">
        <is>
          <t>Uncommon / Incomum</t>
        </is>
      </c>
      <c r="D507" s="13"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507" s="13" t="inlineStr">
        <is>
          <t>{5}{W}</t>
        </is>
      </c>
      <c r="F507" s="13" t="inlineStr">
        <is>
          <t>Branco</t>
        </is>
      </c>
      <c r="G507" s="8" t="n">
        <v>0.09</v>
      </c>
      <c r="H507" s="13" t="inlineStr">
        <is>
          <t>Fate Reforged (FRF)</t>
        </is>
      </c>
      <c r="I507" s="13" t="inlineStr">
        <is>
          <t>Não</t>
        </is>
      </c>
      <c r="J507" s="13" t="n">
        <v>2015</v>
      </c>
      <c r="L507" s="13" t="n">
        <v>1</v>
      </c>
      <c r="M507" s="8">
        <f>L507*G507</f>
        <v/>
      </c>
      <c r="P507" s="9" t="n"/>
    </row>
    <row r="508">
      <c r="A508" s="13" t="inlineStr">
        <is>
          <t>Chant of the Skifsang / Cântico dos Skifsang</t>
        </is>
      </c>
      <c r="B508" s="13" t="inlineStr">
        <is>
          <t>Enchantment — Aura / Encantamento — Aura</t>
        </is>
      </c>
      <c r="C508" s="13" t="inlineStr">
        <is>
          <t>Common / Comum</t>
        </is>
      </c>
      <c r="D508" s="13" t="inlineStr">
        <is>
          <t>Enchant creature Enchanted creature gets -13/-0. / Encantar criatura A criatura encantada recebe -13/-0.</t>
        </is>
      </c>
      <c r="E508" s="13" t="inlineStr">
        <is>
          <t>{2}{U}</t>
        </is>
      </c>
      <c r="F508" s="13" t="inlineStr">
        <is>
          <t>Azul</t>
        </is>
      </c>
      <c r="G508" s="8" t="n">
        <v>0.05</v>
      </c>
      <c r="H508" s="13" t="inlineStr">
        <is>
          <t>Dark Ascension (DKA)</t>
        </is>
      </c>
      <c r="I508" s="13" t="inlineStr">
        <is>
          <t>Não</t>
        </is>
      </c>
      <c r="J508" s="13" t="n">
        <v>2012</v>
      </c>
      <c r="L508" s="13" t="n">
        <v>1</v>
      </c>
      <c r="M508" s="8">
        <f>L508*G508</f>
        <v/>
      </c>
      <c r="P508" s="9" t="n"/>
    </row>
    <row r="509">
      <c r="A509" s="13" t="inlineStr">
        <is>
          <t>Chaos Spewer</t>
        </is>
      </c>
      <c r="B509" s="13" t="inlineStr">
        <is>
          <t>Creature — Goblin Warlock</t>
        </is>
      </c>
      <c r="C509" s="13" t="inlineStr">
        <is>
          <t>Common / Comum</t>
        </is>
      </c>
      <c r="D509" s="13" t="inlineStr">
        <is>
          <t>When this creature enters, you may pay {2}. If you don't, blight 2. (To blight 2, put two -1/-1 counters on a creature you control.)</t>
        </is>
      </c>
      <c r="E509" s="13" t="inlineStr">
        <is>
          <t>{2}{B/R}</t>
        </is>
      </c>
      <c r="F509" s="13" t="inlineStr">
        <is>
          <t>Preto, Vermelho</t>
        </is>
      </c>
      <c r="G509" s="8" t="n">
        <v>0.11</v>
      </c>
      <c r="H509" s="13" t="inlineStr">
        <is>
          <t>Lorwyn Eclipsed (ECL)</t>
        </is>
      </c>
      <c r="I509" s="13" t="inlineStr">
        <is>
          <t>Não</t>
        </is>
      </c>
      <c r="J509" s="13" t="n">
        <v>2026</v>
      </c>
      <c r="K509" s="10" t="n">
        <v>46117</v>
      </c>
      <c r="L509" s="13" t="n">
        <v>1</v>
      </c>
      <c r="M509" s="8">
        <f>L509*G509</f>
        <v/>
      </c>
      <c r="P509" s="9" t="n"/>
    </row>
    <row r="510">
      <c r="A510" s="13" t="inlineStr">
        <is>
          <t>Chapel Geist / Geist da Capela</t>
        </is>
      </c>
      <c r="B510" s="13" t="inlineStr">
        <is>
          <t>Creature — Spirit / Criatura — Espírito</t>
        </is>
      </c>
      <c r="C510" s="13" t="inlineStr">
        <is>
          <t>Common / Comum</t>
        </is>
      </c>
      <c r="D510" s="13" t="inlineStr">
        <is>
          <t>Flying / Voar</t>
        </is>
      </c>
      <c r="E510" s="13" t="inlineStr">
        <is>
          <t>{1}{W}{W}</t>
        </is>
      </c>
      <c r="F510" s="13" t="inlineStr">
        <is>
          <t>Branco</t>
        </is>
      </c>
      <c r="G510" s="8" t="n">
        <v>0.05</v>
      </c>
      <c r="H510" s="13" t="inlineStr">
        <is>
          <t>Innistrad (ISD)</t>
        </is>
      </c>
      <c r="I510" s="13" t="inlineStr">
        <is>
          <t>Não</t>
        </is>
      </c>
      <c r="J510" s="13" t="n">
        <v>2011</v>
      </c>
      <c r="K510" s="10" t="n">
        <v>46083</v>
      </c>
      <c r="L510" s="13" t="n">
        <v>1</v>
      </c>
      <c r="M510" s="8">
        <f>L510*G510</f>
        <v/>
      </c>
      <c r="P510" s="9" t="n"/>
    </row>
    <row r="511">
      <c r="A511" s="13" t="inlineStr">
        <is>
          <t>Chaplain's Blessing / Bênção da Capelã</t>
        </is>
      </c>
      <c r="B511" s="13" t="inlineStr">
        <is>
          <t>Sorcery / Feitiço</t>
        </is>
      </c>
      <c r="C511" s="13" t="inlineStr">
        <is>
          <t>Common / Comum</t>
        </is>
      </c>
      <c r="D511" s="13" t="inlineStr">
        <is>
          <t>You gain 5 life. / Você ganha 5 pontos de vida.</t>
        </is>
      </c>
      <c r="E511" s="13" t="inlineStr">
        <is>
          <t>{W}</t>
        </is>
      </c>
      <c r="F511" s="13" t="inlineStr">
        <is>
          <t>Branco</t>
        </is>
      </c>
      <c r="G511" s="8" t="n">
        <v>0.08</v>
      </c>
      <c r="H511" s="13" t="inlineStr">
        <is>
          <t>Shadows over Innistrad (SOI)</t>
        </is>
      </c>
      <c r="I511" s="13" t="inlineStr">
        <is>
          <t>Não</t>
        </is>
      </c>
      <c r="J511" s="13" t="n">
        <v>2016</v>
      </c>
      <c r="L511" s="13" t="n">
        <v>2</v>
      </c>
      <c r="M511" s="8">
        <f>L511*G511</f>
        <v/>
      </c>
      <c r="P511" s="9" t="n"/>
    </row>
    <row r="512">
      <c r="A512" s="13" t="inlineStr">
        <is>
          <t>Charcoal Diamond / Diamante de Carvão</t>
        </is>
      </c>
      <c r="B512" s="13" t="inlineStr">
        <is>
          <t>Artifact / Artefato</t>
        </is>
      </c>
      <c r="C512" s="13" t="inlineStr">
        <is>
          <t>Common / Comum</t>
        </is>
      </c>
      <c r="D512" s="13" t="inlineStr">
        <is>
          <t>This artifact enters tapped. {T}: Add {B}. / Diamante de Carvão entra no campo de batalha virado. {T}: Adicione {B}.</t>
        </is>
      </c>
      <c r="E512" s="13" t="inlineStr">
        <is>
          <t>{2}</t>
        </is>
      </c>
      <c r="F512" s="13" t="inlineStr">
        <is>
          <t>Preto</t>
        </is>
      </c>
      <c r="G512" s="8" t="n">
        <v>0.75</v>
      </c>
      <c r="H512" s="13" t="inlineStr">
        <is>
          <t>Midnight Hunt Commander (MIC)</t>
        </is>
      </c>
      <c r="I512" s="13" t="inlineStr">
        <is>
          <t>Não</t>
        </is>
      </c>
      <c r="J512" s="13" t="n">
        <v>2021</v>
      </c>
      <c r="L512" s="13" t="n">
        <v>1</v>
      </c>
      <c r="M512" s="8">
        <f>L512*G512</f>
        <v/>
      </c>
      <c r="P512" s="9" t="n"/>
    </row>
    <row r="513">
      <c r="A513" s="13" t="inlineStr">
        <is>
          <t>Charge of the Forever-Beast / Carga da Fera Eterna</t>
        </is>
      </c>
      <c r="B513" s="13" t="inlineStr">
        <is>
          <t>Sorcery / Feitiço</t>
        </is>
      </c>
      <c r="C513" s="13" t="inlineStr">
        <is>
          <t>Uncommon / Incomum</t>
        </is>
      </c>
      <c r="D513" s="13"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513" s="13" t="inlineStr">
        <is>
          <t>{2}{G}</t>
        </is>
      </c>
      <c r="F513" s="13" t="inlineStr">
        <is>
          <t>Verde</t>
        </is>
      </c>
      <c r="G513" s="8" t="n">
        <v>0.09</v>
      </c>
      <c r="H513" s="13" t="inlineStr">
        <is>
          <t>Ikoria: Lair of Behemoths (IKO)</t>
        </is>
      </c>
      <c r="I513" s="13" t="inlineStr">
        <is>
          <t>Não</t>
        </is>
      </c>
      <c r="J513" s="13" t="n">
        <v>2020</v>
      </c>
      <c r="L513" s="13" t="n">
        <v>1</v>
      </c>
      <c r="M513" s="8">
        <f>L513*G513</f>
        <v/>
      </c>
      <c r="P513" s="9" t="n"/>
    </row>
    <row r="514">
      <c r="A514" s="13" t="inlineStr">
        <is>
          <t>Charging Badger / Texugo Atacante</t>
        </is>
      </c>
      <c r="B514" s="13" t="inlineStr">
        <is>
          <t>Creature — Badger / Criatura — Texugo</t>
        </is>
      </c>
      <c r="C514" s="13" t="inlineStr">
        <is>
          <t>Common / Comum</t>
        </is>
      </c>
      <c r="D514" s="13" t="inlineStr">
        <is>
          <t>Trample / Atropelar</t>
        </is>
      </c>
      <c r="E514" s="13" t="inlineStr">
        <is>
          <t>{G}</t>
        </is>
      </c>
      <c r="F514" s="13" t="inlineStr">
        <is>
          <t>Verde</t>
        </is>
      </c>
      <c r="G514" s="8" t="n">
        <v>0.03</v>
      </c>
      <c r="H514" s="13" t="inlineStr">
        <is>
          <t>Born of the Gods (BNG)</t>
        </is>
      </c>
      <c r="I514" s="13" t="inlineStr">
        <is>
          <t>Não</t>
        </is>
      </c>
      <c r="J514" s="13" t="n">
        <v>2014</v>
      </c>
      <c r="K514" s="10" t="n">
        <v>46023</v>
      </c>
      <c r="L514" s="13" t="n">
        <v>1</v>
      </c>
      <c r="M514" s="8">
        <f>L514*G514</f>
        <v/>
      </c>
      <c r="P514" s="9" t="n"/>
    </row>
    <row r="515">
      <c r="A515" s="13" t="inlineStr">
        <is>
          <t>Chariot of the Sun / Carruagem do Sol</t>
        </is>
      </c>
      <c r="B515" s="13" t="inlineStr">
        <is>
          <t>Artifact</t>
        </is>
      </c>
      <c r="C515" s="13" t="inlineStr">
        <is>
          <t>Uncommon / Incomum</t>
        </is>
      </c>
      <c r="D515" s="13" t="inlineStr">
        <is>
          <t>{2}, {T}: Until end of turn, target creature you control gains flying and has base toughness 1.</t>
        </is>
      </c>
      <c r="E515" s="13" t="inlineStr">
        <is>
          <t>{3}</t>
        </is>
      </c>
      <c r="F515" s="13" t="inlineStr">
        <is>
          <t>Incolor</t>
        </is>
      </c>
      <c r="G515" s="8" t="n">
        <v>0.15</v>
      </c>
      <c r="H515" s="13" t="inlineStr">
        <is>
          <t>Mirage (MIR)</t>
        </is>
      </c>
      <c r="I515" s="13" t="inlineStr">
        <is>
          <t>Não</t>
        </is>
      </c>
      <c r="J515" s="13" t="n">
        <v>1996</v>
      </c>
      <c r="L515" s="13" t="n">
        <v>1</v>
      </c>
      <c r="M515" s="8">
        <f>L515*G515</f>
        <v/>
      </c>
      <c r="P515" s="9" t="n"/>
    </row>
    <row r="516">
      <c r="A516" s="13" t="inlineStr">
        <is>
          <t>Charmbreaker Devils / Demônios Quebradores de Encanto</t>
        </is>
      </c>
      <c r="B516" s="13" t="inlineStr">
        <is>
          <t>Creature — Devil / Criatura — Diabo</t>
        </is>
      </c>
      <c r="C516" s="13" t="inlineStr">
        <is>
          <t>Rare / Rara</t>
        </is>
      </c>
      <c r="D516" s="13"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516" s="13" t="inlineStr">
        <is>
          <t>{5}{R}</t>
        </is>
      </c>
      <c r="F516" s="13" t="inlineStr">
        <is>
          <t>Vermelho</t>
        </is>
      </c>
      <c r="G516" s="8" t="n">
        <v>0.85</v>
      </c>
      <c r="H516" s="13" t="inlineStr">
        <is>
          <t>Foundations Jumpstart (J25)</t>
        </is>
      </c>
      <c r="I516" s="13" t="inlineStr">
        <is>
          <t>Não</t>
        </is>
      </c>
      <c r="J516" s="13" t="n">
        <v>2024</v>
      </c>
      <c r="K516" s="10" t="n">
        <v>46116</v>
      </c>
      <c r="L516" s="13" t="n">
        <v>1</v>
      </c>
      <c r="M516" s="8">
        <f>L516*G516</f>
        <v/>
      </c>
      <c r="P516" s="9" t="n"/>
    </row>
    <row r="517">
      <c r="A517" s="13" t="inlineStr">
        <is>
          <t>Charmed Stray / Vira-lata Encantado</t>
        </is>
      </c>
      <c r="B517" s="13" t="inlineStr">
        <is>
          <t>Creature — Cat / Criatura — Felino</t>
        </is>
      </c>
      <c r="C517" s="13" t="inlineStr">
        <is>
          <t>Common / Comum</t>
        </is>
      </c>
      <c r="D517" s="13"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517" s="13" t="inlineStr">
        <is>
          <t>{W}</t>
        </is>
      </c>
      <c r="F517" s="13" t="inlineStr">
        <is>
          <t>Branco</t>
        </is>
      </c>
      <c r="G517" s="8" t="n">
        <v>0.06</v>
      </c>
      <c r="H517" s="13" t="inlineStr">
        <is>
          <t>War of the Spark (WAR)</t>
        </is>
      </c>
      <c r="I517" s="13" t="inlineStr">
        <is>
          <t>Não</t>
        </is>
      </c>
      <c r="J517" s="13" t="n">
        <v>2019</v>
      </c>
      <c r="K517" s="10" t="n">
        <v>46023</v>
      </c>
      <c r="L517" s="13" t="n">
        <v>1</v>
      </c>
      <c r="M517" s="8">
        <f>L517*G517</f>
        <v/>
      </c>
      <c r="P517" s="9" t="n"/>
    </row>
    <row r="518">
      <c r="A518" s="13" t="inlineStr">
        <is>
          <t>Chase Inspiration / Perseguir a Inspiração</t>
        </is>
      </c>
      <c r="B518" s="13" t="inlineStr">
        <is>
          <t>Instant / Instantânea</t>
        </is>
      </c>
      <c r="C518" s="13" t="inlineStr">
        <is>
          <t>Common / Comum</t>
        </is>
      </c>
      <c r="D518" s="13"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518" s="13" t="inlineStr">
        <is>
          <t>{U}</t>
        </is>
      </c>
      <c r="F518" s="13" t="inlineStr">
        <is>
          <t>Azul</t>
        </is>
      </c>
      <c r="G518" s="8" t="n">
        <v>0.06</v>
      </c>
      <c r="H518" s="13" t="inlineStr">
        <is>
          <t>Shadows of Sothia (SOS)</t>
        </is>
      </c>
      <c r="I518" s="13" t="inlineStr">
        <is>
          <t>No</t>
        </is>
      </c>
      <c r="J518" s="13" t="n">
        <v>2026</v>
      </c>
      <c r="L518" s="13" t="n">
        <v>1</v>
      </c>
      <c r="M518" s="8">
        <f>L518*G518</f>
        <v/>
      </c>
      <c r="P518" s="9" t="n"/>
    </row>
    <row r="519">
      <c r="A519" s="13" t="inlineStr">
        <is>
          <t>Chemister's Insight / Visão da Quimiomante</t>
        </is>
      </c>
      <c r="B519" s="13" t="inlineStr">
        <is>
          <t>Instant / Mágica Instantânea</t>
        </is>
      </c>
      <c r="C519" s="13" t="inlineStr">
        <is>
          <t>Uncommon / Incomum</t>
        </is>
      </c>
      <c r="D519" s="13"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519" s="13" t="inlineStr">
        <is>
          <t>{3}{U}</t>
        </is>
      </c>
      <c r="F519" s="13" t="inlineStr">
        <is>
          <t>Azul</t>
        </is>
      </c>
      <c r="G519" s="8" t="n">
        <v>0.14</v>
      </c>
      <c r="H519" s="13" t="inlineStr">
        <is>
          <t>Guilds of Ravnica (GRN)</t>
        </is>
      </c>
      <c r="I519" s="13" t="inlineStr">
        <is>
          <t>Não</t>
        </is>
      </c>
      <c r="J519" s="13" t="n">
        <v>2018</v>
      </c>
      <c r="L519" s="13" t="n">
        <v>1</v>
      </c>
      <c r="M519" s="8">
        <f>L519*G519</f>
        <v/>
      </c>
      <c r="P519" s="9" t="n"/>
    </row>
    <row r="520">
      <c r="A520" s="13" t="inlineStr">
        <is>
          <t>Chilling Shade / Sombra Congelante</t>
        </is>
      </c>
      <c r="B520" s="13" t="inlineStr">
        <is>
          <t>Snow Creature — Shade / Criatura da Neve — Sombra</t>
        </is>
      </c>
      <c r="C520" s="13" t="inlineStr">
        <is>
          <t>Common / Comum</t>
        </is>
      </c>
      <c r="D520" s="13" t="inlineStr">
        <is>
          <t>Flying {S}: This creature gets +1/+1 until end of turn. ({S} can be paid with one mana from a snow source.) / Voar {S}: Sombra Congelante recebe +1/+1 até o final do turno. ({S} pode ser pago com um mana de uma permanente da neve.)</t>
        </is>
      </c>
      <c r="E520" s="13" t="inlineStr">
        <is>
          <t>{2}{B}</t>
        </is>
      </c>
      <c r="F520" s="13" t="inlineStr">
        <is>
          <t>Preto</t>
        </is>
      </c>
      <c r="G520" s="8" t="n">
        <v>0.07000000000000001</v>
      </c>
      <c r="H520" s="13" t="inlineStr">
        <is>
          <t>Coldsnap (CSP)</t>
        </is>
      </c>
      <c r="I520" s="13" t="inlineStr">
        <is>
          <t>Não</t>
        </is>
      </c>
      <c r="J520" s="13" t="n">
        <v>2006</v>
      </c>
      <c r="K520" s="10" t="n">
        <v>46023</v>
      </c>
      <c r="L520" s="13" t="n">
        <v>1</v>
      </c>
      <c r="M520" s="8">
        <f>L520*G520</f>
        <v/>
      </c>
      <c r="P520" s="9" t="n"/>
    </row>
    <row r="521">
      <c r="A521" s="13" t="inlineStr">
        <is>
          <t>Chisei, Heart of Oceans / Chisei, Coração dos Oceanos</t>
        </is>
      </c>
      <c r="B521" s="13" t="inlineStr">
        <is>
          <t>Legendary Creature — Spirit / Criatura Lendária - Espírito</t>
        </is>
      </c>
      <c r="C521" s="13" t="inlineStr">
        <is>
          <t>Rare / Rara</t>
        </is>
      </c>
      <c r="D521" s="13"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521" s="13" t="inlineStr">
        <is>
          <t>{2}{U}{U}</t>
        </is>
      </c>
      <c r="F521" s="13" t="inlineStr">
        <is>
          <t>Azul</t>
        </is>
      </c>
      <c r="G521" s="8" t="n">
        <v>1.19</v>
      </c>
      <c r="H521" s="13" t="inlineStr">
        <is>
          <t>Betrayers of Kamigawa (BOK)</t>
        </is>
      </c>
      <c r="I521" s="13" t="inlineStr">
        <is>
          <t>Não</t>
        </is>
      </c>
      <c r="J521" s="13" t="n">
        <v>2005</v>
      </c>
      <c r="K521" s="10" t="n">
        <v>46116</v>
      </c>
      <c r="L521" s="13" t="n">
        <v>1</v>
      </c>
      <c r="M521" s="8">
        <f>L521*G521</f>
        <v/>
      </c>
      <c r="P521" s="9" t="n"/>
    </row>
    <row r="522">
      <c r="A522" s="13" t="inlineStr">
        <is>
          <t>Chitinous Graspling</t>
        </is>
      </c>
      <c r="B522" s="13" t="inlineStr">
        <is>
          <t>Creature — Shapeshifter</t>
        </is>
      </c>
      <c r="C522" s="13" t="inlineStr">
        <is>
          <t>Common</t>
        </is>
      </c>
      <c r="D522" s="13" t="inlineStr">
        <is>
          <t>Changeling (This card is every creature type.) Reach.</t>
        </is>
      </c>
      <c r="E522" s="13" t="inlineStr">
        <is>
          <t>{3}{G/U}</t>
        </is>
      </c>
      <c r="F522" s="13" t="inlineStr">
        <is>
          <t>Green/Blue</t>
        </is>
      </c>
      <c r="G522" s="8" t="n">
        <v>0.1</v>
      </c>
      <c r="H522" s="13" t="inlineStr">
        <is>
          <t>Lorwyn Eclipsed (ECL)</t>
        </is>
      </c>
      <c r="I522" s="13" t="inlineStr">
        <is>
          <t>No</t>
        </is>
      </c>
      <c r="J522" s="13" t="n">
        <v>2026</v>
      </c>
      <c r="K522" s="10" t="n">
        <v>46115</v>
      </c>
      <c r="L522" s="13" t="n">
        <v>3</v>
      </c>
      <c r="M522" s="8">
        <f>L522*G522</f>
        <v/>
      </c>
      <c r="P522" s="9" t="n"/>
    </row>
    <row r="523">
      <c r="A523" s="13" t="inlineStr">
        <is>
          <t>Chitinous Graspling</t>
        </is>
      </c>
      <c r="B523" s="13" t="inlineStr">
        <is>
          <t>Creature — Shapeshifter</t>
        </is>
      </c>
      <c r="C523" s="13" t="inlineStr">
        <is>
          <t>Common / Comum</t>
        </is>
      </c>
      <c r="D523" s="13" t="inlineStr">
        <is>
          <t>Changeling (This card is every creature type.) Reach</t>
        </is>
      </c>
      <c r="E523" s="13" t="inlineStr">
        <is>
          <t>{3}{G/U}</t>
        </is>
      </c>
      <c r="F523" s="13" t="inlineStr">
        <is>
          <t>Verde, Azul</t>
        </is>
      </c>
      <c r="G523" s="8" t="n">
        <v>0.1</v>
      </c>
      <c r="H523" s="13" t="inlineStr">
        <is>
          <t>Lorwyn Eclipsed (ECL)</t>
        </is>
      </c>
      <c r="I523" s="13" t="inlineStr">
        <is>
          <t>Não</t>
        </is>
      </c>
      <c r="J523" s="13" t="n">
        <v>2026</v>
      </c>
      <c r="K523" s="10" t="n">
        <v>46115</v>
      </c>
      <c r="L523" s="13" t="n">
        <v>1</v>
      </c>
      <c r="M523" s="8">
        <f>L523*G523</f>
        <v/>
      </c>
      <c r="P523" s="9" t="n"/>
    </row>
    <row r="524">
      <c r="A524" s="13" t="inlineStr">
        <is>
          <t>Choco-Comet / Choco-Cometa</t>
        </is>
      </c>
      <c r="B524" s="13" t="inlineStr">
        <is>
          <t>Feitiço</t>
        </is>
      </c>
      <c r="C524" s="13" t="inlineStr">
        <is>
          <t>Incomum</t>
        </is>
      </c>
      <c r="D524" s="13" t="inlineStr">
        <is>
          <t>Choco-Cometa causa X de dano a qualquer alvo. Crie uma ficha de criatura Ave verde 2/2 com "Sempre que um terreno que você controla entrar, esta ficha recebe +1/+0 até o final do turno."</t>
        </is>
      </c>
      <c r="E524" s="13" t="inlineStr">
        <is>
          <t>{X}{R}{R}</t>
        </is>
      </c>
      <c r="F524" s="13" t="inlineStr">
        <is>
          <t>Vermelho</t>
        </is>
      </c>
      <c r="G524" s="8" t="n">
        <v>0.21</v>
      </c>
      <c r="H524" s="13" t="inlineStr">
        <is>
          <t>Final Fantasy</t>
        </is>
      </c>
      <c r="I524" s="13" t="inlineStr">
        <is>
          <t>Não</t>
        </is>
      </c>
      <c r="J524" s="13" t="n">
        <v>2025</v>
      </c>
      <c r="L524" s="13" t="n">
        <v>1</v>
      </c>
      <c r="M524" s="8">
        <f>L524*G524</f>
        <v/>
      </c>
      <c r="P524" s="9" t="n"/>
    </row>
    <row r="525">
      <c r="A525" s="13" t="inlineStr">
        <is>
          <t>Chocobo Kick / Coice de Chocobo</t>
        </is>
      </c>
      <c r="B525" s="13" t="inlineStr">
        <is>
          <t>Feitiço</t>
        </is>
      </c>
      <c r="C525" s="13" t="inlineStr">
        <is>
          <t>Comum</t>
        </is>
      </c>
      <c r="D525" s="13"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525" s="13" t="inlineStr">
        <is>
          <t>1{G}</t>
        </is>
      </c>
      <c r="F525" s="13" t="inlineStr">
        <is>
          <t>Verde</t>
        </is>
      </c>
      <c r="G525" s="8" t="n">
        <v>0.05</v>
      </c>
      <c r="H525" s="13" t="inlineStr">
        <is>
          <t>Final Fantasy</t>
        </is>
      </c>
      <c r="I525" s="13" t="inlineStr">
        <is>
          <t>Não</t>
        </is>
      </c>
      <c r="J525" s="13" t="n">
        <v>2025</v>
      </c>
      <c r="L525" s="13" t="n">
        <v>8</v>
      </c>
      <c r="M525" s="8">
        <f>L525*G525</f>
        <v/>
      </c>
      <c r="P525" s="9" t="n"/>
    </row>
    <row r="526">
      <c r="A526" s="13" t="inlineStr">
        <is>
          <t>Chocobo Racetrack / Hipódromo de Chocobos</t>
        </is>
      </c>
      <c r="B526" s="13" t="inlineStr">
        <is>
          <t>Artefato</t>
        </is>
      </c>
      <c r="C526" s="13" t="inlineStr">
        <is>
          <t>Incomum</t>
        </is>
      </c>
      <c r="D526" s="13" t="inlineStr">
        <is>
          <t>Aterragem — Sempre que um terreno que você controla entrar, crie uma ficha de criatura Ave verde 2/2 com "Sempre que um terreno que você controla entrar, esta ficha receberá +1/+0 até o final do turno."</t>
        </is>
      </c>
      <c r="E526" s="13" t="inlineStr">
        <is>
          <t>3{G}{G}</t>
        </is>
      </c>
      <c r="F526" s="13" t="inlineStr">
        <is>
          <t>Verde</t>
        </is>
      </c>
      <c r="G526" s="8" t="n">
        <v>0.28</v>
      </c>
      <c r="H526" s="13" t="inlineStr">
        <is>
          <t>Final Fantasy</t>
        </is>
      </c>
      <c r="I526" s="13" t="inlineStr">
        <is>
          <t>Não</t>
        </is>
      </c>
      <c r="J526" s="13" t="n">
        <v>2025</v>
      </c>
      <c r="L526" s="13" t="n">
        <v>1</v>
      </c>
      <c r="M526" s="8">
        <f>L526*G526</f>
        <v/>
      </c>
      <c r="P526" s="9" t="n"/>
    </row>
    <row r="527">
      <c r="A527" s="13" t="inlineStr">
        <is>
          <t>Chomping Changeling</t>
        </is>
      </c>
      <c r="B527" s="13" t="inlineStr">
        <is>
          <t>Creature — Shapeshifter</t>
        </is>
      </c>
      <c r="C527" s="13" t="inlineStr">
        <is>
          <t>Uncommon</t>
        </is>
      </c>
      <c r="D527" s="13" t="inlineStr">
        <is>
          <t>Changeling (This card is every creature type.) When this creature enters, destroy up to one target artifact or enchantment.</t>
        </is>
      </c>
      <c r="E527" s="13" t="inlineStr">
        <is>
          <t>{2}{G}</t>
        </is>
      </c>
      <c r="F527" s="13" t="inlineStr">
        <is>
          <t>Verde</t>
        </is>
      </c>
      <c r="G527" s="8" t="n">
        <v>0.48</v>
      </c>
      <c r="H527" s="13" t="inlineStr">
        <is>
          <t>Lorwyn Eclipsed (ECL)</t>
        </is>
      </c>
      <c r="I527" s="13" t="inlineStr">
        <is>
          <t>Não</t>
        </is>
      </c>
      <c r="J527" s="13" t="n">
        <v>2026</v>
      </c>
      <c r="K527" s="10" t="n">
        <v>46054</v>
      </c>
      <c r="L527" s="13" t="n">
        <v>2</v>
      </c>
      <c r="M527" s="8">
        <f>L527*G527</f>
        <v/>
      </c>
      <c r="P527" s="9" t="n"/>
    </row>
    <row r="528">
      <c r="A528" s="13" t="inlineStr">
        <is>
          <t>Chorale of the Void / Coral do Vazio</t>
        </is>
      </c>
      <c r="B528" s="13" t="inlineStr">
        <is>
          <t>Encantamento — Aura</t>
        </is>
      </c>
      <c r="C528" s="13" t="inlineStr">
        <is>
          <t>Rara</t>
        </is>
      </c>
      <c r="D528" s="13"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8" s="13" t="inlineStr">
        <is>
          <t>3{B}</t>
        </is>
      </c>
      <c r="F528" s="13" t="inlineStr">
        <is>
          <t>Preto</t>
        </is>
      </c>
      <c r="G528" s="8" t="n">
        <v>0.32</v>
      </c>
      <c r="H528" s="13" t="inlineStr">
        <is>
          <t>Edge of Eternity</t>
        </is>
      </c>
      <c r="I528" s="13" t="inlineStr">
        <is>
          <t>Não</t>
        </is>
      </c>
      <c r="J528" s="13" t="n">
        <v>2025</v>
      </c>
      <c r="L528" s="13" t="n">
        <v>1</v>
      </c>
      <c r="M528" s="8">
        <f>L528*G528</f>
        <v/>
      </c>
      <c r="P528" s="9" t="n"/>
    </row>
    <row r="529">
      <c r="A529" s="13" t="inlineStr">
        <is>
          <t>Chorus of Woe</t>
        </is>
      </c>
      <c r="B529" s="13" t="inlineStr">
        <is>
          <t>Sorcery</t>
        </is>
      </c>
      <c r="C529" s="13" t="inlineStr">
        <is>
          <t>Common / Comum</t>
        </is>
      </c>
      <c r="D529" s="13" t="inlineStr">
        <is>
          <t>Creatures you control get +1/+0 until end of turn.</t>
        </is>
      </c>
      <c r="E529" s="13" t="inlineStr">
        <is>
          <t>{B}</t>
        </is>
      </c>
      <c r="F529" s="13" t="inlineStr">
        <is>
          <t>Preto</t>
        </is>
      </c>
      <c r="G529" s="8" t="n">
        <v>0.74</v>
      </c>
      <c r="H529" s="13" t="inlineStr">
        <is>
          <t>Portal Second Age (P02)</t>
        </is>
      </c>
      <c r="I529" s="13" t="inlineStr">
        <is>
          <t>Não</t>
        </is>
      </c>
      <c r="J529" s="13" t="n">
        <v>1998</v>
      </c>
      <c r="L529" s="13" t="n">
        <v>1</v>
      </c>
      <c r="M529" s="8">
        <f>L529*G529</f>
        <v/>
      </c>
      <c r="P529" s="9" t="n"/>
    </row>
    <row r="530">
      <c r="A530" s="13" t="inlineStr">
        <is>
          <t>Chosen of Markov // Markov's Servant / Escolhida de Markov // Serva de Markov</t>
        </is>
      </c>
      <c r="B530" s="13" t="inlineStr">
        <is>
          <t>Creature — Human // Creature — Vampire / Criatura — Humano</t>
        </is>
      </c>
      <c r="C530" s="13" t="inlineStr">
        <is>
          <t>Common / Comum</t>
        </is>
      </c>
      <c r="D530" s="13" t="inlineStr">
        <is>
          <t>Chosen of Markov: {T}, Tap an untapped Vampire you control: Transform this creature. / {T}, Vire um Vampiro desvirado que você controla: Transforme Escolhida de Markov.</t>
        </is>
      </c>
      <c r="E530" s="13" t="inlineStr">
        <is>
          <t>{2}{B}</t>
        </is>
      </c>
      <c r="F530" s="13" t="inlineStr">
        <is>
          <t>Preto</t>
        </is>
      </c>
      <c r="G530" s="8" t="n">
        <v>0.09</v>
      </c>
      <c r="H530" s="13" t="inlineStr">
        <is>
          <t>Dark Ascension (DKA)</t>
        </is>
      </c>
      <c r="I530" s="13" t="inlineStr">
        <is>
          <t>Não</t>
        </is>
      </c>
      <c r="J530" s="13" t="n">
        <v>2012</v>
      </c>
      <c r="K530" s="10" t="n">
        <v>46055</v>
      </c>
      <c r="L530" s="13" t="n">
        <v>2</v>
      </c>
      <c r="M530" s="8">
        <f>L530*G530</f>
        <v/>
      </c>
      <c r="P530" s="9" t="n"/>
    </row>
    <row r="531">
      <c r="A531" s="13" t="inlineStr">
        <is>
          <t>Chromatic Armor / Armadura Cromática</t>
        </is>
      </c>
      <c r="B531" s="13" t="inlineStr">
        <is>
          <t>Enchantment — Aura</t>
        </is>
      </c>
      <c r="C531" s="13" t="inlineStr">
        <is>
          <t>Rare / Rara</t>
        </is>
      </c>
      <c r="D531" s="13"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531" s="13" t="inlineStr">
        <is>
          <t>{1}{W}{U}</t>
        </is>
      </c>
      <c r="F531" s="13" t="inlineStr">
        <is>
          <t>Azul, Branco</t>
        </is>
      </c>
      <c r="G531" s="8" t="n">
        <v>2.4</v>
      </c>
      <c r="H531" s="13" t="inlineStr">
        <is>
          <t>Ice Age (ICE)</t>
        </is>
      </c>
      <c r="I531" s="13" t="inlineStr">
        <is>
          <t>Não</t>
        </is>
      </c>
      <c r="J531" s="13" t="n">
        <v>1995</v>
      </c>
      <c r="L531" s="13" t="n">
        <v>1</v>
      </c>
      <c r="M531" s="8">
        <f>L531*G531</f>
        <v/>
      </c>
      <c r="N531" s="13" t="inlineStr">
        <is>
          <t>Pasta</t>
        </is>
      </c>
      <c r="P531" s="9" t="n"/>
    </row>
    <row r="532">
      <c r="A532" s="13" t="inlineStr">
        <is>
          <t>Chrome Companion</t>
        </is>
      </c>
      <c r="B532" s="13" t="inlineStr">
        <is>
          <t>Artifact Creature — Dog</t>
        </is>
      </c>
      <c r="C532" s="13" t="inlineStr">
        <is>
          <t>Common</t>
        </is>
      </c>
      <c r="D532" s="13" t="inlineStr">
        <is>
          <t>Whenever this creature becomes tapped, you gain 1 life. {2}, {T}: Put target card from a graveyard on the bottom of its owner's library.</t>
        </is>
      </c>
      <c r="E532" s="13" t="inlineStr">
        <is>
          <t>{2}</t>
        </is>
      </c>
      <c r="F532" s="13" t="inlineStr">
        <is>
          <t>Colorless</t>
        </is>
      </c>
      <c r="G532" s="8" t="n">
        <v>0.05</v>
      </c>
      <c r="H532" s="13" t="inlineStr">
        <is>
          <t>Edge of Eternity (EOE)</t>
        </is>
      </c>
      <c r="I532" s="13" t="inlineStr">
        <is>
          <t>Não</t>
        </is>
      </c>
      <c r="J532" s="13" t="n">
        <v>2025</v>
      </c>
      <c r="K532" s="10" t="n">
        <v>46024</v>
      </c>
      <c r="L532" s="13" t="n">
        <v>1</v>
      </c>
      <c r="M532" s="8">
        <f>L532*G532</f>
        <v/>
      </c>
      <c r="P532" s="9" t="n"/>
    </row>
    <row r="533">
      <c r="A533" s="13" t="inlineStr">
        <is>
          <t>Chronic Flooding / Alagamento Crônico</t>
        </is>
      </c>
      <c r="B533" s="13" t="inlineStr">
        <is>
          <t>Enchantment — Aura / Encantamento — Aura</t>
        </is>
      </c>
      <c r="C533" s="13" t="inlineStr">
        <is>
          <t>Common / Comum</t>
        </is>
      </c>
      <c r="D533" s="13" t="inlineStr">
        <is>
          <t>Enchant land Whenever enchanted land becomes tapped, its controller mills three cards. / Encantar terreno Toda vez que o terreno encantado é virado, seu controlador coloca os três cards do topo do grimório dele no próprio cemitério.</t>
        </is>
      </c>
      <c r="E533" s="13" t="inlineStr">
        <is>
          <t>{1}{U}</t>
        </is>
      </c>
      <c r="F533" s="13" t="inlineStr">
        <is>
          <t>Azul</t>
        </is>
      </c>
      <c r="G533" s="8" t="n">
        <v>0.05</v>
      </c>
      <c r="H533" s="13" t="inlineStr">
        <is>
          <t>Return to Ravnica (RTR)</t>
        </is>
      </c>
      <c r="I533" s="13" t="inlineStr">
        <is>
          <t>Não</t>
        </is>
      </c>
      <c r="J533" s="13" t="n">
        <v>2012</v>
      </c>
      <c r="L533" s="13" t="n">
        <v>1</v>
      </c>
      <c r="M533" s="8">
        <f>L533*G533</f>
        <v/>
      </c>
      <c r="P533" s="9" t="n"/>
    </row>
    <row r="534">
      <c r="A534" s="13" t="inlineStr">
        <is>
          <t>Chuva de Estrelas</t>
        </is>
      </c>
      <c r="B534" s="13" t="inlineStr">
        <is>
          <t>Mágica Instantânea</t>
        </is>
      </c>
      <c r="C534" s="13" t="inlineStr">
        <is>
          <t>Comum</t>
        </is>
      </c>
      <c r="D534" s="13" t="inlineStr">
        <is>
          <t>Chuva de Estrelas causa 3 pontos de dano à criatura alvo. Se aquela criatura for um encantamento, Chuva de Estrelas causará 3 pontos de dano ao controlador daquela criatura.</t>
        </is>
      </c>
      <c r="E534" s="13" t="inlineStr">
        <is>
          <t>4R</t>
        </is>
      </c>
      <c r="F534" s="13" t="inlineStr">
        <is>
          <t>Vermelha</t>
        </is>
      </c>
      <c r="G534" s="8" t="n">
        <v>0.03</v>
      </c>
      <c r="H534" s="13" t="inlineStr">
        <is>
          <t>Journey into Nyx</t>
        </is>
      </c>
      <c r="I534" s="13" t="inlineStr">
        <is>
          <t>Não</t>
        </is>
      </c>
      <c r="J534" s="13" t="n">
        <v>2014</v>
      </c>
      <c r="L534" s="13" t="n">
        <v>5</v>
      </c>
      <c r="M534" s="8">
        <f>L534*G534</f>
        <v/>
      </c>
      <c r="P534" s="9" t="n"/>
    </row>
    <row r="535">
      <c r="A535" s="13" t="inlineStr">
        <is>
          <t>Ciclope do Chicote-corrente / Chainwhip Cyclops</t>
        </is>
      </c>
      <c r="B535" s="13" t="inlineStr">
        <is>
          <t>Criatura — Ciclope Guerreiro / Creature — Cyclops Warrior</t>
        </is>
      </c>
      <c r="C535" s="13" t="inlineStr">
        <is>
          <t>Comum / Common</t>
        </is>
      </c>
      <c r="D535" s="13" t="inlineStr">
        <is>
          <t>{3}{R}: A criatura alvo não pode bloquear neste turno. / {3}{R}: Target creature can't block this turn.</t>
        </is>
      </c>
      <c r="E535" s="13" t="inlineStr">
        <is>
          <t>{4}{R}</t>
        </is>
      </c>
      <c r="F535" s="13" t="inlineStr">
        <is>
          <t>Vermelho / Red</t>
        </is>
      </c>
      <c r="G535" s="8" t="n">
        <v>0.03</v>
      </c>
      <c r="H535" s="13" t="inlineStr">
        <is>
          <t>War of the Spark (WAR)</t>
        </is>
      </c>
      <c r="I535" s="13" t="inlineStr">
        <is>
          <t>Não</t>
        </is>
      </c>
      <c r="J535" s="13" t="n">
        <v>2019</v>
      </c>
      <c r="K535" s="10" t="n">
        <v>46116</v>
      </c>
      <c r="L535" s="13" t="n">
        <v>1</v>
      </c>
      <c r="M535" s="8">
        <f>L535*G535</f>
        <v/>
      </c>
      <c r="P535" s="9" t="n"/>
    </row>
    <row r="536">
      <c r="A536" s="13" t="inlineStr">
        <is>
          <t>Ciclope Glutão</t>
        </is>
      </c>
      <c r="B536" s="13" t="inlineStr">
        <is>
          <t>Criatura — Ciclope</t>
        </is>
      </c>
      <c r="C536" s="13" t="inlineStr">
        <is>
          <t>Comum</t>
        </is>
      </c>
      <c r="D536" s="13" t="inlineStr">
        <is>
          <t>5RR: Monstruosidade 3. (Se esta criatura não for monstruosa, coloque três marcadores +1/+1 nela e ela se tornará monstruosa.)</t>
        </is>
      </c>
      <c r="E536" s="13" t="inlineStr">
        <is>
          <t>5R</t>
        </is>
      </c>
      <c r="F536" s="13" t="inlineStr">
        <is>
          <t>Vermelha</t>
        </is>
      </c>
      <c r="G536" s="8" t="n">
        <v>0.03</v>
      </c>
      <c r="H536" s="13" t="inlineStr">
        <is>
          <t>Journey into Nyx</t>
        </is>
      </c>
      <c r="I536" s="13" t="inlineStr">
        <is>
          <t>Não</t>
        </is>
      </c>
      <c r="J536" s="13" t="n">
        <v>2014</v>
      </c>
      <c r="K536" s="10" t="n">
        <v>46117</v>
      </c>
      <c r="L536" s="13" t="n">
        <v>2</v>
      </c>
      <c r="M536" s="8">
        <f>L536*G536</f>
        <v/>
      </c>
      <c r="P536" s="9" t="n"/>
    </row>
    <row r="537">
      <c r="A537" s="13" t="inlineStr">
        <is>
          <t>Cinder Barrens / Desolação de Cinzas</t>
        </is>
      </c>
      <c r="B537" s="13" t="inlineStr">
        <is>
          <t>Land / Terreno</t>
        </is>
      </c>
      <c r="C537" s="13" t="inlineStr">
        <is>
          <t>Uncommon / Incomum</t>
        </is>
      </c>
      <c r="D537" s="13" t="inlineStr">
        <is>
          <t>This land enters tapped. {T}: Add {B} or {R}. / Desolação de Cinzas entra no campo de batalha virada. {T}: Adicione {B} ou {R}.</t>
        </is>
      </c>
      <c r="F537" s="13" t="inlineStr">
        <is>
          <t>Preto, Vermelho</t>
        </is>
      </c>
      <c r="G537" s="8" t="n">
        <v>0.19</v>
      </c>
      <c r="H537" s="13" t="inlineStr">
        <is>
          <t>Oath of the Gatewatch (OGW)</t>
        </is>
      </c>
      <c r="I537" s="13" t="inlineStr">
        <is>
          <t>Não</t>
        </is>
      </c>
      <c r="J537" s="13" t="n">
        <v>2016</v>
      </c>
      <c r="L537" s="13" t="n">
        <v>1</v>
      </c>
      <c r="M537" s="8">
        <f>L537*G537</f>
        <v/>
      </c>
      <c r="N537" s="13" t="inlineStr">
        <is>
          <t>Bulk Shopee</t>
        </is>
      </c>
      <c r="P537" s="9" t="n"/>
    </row>
    <row r="538">
      <c r="A538" s="13" t="inlineStr">
        <is>
          <t>Cinder Cerberus / Cérbero Incendiário</t>
        </is>
      </c>
      <c r="B538" s="13" t="inlineStr">
        <is>
          <t>Criatura — Sabujo</t>
        </is>
      </c>
      <c r="C538" s="13" t="inlineStr">
        <is>
          <t>Incomum</t>
        </is>
      </c>
      <c r="D538" s="13"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38" s="13" t="inlineStr">
        <is>
          <t>4R</t>
        </is>
      </c>
      <c r="F538" s="13" t="inlineStr">
        <is>
          <t>Vermelho</t>
        </is>
      </c>
      <c r="G538" s="8" t="n">
        <v>0.05</v>
      </c>
      <c r="H538" s="13" t="inlineStr">
        <is>
          <t>Journey into Nyx</t>
        </is>
      </c>
      <c r="I538" s="13" t="inlineStr">
        <is>
          <t>Não</t>
        </is>
      </c>
      <c r="J538" s="13" t="n">
        <v>2014</v>
      </c>
      <c r="K538" s="10" t="n">
        <v>46085</v>
      </c>
      <c r="L538" s="13" t="n">
        <v>1</v>
      </c>
      <c r="M538" s="8">
        <f>L538*G538</f>
        <v/>
      </c>
      <c r="P538" s="9" t="n"/>
    </row>
    <row r="539">
      <c r="A539" s="13" t="inlineStr">
        <is>
          <t>Cinder Marsh / Pântano de Cinzas</t>
        </is>
      </c>
      <c r="B539" s="13" t="inlineStr">
        <is>
          <t>Land</t>
        </is>
      </c>
      <c r="C539" s="13" t="inlineStr">
        <is>
          <t>Uncommon</t>
        </is>
      </c>
      <c r="D539" s="13" t="inlineStr">
        <is>
          <t>{T}: Add one colorless mana to your mana pool. {T}: Add {B} or {R} to your mana pool. Cinder Marsh does not untap during your next untap phase.</t>
        </is>
      </c>
      <c r="E539" s="13" t="inlineStr">
        <is>
          <t>{0}</t>
        </is>
      </c>
      <c r="F539" s="13" t="inlineStr">
        <is>
          <t>Colorless</t>
        </is>
      </c>
      <c r="G539" s="8" t="n">
        <v>0.45</v>
      </c>
      <c r="H539" s="13" t="inlineStr">
        <is>
          <t>Tempest (TMP)</t>
        </is>
      </c>
      <c r="I539" s="13" t="inlineStr">
        <is>
          <t>No</t>
        </is>
      </c>
      <c r="J539" s="13" t="n">
        <v>1997</v>
      </c>
      <c r="L539" s="13" t="n">
        <v>1</v>
      </c>
      <c r="M539" s="8">
        <f>L539*G539</f>
        <v/>
      </c>
      <c r="P539" s="9" t="n"/>
    </row>
    <row r="540">
      <c r="A540" s="13" t="inlineStr">
        <is>
          <t>Cinderheart Giant / Gigante do Coração Ardente</t>
        </is>
      </c>
      <c r="B540" s="13" t="inlineStr">
        <is>
          <t>Creature — Giant Berserker / Criatura — Gigante Amoque</t>
        </is>
      </c>
      <c r="C540" s="13" t="inlineStr">
        <is>
          <t>Common / Comum</t>
        </is>
      </c>
      <c r="D540" s="13" t="inlineStr">
        <is>
          <t>Trample When this creature dies, it deals 7 damage to a creature an opponent controls chosen at random. / Atropelar Quando Gigante do Coração Ardente morre, ele causa 7 pontos de dano a uma criatura que um oponente controla escolhida aleatoriamente.</t>
        </is>
      </c>
      <c r="E540" s="13" t="inlineStr">
        <is>
          <t>{5}{R}{R}</t>
        </is>
      </c>
      <c r="F540" s="13" t="inlineStr">
        <is>
          <t>Vermelho</t>
        </is>
      </c>
      <c r="G540" s="8" t="n">
        <v>0.06</v>
      </c>
      <c r="H540" s="13" t="inlineStr">
        <is>
          <t>Kaldheim (KHM)</t>
        </is>
      </c>
      <c r="I540" s="13" t="inlineStr">
        <is>
          <t>Não</t>
        </is>
      </c>
      <c r="J540" s="13" t="n">
        <v>2021</v>
      </c>
      <c r="K540" s="10" t="n">
        <v>46180</v>
      </c>
      <c r="L540" s="13" t="n">
        <v>1</v>
      </c>
      <c r="M540" s="8">
        <f>L540*G540</f>
        <v/>
      </c>
      <c r="P540" s="9" t="n"/>
    </row>
    <row r="541">
      <c r="A541" s="13" t="inlineStr">
        <is>
          <t>Cinderslash Ravager / Devastador da Brasa Fendente</t>
        </is>
      </c>
      <c r="B541" s="13" t="inlineStr">
        <is>
          <t>Creature — Phyrexian Warrior / Criatura — Phyrexiano Guerreiro</t>
        </is>
      </c>
      <c r="C541" s="13" t="inlineStr">
        <is>
          <t>Uncommon / Incomum</t>
        </is>
      </c>
      <c r="D541" s="13"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541" s="13" t="inlineStr">
        <is>
          <t>{4}{R}{G}</t>
        </is>
      </c>
      <c r="F541" s="13" t="inlineStr">
        <is>
          <t>Verde, Vermelho</t>
        </is>
      </c>
      <c r="G541" s="8" t="n">
        <v>0.04</v>
      </c>
      <c r="H541" s="13" t="inlineStr">
        <is>
          <t>Phyrexia: All Will Be One (ONE)</t>
        </is>
      </c>
      <c r="I541" s="13" t="inlineStr">
        <is>
          <t>Não</t>
        </is>
      </c>
      <c r="J541" s="13" t="n">
        <v>2023</v>
      </c>
      <c r="K541" s="10" t="n">
        <v>46147</v>
      </c>
      <c r="L541" s="13" t="n">
        <v>1</v>
      </c>
      <c r="M541" s="8">
        <f>L541*G541</f>
        <v/>
      </c>
      <c r="P541" s="9" t="n"/>
    </row>
    <row r="542">
      <c r="A542" s="13" t="inlineStr">
        <is>
          <t>Circle of Power / Círculo de Poder</t>
        </is>
      </c>
      <c r="B542" s="13" t="inlineStr">
        <is>
          <t>Feitiço</t>
        </is>
      </c>
      <c r="C542" s="13" t="inlineStr">
        <is>
          <t>Incomum</t>
        </is>
      </c>
      <c r="D542" s="13"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542" s="13" t="inlineStr">
        <is>
          <t>3{B}</t>
        </is>
      </c>
      <c r="F542" s="13" t="inlineStr">
        <is>
          <t>Preto</t>
        </is>
      </c>
      <c r="G542" s="8" t="n">
        <v>0.25</v>
      </c>
      <c r="H542" s="13" t="inlineStr">
        <is>
          <t>Final Fantasy</t>
        </is>
      </c>
      <c r="I542" s="13" t="inlineStr">
        <is>
          <t>Não</t>
        </is>
      </c>
      <c r="J542" s="13" t="n">
        <v>2025</v>
      </c>
      <c r="L542" s="13" t="n">
        <v>3</v>
      </c>
      <c r="M542" s="8">
        <f>L542*G542</f>
        <v/>
      </c>
      <c r="P542" s="9" t="n"/>
    </row>
    <row r="543">
      <c r="A543" s="13" t="inlineStr">
        <is>
          <t>Circle of Protection: Artifacts</t>
        </is>
      </c>
      <c r="B543" s="13" t="inlineStr">
        <is>
          <t>Encantamento / Enchantment</t>
        </is>
      </c>
      <c r="C543" s="13" t="inlineStr">
        <is>
          <t>Comum / Common</t>
        </is>
      </c>
      <c r="D543" s="13" t="inlineStr">
        <is>
          <t>{2}: Prevent all damage against you from one artifact source. If a source deals damage to you more than once in a turn, you may pay {2} each time to prevent the damage.</t>
        </is>
      </c>
      <c r="E543" s="13" t="inlineStr">
        <is>
          <t>{1}{W}</t>
        </is>
      </c>
      <c r="F543" s="13" t="inlineStr">
        <is>
          <t>Branco</t>
        </is>
      </c>
      <c r="G543" s="8" t="n">
        <v>0.25</v>
      </c>
      <c r="H543" s="13" t="inlineStr">
        <is>
          <t>Fourth Edition</t>
        </is>
      </c>
      <c r="I543" s="13" t="inlineStr">
        <is>
          <t>Não</t>
        </is>
      </c>
      <c r="J543" s="13" t="n">
        <v>1995</v>
      </c>
      <c r="L543" s="13" t="n">
        <v>1</v>
      </c>
      <c r="M543" s="8">
        <f>L543*G543</f>
        <v/>
      </c>
      <c r="P543" s="9" t="n"/>
    </row>
    <row r="544">
      <c r="A544" s="13" t="inlineStr">
        <is>
          <t>Circle of Protection: Artifacts / Círculo de Proteção: Artefatos</t>
        </is>
      </c>
      <c r="B544" s="13" t="inlineStr">
        <is>
          <t>Enchantment / Encantamento</t>
        </is>
      </c>
      <c r="C544" s="13" t="inlineStr">
        <is>
          <t>Common / Comum</t>
        </is>
      </c>
      <c r="D544" s="13" t="inlineStr">
        <is>
          <t>{2}: Prevent all damage that would be dealt to you by an artifact source of your choice.</t>
        </is>
      </c>
      <c r="E544" s="13" t="inlineStr">
        <is>
          <t>{1}{W}</t>
        </is>
      </c>
      <c r="F544" s="13" t="inlineStr">
        <is>
          <t>Branco</t>
        </is>
      </c>
      <c r="G544" s="8" t="n">
        <v>0.51</v>
      </c>
      <c r="H544" s="13" t="inlineStr">
        <is>
          <t>Fourth Edition (4ED)</t>
        </is>
      </c>
      <c r="I544" s="13" t="inlineStr">
        <is>
          <t>No</t>
        </is>
      </c>
      <c r="J544" s="13" t="n">
        <v>1995</v>
      </c>
      <c r="L544" s="13" t="n">
        <v>1</v>
      </c>
      <c r="M544" s="8">
        <f>L544*G544</f>
        <v/>
      </c>
      <c r="P544" s="9" t="n"/>
    </row>
    <row r="545">
      <c r="A545" s="13" t="inlineStr">
        <is>
          <t>Circle of Protection: Green</t>
        </is>
      </c>
      <c r="B545" s="13" t="inlineStr">
        <is>
          <t>Encantamento / Enchantment</t>
        </is>
      </c>
      <c r="C545" s="13" t="inlineStr">
        <is>
          <t>Comum / Common</t>
        </is>
      </c>
      <c r="D545" s="13" t="inlineStr">
        <is>
          <t>{1}: Prevent all damage against you from one green source. If a source deals damage to you more than once in a turn, you may pay {1} each time to prevent the damage.</t>
        </is>
      </c>
      <c r="E545" s="13" t="inlineStr">
        <is>
          <t>{1}{W}</t>
        </is>
      </c>
      <c r="F545" s="13" t="inlineStr">
        <is>
          <t>Branco</t>
        </is>
      </c>
      <c r="G545" s="8" t="n">
        <v>0.02</v>
      </c>
      <c r="H545" s="13" t="inlineStr">
        <is>
          <t>Chronicles (CHR)</t>
        </is>
      </c>
      <c r="I545" s="13" t="inlineStr">
        <is>
          <t>Não</t>
        </is>
      </c>
      <c r="J545" s="13" t="n">
        <v>1995</v>
      </c>
      <c r="L545" s="13" t="n">
        <v>4</v>
      </c>
      <c r="M545" s="8">
        <f>L545*G545</f>
        <v/>
      </c>
      <c r="P545" s="9" t="n"/>
    </row>
    <row r="546">
      <c r="A546" s="13" t="inlineStr">
        <is>
          <t>Circle of Protection: Green</t>
        </is>
      </c>
      <c r="B546" s="13" t="inlineStr">
        <is>
          <t>Encantamento / Enchantment</t>
        </is>
      </c>
      <c r="C546" s="13" t="inlineStr">
        <is>
          <t>Comum / Common</t>
        </is>
      </c>
      <c r="D546" s="13" t="inlineStr">
        <is>
          <t>{1}: Prevent all damage against you from one green source. If a source deals damage to you more than once in a turn, you may pay {1} each time to prevent the damage.</t>
        </is>
      </c>
      <c r="E546" s="13" t="inlineStr">
        <is>
          <t>{1}{W}</t>
        </is>
      </c>
      <c r="F546" s="13" t="inlineStr">
        <is>
          <t>Branco</t>
        </is>
      </c>
      <c r="G546" s="8" t="n">
        <v>0.1</v>
      </c>
      <c r="H546" s="13" t="inlineStr">
        <is>
          <t>Fourth Edition</t>
        </is>
      </c>
      <c r="I546" s="13" t="inlineStr">
        <is>
          <t>Não</t>
        </is>
      </c>
      <c r="J546" s="13" t="n">
        <v>1995</v>
      </c>
      <c r="L546" s="13" t="n">
        <v>1</v>
      </c>
      <c r="M546" s="8">
        <f>L546*G546</f>
        <v/>
      </c>
      <c r="P546" s="9" t="n"/>
    </row>
    <row r="547">
      <c r="A547" s="13" t="inlineStr">
        <is>
          <t>Circle of Protection: Green / Círculo de Proteção: Verde</t>
        </is>
      </c>
      <c r="B547" s="13" t="inlineStr">
        <is>
          <t>Enchantment</t>
        </is>
      </c>
      <c r="C547" s="13" t="inlineStr">
        <is>
          <t>Common</t>
        </is>
      </c>
      <c r="D547" s="13" t="inlineStr">
        <is>
          <t>{1}: Prevent all damage against you from one green source. If a source deals damage to you more than once in a turn, you may pay {1} each time to prevent the damage.</t>
        </is>
      </c>
      <c r="E547" s="13" t="inlineStr">
        <is>
          <t>{1}{W}</t>
        </is>
      </c>
      <c r="F547" s="13" t="inlineStr">
        <is>
          <t>Branco</t>
        </is>
      </c>
      <c r="G547" s="8" t="n">
        <v>0.1</v>
      </c>
      <c r="H547" s="13" t="inlineStr">
        <is>
          <t>Fourth Edition (4ED) Reprint</t>
        </is>
      </c>
      <c r="I547" s="13" t="inlineStr">
        <is>
          <t>No</t>
        </is>
      </c>
      <c r="J547" s="13" t="n">
        <v>1995</v>
      </c>
      <c r="L547" s="13" t="n">
        <v>1</v>
      </c>
      <c r="M547" s="8">
        <f>L547*G547</f>
        <v/>
      </c>
      <c r="P547" s="9" t="n"/>
    </row>
    <row r="548">
      <c r="A548" s="13" t="inlineStr">
        <is>
          <t>Circle of Protection: Preto / Círculo de Proteção: Preto</t>
        </is>
      </c>
      <c r="B548" s="13" t="inlineStr">
        <is>
          <t>Enchantment</t>
        </is>
      </c>
      <c r="C548" s="13" t="inlineStr">
        <is>
          <t>Common</t>
        </is>
      </c>
      <c r="D548" s="13" t="inlineStr">
        <is>
          <t>{1}: Prevent all damage against you from one Preto source. If a source deals damage to you more than once in a turn, you may pay {1} each time to prevent the damage.</t>
        </is>
      </c>
      <c r="E548" s="13" t="inlineStr">
        <is>
          <t>{1}{W}</t>
        </is>
      </c>
      <c r="F548" s="13" t="inlineStr">
        <is>
          <t>White</t>
        </is>
      </c>
      <c r="G548" s="8" t="n">
        <v>0.2</v>
      </c>
      <c r="H548" s="13" t="inlineStr">
        <is>
          <t>Fourth Edition (4ED)</t>
        </is>
      </c>
      <c r="I548" s="13" t="inlineStr">
        <is>
          <t>No</t>
        </is>
      </c>
      <c r="J548" s="13" t="n">
        <v>1995</v>
      </c>
      <c r="L548" s="13" t="n">
        <v>3</v>
      </c>
      <c r="M548" s="8">
        <f>L548*G548</f>
        <v/>
      </c>
      <c r="P548" s="9" t="n"/>
    </row>
    <row r="549">
      <c r="A549" s="13" t="inlineStr">
        <is>
          <t>Circle of Protection: Red / Círculo de Proteção: Vermelho</t>
        </is>
      </c>
      <c r="B549" s="13" t="inlineStr">
        <is>
          <t>Enchantment</t>
        </is>
      </c>
      <c r="C549" s="13" t="inlineStr">
        <is>
          <t>Common</t>
        </is>
      </c>
      <c r="D549" s="13" t="inlineStr">
        <is>
          <t>{1}: Prevent all damage against you from one red source. If a source deals damage to you more than once in a turn, you may pay {1} each time to prevent the damage.</t>
        </is>
      </c>
      <c r="E549" s="13" t="inlineStr">
        <is>
          <t>{1}{W}</t>
        </is>
      </c>
      <c r="F549" s="13" t="inlineStr">
        <is>
          <t>White</t>
        </is>
      </c>
      <c r="G549" s="8" t="n">
        <v>0.24</v>
      </c>
      <c r="H549" s="13" t="inlineStr">
        <is>
          <t>Fourth Edition (4ED)</t>
        </is>
      </c>
      <c r="I549" s="13" t="inlineStr">
        <is>
          <t>No</t>
        </is>
      </c>
      <c r="J549" s="13" t="n">
        <v>1995</v>
      </c>
      <c r="L549" s="13" t="n">
        <v>4</v>
      </c>
      <c r="M549" s="8">
        <f>L549*G549</f>
        <v/>
      </c>
      <c r="P549" s="9" t="n"/>
    </row>
    <row r="550">
      <c r="A550" s="13" t="inlineStr">
        <is>
          <t>Circle of Protection: White / Círculo de Proteção: Branco</t>
        </is>
      </c>
      <c r="B550" s="13" t="inlineStr">
        <is>
          <t>Enchantment / Encantamento</t>
        </is>
      </c>
      <c r="C550" s="13" t="inlineStr">
        <is>
          <t>Common / Comum</t>
        </is>
      </c>
      <c r="D550" s="13" t="inlineStr">
        <is>
          <t>{1}: Prevent all damage that would be dealt to you by a source of your choice.</t>
        </is>
      </c>
      <c r="E550" s="13" t="inlineStr">
        <is>
          <t>{1}{W}</t>
        </is>
      </c>
      <c r="F550" s="13" t="inlineStr">
        <is>
          <t>Branco</t>
        </is>
      </c>
      <c r="G550" s="8" t="n">
        <v>0.45</v>
      </c>
      <c r="H550" s="13" t="inlineStr">
        <is>
          <t>Fourth Edition (4ED)</t>
        </is>
      </c>
      <c r="I550" s="13" t="inlineStr">
        <is>
          <t>No</t>
        </is>
      </c>
      <c r="J550" s="13" t="n">
        <v>1995</v>
      </c>
      <c r="L550" s="13" t="n">
        <v>1</v>
      </c>
      <c r="M550" s="8">
        <f>L550*G550</f>
        <v/>
      </c>
      <c r="P550" s="9" t="n"/>
    </row>
    <row r="551">
      <c r="A551" s="13" t="inlineStr">
        <is>
          <t>Circolo di Protezione: Rosso / Circle of Protection: Red</t>
        </is>
      </c>
      <c r="B551" s="13" t="inlineStr">
        <is>
          <t>Incantesimo / Enchantment</t>
        </is>
      </c>
      <c r="C551" s="13" t="inlineStr">
        <is>
          <t>Comum / Common</t>
        </is>
      </c>
      <c r="D551" s="13"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551" s="13" t="inlineStr">
        <is>
          <t>{1}{W}</t>
        </is>
      </c>
      <c r="F551" s="13" t="inlineStr">
        <is>
          <t>Branco</t>
        </is>
      </c>
      <c r="G551" s="8" t="n">
        <v>0.2</v>
      </c>
      <c r="H551" s="13" t="inlineStr">
        <is>
          <t>Fourth Edition</t>
        </is>
      </c>
      <c r="I551" s="13" t="inlineStr">
        <is>
          <t>Não</t>
        </is>
      </c>
      <c r="J551" s="13" t="n">
        <v>1994</v>
      </c>
      <c r="L551" s="13" t="n">
        <v>1</v>
      </c>
      <c r="M551" s="8">
        <f>L551*G551</f>
        <v/>
      </c>
      <c r="P551" s="9" t="n"/>
    </row>
    <row r="552">
      <c r="A552" s="13" t="inlineStr">
        <is>
          <t>Circolo di Protezione: Rosso / Circle of Protection: Red</t>
        </is>
      </c>
      <c r="B552" s="13" t="inlineStr">
        <is>
          <t>Incantesimo / Enchantment</t>
        </is>
      </c>
      <c r="C552" s="13" t="inlineStr">
        <is>
          <t>Comum / Common</t>
        </is>
      </c>
      <c r="D552" s="13"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552" s="13" t="inlineStr">
        <is>
          <t>{1}{W}</t>
        </is>
      </c>
      <c r="F552" s="13" t="inlineStr">
        <is>
          <t>Branco</t>
        </is>
      </c>
      <c r="G552" s="8" t="n">
        <v>1</v>
      </c>
      <c r="H552" s="13" t="inlineStr">
        <is>
          <t>Fourth Edition (BB)</t>
        </is>
      </c>
      <c r="I552" s="13" t="inlineStr">
        <is>
          <t>Não</t>
        </is>
      </c>
      <c r="J552" s="13" t="n">
        <v>1994</v>
      </c>
      <c r="L552" s="13" t="n">
        <v>8</v>
      </c>
      <c r="M552" s="8">
        <f>L552*G552</f>
        <v/>
      </c>
      <c r="P552" s="9" t="n"/>
    </row>
    <row r="553">
      <c r="A553" s="13" t="inlineStr">
        <is>
          <t>Círculo de Proteção: Azul / Circle of Protection: Blue</t>
        </is>
      </c>
      <c r="B553" s="13" t="inlineStr">
        <is>
          <t>Encantamento / Enchantment</t>
        </is>
      </c>
      <c r="C553" s="13" t="inlineStr">
        <is>
          <t>Comum / Common</t>
        </is>
      </c>
      <c r="D553" s="13"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553" s="13" t="inlineStr">
        <is>
          <t>{1}{W}</t>
        </is>
      </c>
      <c r="F553" s="13" t="inlineStr">
        <is>
          <t>Branco</t>
        </is>
      </c>
      <c r="G553" s="8" t="n">
        <v>0.1</v>
      </c>
      <c r="H553" s="13" t="inlineStr">
        <is>
          <t>Fourth Edition</t>
        </is>
      </c>
      <c r="I553" s="13" t="inlineStr">
        <is>
          <t>Não</t>
        </is>
      </c>
      <c r="J553" s="13" t="n">
        <v>1995</v>
      </c>
      <c r="L553" s="13" t="n">
        <v>1</v>
      </c>
      <c r="M553" s="8">
        <f>L553*G553</f>
        <v/>
      </c>
      <c r="P553" s="9" t="n"/>
    </row>
    <row r="554">
      <c r="A554" s="13" t="inlineStr">
        <is>
          <t>Círculo de Proteção: Azul / Circle of Protection: Blue</t>
        </is>
      </c>
      <c r="B554" s="13" t="inlineStr">
        <is>
          <t>Encantamento / Enchantment</t>
        </is>
      </c>
      <c r="C554" s="13" t="inlineStr">
        <is>
          <t>Comum / Common</t>
        </is>
      </c>
      <c r="D554" s="13"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554" s="13" t="inlineStr">
        <is>
          <t>{1}{W}</t>
        </is>
      </c>
      <c r="F554" s="13" t="inlineStr">
        <is>
          <t>Branco</t>
        </is>
      </c>
      <c r="G554" s="8" t="n">
        <v>0.49</v>
      </c>
      <c r="H554" s="13" t="inlineStr">
        <is>
          <t>Fourth Edition (BB)</t>
        </is>
      </c>
      <c r="I554" s="13" t="inlineStr">
        <is>
          <t>Não</t>
        </is>
      </c>
      <c r="J554" s="13" t="n">
        <v>1995</v>
      </c>
      <c r="L554" s="13" t="n">
        <v>7</v>
      </c>
      <c r="M554" s="8">
        <f>L554*G554</f>
        <v/>
      </c>
      <c r="P554" s="9" t="n"/>
    </row>
    <row r="555">
      <c r="A555" s="13" t="inlineStr">
        <is>
          <t>Círculo de Proteção: Preto / Circle of Protection: Black</t>
        </is>
      </c>
      <c r="B555" s="13" t="inlineStr">
        <is>
          <t>Encantamento / Enchantment</t>
        </is>
      </c>
      <c r="C555" s="13" t="inlineStr">
        <is>
          <t>Comum / Common</t>
        </is>
      </c>
      <c r="D555" s="13"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555" s="13" t="inlineStr">
        <is>
          <t>{1}{W}</t>
        </is>
      </c>
      <c r="F555" s="13" t="inlineStr">
        <is>
          <t>Branco</t>
        </is>
      </c>
      <c r="G555" s="8" t="n">
        <v>0.15</v>
      </c>
      <c r="H555" s="13" t="inlineStr">
        <is>
          <t>Fourth Edition</t>
        </is>
      </c>
      <c r="I555" s="13" t="inlineStr">
        <is>
          <t>Não</t>
        </is>
      </c>
      <c r="J555" s="13" t="n">
        <v>1995</v>
      </c>
      <c r="L555" s="13" t="n">
        <v>3</v>
      </c>
      <c r="M555" s="8">
        <f>L555*G555</f>
        <v/>
      </c>
      <c r="P555" s="9" t="n"/>
    </row>
    <row r="556">
      <c r="A556" s="13" t="inlineStr">
        <is>
          <t>Círculo de Proteção: Preto / Circle of Protection: Black</t>
        </is>
      </c>
      <c r="B556" s="13" t="inlineStr">
        <is>
          <t>Encantamento / Enchantment</t>
        </is>
      </c>
      <c r="C556" s="13" t="inlineStr">
        <is>
          <t>Comum / Common</t>
        </is>
      </c>
      <c r="D556" s="13"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556" s="13" t="inlineStr">
        <is>
          <t>{1}{W}</t>
        </is>
      </c>
      <c r="F556" s="13" t="inlineStr">
        <is>
          <t>Branco</t>
        </is>
      </c>
      <c r="G556" s="8" t="n">
        <v>0.36</v>
      </c>
      <c r="H556" s="13" t="inlineStr">
        <is>
          <t>Fourth Edition (BB)</t>
        </is>
      </c>
      <c r="I556" s="13" t="inlineStr">
        <is>
          <t>Não</t>
        </is>
      </c>
      <c r="J556" s="13" t="n">
        <v>1995</v>
      </c>
      <c r="L556" s="13" t="n">
        <v>2</v>
      </c>
      <c r="M556" s="8">
        <f>L556*G556</f>
        <v/>
      </c>
      <c r="P556" s="9" t="n"/>
    </row>
    <row r="557">
      <c r="A557" s="13" t="inlineStr">
        <is>
          <t>Círculo de Proteção: Preto / Circle of Protection: Black</t>
        </is>
      </c>
      <c r="B557" s="13" t="inlineStr">
        <is>
          <t>Encantamento / Enchantment</t>
        </is>
      </c>
      <c r="C557" s="13" t="inlineStr">
        <is>
          <t>Comum / Common</t>
        </is>
      </c>
      <c r="D557" s="13"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557" s="13" t="inlineStr">
        <is>
          <t>{1}{W}</t>
        </is>
      </c>
      <c r="F557" s="13" t="inlineStr">
        <is>
          <t>Branco</t>
        </is>
      </c>
      <c r="G557" s="8" t="n">
        <v>0.3</v>
      </c>
      <c r="H557" s="13" t="inlineStr">
        <is>
          <t>Ice Age (ICE)</t>
        </is>
      </c>
      <c r="I557" s="13" t="inlineStr">
        <is>
          <t>Não</t>
        </is>
      </c>
      <c r="J557" s="13" t="n">
        <v>1995</v>
      </c>
      <c r="L557" s="13" t="n">
        <v>3</v>
      </c>
      <c r="M557" s="8">
        <f>L557*G557</f>
        <v/>
      </c>
      <c r="P557" s="9" t="n"/>
    </row>
    <row r="558">
      <c r="A558" s="13" t="inlineStr">
        <is>
          <t>Círculo de Proteção: Preto / Circle of Protection: Black</t>
        </is>
      </c>
      <c r="B558" s="13" t="inlineStr">
        <is>
          <t>Encantamento / Enchantment</t>
        </is>
      </c>
      <c r="C558" s="13" t="inlineStr">
        <is>
          <t>Comum / Common</t>
        </is>
      </c>
      <c r="D558" s="13"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558" s="13" t="inlineStr">
        <is>
          <t>{1}{W}</t>
        </is>
      </c>
      <c r="F558" s="13" t="inlineStr">
        <is>
          <t>Branco</t>
        </is>
      </c>
      <c r="G558" s="8" t="n">
        <v>0.3</v>
      </c>
      <c r="H558" s="13" t="inlineStr">
        <is>
          <t>Revised Edition</t>
        </is>
      </c>
      <c r="I558" s="13" t="inlineStr">
        <is>
          <t>Não</t>
        </is>
      </c>
      <c r="J558" s="13" t="n">
        <v>1994</v>
      </c>
      <c r="L558" s="13" t="n">
        <v>1</v>
      </c>
      <c r="M558" s="8">
        <f>L558*G558</f>
        <v/>
      </c>
      <c r="P558" s="9" t="n"/>
    </row>
    <row r="559">
      <c r="A559" s="13" t="inlineStr">
        <is>
          <t>Círculo de Proteção: Verde / Circle of Protection: Green</t>
        </is>
      </c>
      <c r="B559" s="13" t="inlineStr">
        <is>
          <t>Encantamento</t>
        </is>
      </c>
      <c r="C559" s="13" t="inlineStr">
        <is>
          <t>Comum</t>
        </is>
      </c>
      <c r="D559" s="13" t="inlineStr">
        <is>
          <t>{1}: Evita qualquer dano de uma única origem verde contra você. Se esta fonte lhe causar dano mais de uma vez num mesmo turno, você poderá pagar 1 em cada uma das vezes para evitar o dano.</t>
        </is>
      </c>
      <c r="E559" s="13" t="inlineStr">
        <is>
          <t>{1}{W}</t>
        </is>
      </c>
      <c r="F559" s="13" t="inlineStr">
        <is>
          <t>Branco</t>
        </is>
      </c>
      <c r="G559" s="8" t="n">
        <v>0.2</v>
      </c>
      <c r="H559" s="13" t="inlineStr">
        <is>
          <t>Fourth Edition (4ED)</t>
        </is>
      </c>
      <c r="I559" s="13" t="inlineStr">
        <is>
          <t>Não</t>
        </is>
      </c>
      <c r="J559" s="13" t="n">
        <v>1995</v>
      </c>
      <c r="L559" s="13" t="n">
        <v>3</v>
      </c>
      <c r="M559" s="8">
        <f>L559*G559</f>
        <v/>
      </c>
      <c r="P559" s="9" t="n"/>
    </row>
    <row r="560">
      <c r="A560" s="13" t="inlineStr">
        <is>
          <t>City Pigeon / Pombo da Cidade</t>
        </is>
      </c>
      <c r="B560" s="13" t="inlineStr">
        <is>
          <t>Criatura — Ave</t>
        </is>
      </c>
      <c r="C560" s="13" t="inlineStr">
        <is>
          <t>Comum</t>
        </is>
      </c>
      <c r="D560" s="13" t="inlineStr">
        <is>
          <t>Voar. Quando esta criatura deixar o campo de batalha, crie uma ficha de Comida. (Ela é um artefato com "{2}, {T}, Sacrifique esta ficha: Você ganha 3 pontos de vida.")</t>
        </is>
      </c>
      <c r="E560" s="13" t="inlineStr">
        <is>
          <t>{W}</t>
        </is>
      </c>
      <c r="F560" s="13" t="inlineStr">
        <is>
          <t>Branco</t>
        </is>
      </c>
      <c r="G560" s="8" t="n">
        <v>0.05</v>
      </c>
      <c r="H560" s="13" t="inlineStr">
        <is>
          <t>Marvel: Spider-Man (SPM)</t>
        </is>
      </c>
      <c r="I560" s="13" t="inlineStr">
        <is>
          <t>Não</t>
        </is>
      </c>
      <c r="J560" s="13" t="n">
        <v>2025</v>
      </c>
      <c r="K560" s="10" t="n">
        <v>46023</v>
      </c>
      <c r="L560" s="13" t="n">
        <v>7</v>
      </c>
      <c r="M560" s="8">
        <f>L560*G560</f>
        <v/>
      </c>
      <c r="P560" s="9" t="n"/>
    </row>
    <row r="561">
      <c r="A561" s="13" t="inlineStr">
        <is>
          <t>City Pigeon / Pombo da Cidade</t>
        </is>
      </c>
      <c r="B561" s="13" t="inlineStr">
        <is>
          <t>Criatura — Ave</t>
        </is>
      </c>
      <c r="C561" s="13" t="inlineStr">
        <is>
          <t>Comum</t>
        </is>
      </c>
      <c r="D561" s="13" t="inlineStr">
        <is>
          <t>Voar. Quando esta criatura deixar o campo de batalha, crie uma ficha de Comida. (Ela é um artefato com "{2}, {T}, Sacrifique esta ficha: Você ganha 3 pontos de vida.")</t>
        </is>
      </c>
      <c r="E561" s="13" t="inlineStr">
        <is>
          <t>{W}</t>
        </is>
      </c>
      <c r="F561" s="13" t="inlineStr">
        <is>
          <t>Branco</t>
        </is>
      </c>
      <c r="G561" s="8" t="n">
        <v>0.3</v>
      </c>
      <c r="H561" s="13" t="inlineStr">
        <is>
          <t>Marvel: Spider-Man (SPM)</t>
        </is>
      </c>
      <c r="I561" s="13" t="inlineStr">
        <is>
          <t>Não</t>
        </is>
      </c>
      <c r="J561" s="13" t="n">
        <v>2025</v>
      </c>
      <c r="K561" s="10" t="n">
        <v>46023</v>
      </c>
      <c r="L561" s="13" t="n">
        <v>2</v>
      </c>
      <c r="M561" s="8">
        <f>L561*G561</f>
        <v/>
      </c>
      <c r="P561" s="9" t="n"/>
    </row>
    <row r="562">
      <c r="A562" s="13" t="inlineStr">
        <is>
          <t>Claim the Kingdom / Reivindicar o Reino</t>
        </is>
      </c>
      <c r="B562" s="13" t="inlineStr">
        <is>
          <t>Encantamento — Plano</t>
        </is>
      </c>
      <c r="C562" s="13" t="inlineStr">
        <is>
          <t>Incomum</t>
        </is>
      </c>
      <c r="D562" s="13"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562" s="13" t="inlineStr">
        <is>
          <t>1{G}</t>
        </is>
      </c>
      <c r="F562" s="13" t="inlineStr">
        <is>
          <t>Verde</t>
        </is>
      </c>
      <c r="G562" s="8" t="n">
        <v>0.64</v>
      </c>
      <c r="H562" s="13" t="inlineStr">
        <is>
          <t>Marvel</t>
        </is>
      </c>
      <c r="I562" s="13" t="inlineStr">
        <is>
          <t>Não</t>
        </is>
      </c>
      <c r="J562" s="13" t="n">
        <v>2026</v>
      </c>
      <c r="L562" s="13" t="n">
        <v>2</v>
      </c>
      <c r="M562" s="8">
        <f>L562*G562</f>
        <v/>
      </c>
      <c r="P562" s="9" t="n"/>
    </row>
    <row r="563">
      <c r="A563" s="13" t="inlineStr">
        <is>
          <t>Clamor Shaman / Xamã do Clamor</t>
        </is>
      </c>
      <c r="B563" s="13" t="inlineStr">
        <is>
          <t>Creature — Goblin Shaman / Criatura — Goblin Xamã</t>
        </is>
      </c>
      <c r="C563" s="13" t="inlineStr">
        <is>
          <t>Uncommon / Incomum</t>
        </is>
      </c>
      <c r="D563" s="13"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563" s="13" t="inlineStr">
        <is>
          <t>{2}{R}</t>
        </is>
      </c>
      <c r="F563" s="13" t="inlineStr">
        <is>
          <t>Vermelho</t>
        </is>
      </c>
      <c r="G563" s="8" t="n">
        <v>0.04</v>
      </c>
      <c r="H563" s="13" t="inlineStr">
        <is>
          <t>Ravnica Allegiance (RNA)</t>
        </is>
      </c>
      <c r="I563" s="13" t="inlineStr">
        <is>
          <t>Não</t>
        </is>
      </c>
      <c r="J563" s="13" t="n">
        <v>2019</v>
      </c>
      <c r="K563" s="10" t="n">
        <v>46023</v>
      </c>
      <c r="L563" s="13" t="n">
        <v>1</v>
      </c>
      <c r="M563" s="8">
        <f>L563*G563</f>
        <v/>
      </c>
      <c r="P563" s="9" t="n"/>
    </row>
    <row r="564">
      <c r="A564" s="13" t="inlineStr">
        <is>
          <t>Clash of the Eikons</t>
        </is>
      </c>
      <c r="B564" s="13" t="inlineStr">
        <is>
          <t>Sorcery</t>
        </is>
      </c>
      <c r="C564" s="13" t="inlineStr">
        <is>
          <t>Incomum</t>
        </is>
      </c>
      <c r="D564" s="13"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564" s="13" t="inlineStr">
        <is>
          <t>G</t>
        </is>
      </c>
      <c r="F564" s="13" t="inlineStr">
        <is>
          <t>Verde</t>
        </is>
      </c>
      <c r="G564" s="8" t="n">
        <v>0.76</v>
      </c>
      <c r="H564" s="13" t="inlineStr">
        <is>
          <t>Final Fantasy (FFXVI)</t>
        </is>
      </c>
      <c r="I564" s="13" t="inlineStr">
        <is>
          <t>Sim</t>
        </is>
      </c>
      <c r="J564" s="13" t="n">
        <v>2025</v>
      </c>
      <c r="L564" s="13" t="n">
        <v>2</v>
      </c>
      <c r="M564" s="8">
        <f>L564*G564</f>
        <v/>
      </c>
      <c r="P564" s="9" t="n"/>
    </row>
    <row r="565">
      <c r="A565" s="13" t="inlineStr">
        <is>
          <t>Clash of Titans / Batalha dos Titãs</t>
        </is>
      </c>
      <c r="B565" s="13" t="inlineStr">
        <is>
          <t>Instant / Mágica Instantânea</t>
        </is>
      </c>
      <c r="C565" s="13" t="inlineStr">
        <is>
          <t>Uncommon / Incomum</t>
        </is>
      </c>
      <c r="D565" s="13" t="inlineStr">
        <is>
          <t>Target creature fights another target creature. (Each deals damage equal to its power to the other.) / A criatura alvo luta com outra criatura alvo. (Cada uma causa dano igual ao seu poder à outra.)</t>
        </is>
      </c>
      <c r="E565" s="13" t="inlineStr">
        <is>
          <t>{3}{R}{R}</t>
        </is>
      </c>
      <c r="F565" s="13" t="inlineStr">
        <is>
          <t>Vermelho</t>
        </is>
      </c>
      <c r="G565" s="8" t="n">
        <v>0.08</v>
      </c>
      <c r="H565" s="13" t="inlineStr">
        <is>
          <t>Ikoria: Lair of Behemoths (IKO)</t>
        </is>
      </c>
      <c r="I565" s="13" t="inlineStr">
        <is>
          <t>Não</t>
        </is>
      </c>
      <c r="J565" s="13" t="n">
        <v>2020</v>
      </c>
      <c r="L565" s="13" t="n">
        <v>1</v>
      </c>
      <c r="M565" s="8">
        <f>L565*G565</f>
        <v/>
      </c>
      <c r="P565" s="9" t="n"/>
    </row>
    <row r="566">
      <c r="A566" s="13" t="inlineStr">
        <is>
          <t>Clawing Torment / Tormento dos Arranhões</t>
        </is>
      </c>
      <c r="B566" s="13" t="inlineStr">
        <is>
          <t>Enchantment — Aura / Encantamento — Aura</t>
        </is>
      </c>
      <c r="C566" s="13" t="inlineStr">
        <is>
          <t>Common / Comum</t>
        </is>
      </c>
      <c r="D566" s="13"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566" s="13" t="inlineStr">
        <is>
          <t>{B}</t>
        </is>
      </c>
      <c r="F566" s="13" t="inlineStr">
        <is>
          <t>Preto</t>
        </is>
      </c>
      <c r="G566" s="8" t="n">
        <v>0.2</v>
      </c>
      <c r="H566" s="13" t="inlineStr">
        <is>
          <t>Kamigawa: Neon Dynasty (NEO)</t>
        </is>
      </c>
      <c r="I566" s="13" t="inlineStr">
        <is>
          <t>Não</t>
        </is>
      </c>
      <c r="J566" s="13" t="n">
        <v>2022</v>
      </c>
      <c r="L566" s="13" t="n">
        <v>1</v>
      </c>
      <c r="M566" s="8">
        <f>L566*G566</f>
        <v/>
      </c>
      <c r="P566" s="9" t="n"/>
    </row>
    <row r="567">
      <c r="A567" s="13" t="inlineStr">
        <is>
          <t>Clay Statue / Ídolo de Barro</t>
        </is>
      </c>
      <c r="B567" s="13" t="inlineStr">
        <is>
          <t>Artifact Creature — Golem</t>
        </is>
      </c>
      <c r="C567" s="13" t="inlineStr">
        <is>
          <t>Common / Comum</t>
        </is>
      </c>
      <c r="D567" s="13" t="inlineStr">
        <is>
          <t>{2}: Regenerate this creature.</t>
        </is>
      </c>
      <c r="E567" s="13" t="inlineStr">
        <is>
          <t>{4}</t>
        </is>
      </c>
      <c r="F567" s="13" t="inlineStr">
        <is>
          <t>Incolor</t>
        </is>
      </c>
      <c r="G567" s="8" t="n">
        <v>0.05</v>
      </c>
      <c r="H567" s="13" t="inlineStr">
        <is>
          <t>Fourth Edition</t>
        </is>
      </c>
      <c r="I567" s="13" t="inlineStr">
        <is>
          <t>Não</t>
        </is>
      </c>
      <c r="J567" s="13" t="n">
        <v>1995</v>
      </c>
      <c r="K567" s="10" t="n">
        <v>46025</v>
      </c>
      <c r="L567" s="13" t="n">
        <v>3</v>
      </c>
      <c r="M567" s="8">
        <f>L567*G567</f>
        <v/>
      </c>
      <c r="P567" s="9" t="n"/>
    </row>
    <row r="568">
      <c r="A568" s="13" t="inlineStr">
        <is>
          <t>Clay Statue / Ídolo de Barro</t>
        </is>
      </c>
      <c r="B568" s="13" t="inlineStr">
        <is>
          <t>Artifact Creature — Golem</t>
        </is>
      </c>
      <c r="C568" s="13" t="inlineStr">
        <is>
          <t>Common / Comum</t>
        </is>
      </c>
      <c r="D568" s="13" t="inlineStr">
        <is>
          <t>{2}: Regenerate this creature.</t>
        </is>
      </c>
      <c r="E568" s="13" t="inlineStr">
        <is>
          <t>{4}</t>
        </is>
      </c>
      <c r="F568" s="13" t="inlineStr">
        <is>
          <t>Incolor</t>
        </is>
      </c>
      <c r="G568" s="8" t="n">
        <v>0.1</v>
      </c>
      <c r="H568" s="13" t="inlineStr">
        <is>
          <t>Fourth Edition (BB)</t>
        </is>
      </c>
      <c r="I568" s="13" t="inlineStr">
        <is>
          <t>Não</t>
        </is>
      </c>
      <c r="J568" s="13" t="n">
        <v>1995</v>
      </c>
      <c r="K568" s="10" t="n">
        <v>46025</v>
      </c>
      <c r="L568" s="13" t="n">
        <v>4</v>
      </c>
      <c r="M568" s="8">
        <f>L568*G568</f>
        <v/>
      </c>
      <c r="P568" s="9" t="n"/>
    </row>
    <row r="569">
      <c r="A569" s="13" t="inlineStr">
        <is>
          <t>Clay-Fired Bricks / Tijolos Refratários</t>
        </is>
      </c>
      <c r="B569" s="13" t="inlineStr">
        <is>
          <t>Artifact / Artefato</t>
        </is>
      </c>
      <c r="C569" s="13" t="inlineStr">
        <is>
          <t>Uncommon / Incomum</t>
        </is>
      </c>
      <c r="D569" s="13"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569" s="13" t="inlineStr">
        <is>
          <t>{1}{W}</t>
        </is>
      </c>
      <c r="F569" s="13" t="inlineStr">
        <is>
          <t>Branco</t>
        </is>
      </c>
      <c r="G569" s="8" t="n">
        <v>0.1</v>
      </c>
      <c r="H569" s="13" t="inlineStr">
        <is>
          <t>The Lost Caverns of Ixalan (LCI)</t>
        </is>
      </c>
      <c r="I569" s="13" t="inlineStr">
        <is>
          <t>Não</t>
        </is>
      </c>
      <c r="J569" s="13" t="n">
        <v>2023</v>
      </c>
      <c r="L569" s="13" t="n">
        <v>1</v>
      </c>
      <c r="M569" s="8">
        <f>L569*G569</f>
        <v/>
      </c>
      <c r="P569" s="9" t="n"/>
    </row>
    <row r="570">
      <c r="A570" s="13" t="inlineStr">
        <is>
          <t>Clear the Mind / Limpar a Mente</t>
        </is>
      </c>
      <c r="B570" s="13" t="inlineStr">
        <is>
          <t>Sorcery / Feitiço</t>
        </is>
      </c>
      <c r="C570" s="13" t="inlineStr">
        <is>
          <t>Common / Comum</t>
        </is>
      </c>
      <c r="D570" s="13" t="inlineStr">
        <is>
          <t>Target player shuffles their graveyard into their library. Draw a card. / O jogador alvo embaralha o próprio cemitério no próprio grimório. Compre um card.</t>
        </is>
      </c>
      <c r="E570" s="13" t="inlineStr">
        <is>
          <t>{2}{U}</t>
        </is>
      </c>
      <c r="F570" s="13" t="inlineStr">
        <is>
          <t>Azul</t>
        </is>
      </c>
      <c r="G570" s="8" t="n">
        <v>0.06</v>
      </c>
      <c r="H570" s="13" t="inlineStr">
        <is>
          <t>Ravnica Allegiance (RNA)</t>
        </is>
      </c>
      <c r="I570" s="13" t="inlineStr">
        <is>
          <t>Não</t>
        </is>
      </c>
      <c r="J570" s="13" t="n">
        <v>2019</v>
      </c>
      <c r="L570" s="13" t="n">
        <v>3</v>
      </c>
      <c r="M570" s="8">
        <f>L570*G570</f>
        <v/>
      </c>
      <c r="P570" s="9" t="n"/>
    </row>
    <row r="571">
      <c r="A571" s="13" t="inlineStr">
        <is>
          <t>Clinging Mists / Brumas Pegajosas</t>
        </is>
      </c>
      <c r="B571" s="13" t="inlineStr">
        <is>
          <t>Instant / Mágica Instantânea</t>
        </is>
      </c>
      <c r="C571" s="13" t="inlineStr">
        <is>
          <t>Common / Comum</t>
        </is>
      </c>
      <c r="D571" s="13"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571" s="13" t="inlineStr">
        <is>
          <t>{2}{G}</t>
        </is>
      </c>
      <c r="F571" s="13" t="inlineStr">
        <is>
          <t>Verde</t>
        </is>
      </c>
      <c r="G571" s="8" t="n">
        <v>0.05</v>
      </c>
      <c r="H571" s="13" t="inlineStr">
        <is>
          <t>Dark Ascension (DKA)</t>
        </is>
      </c>
      <c r="I571" s="13" t="inlineStr">
        <is>
          <t>Não</t>
        </is>
      </c>
      <c r="J571" s="13" t="n">
        <v>2012</v>
      </c>
      <c r="L571" s="13" t="n">
        <v>1</v>
      </c>
      <c r="M571" s="8">
        <f>L571*G571</f>
        <v/>
      </c>
      <c r="P571" s="9" t="n"/>
    </row>
    <row r="572">
      <c r="A572" s="13" t="inlineStr">
        <is>
          <t>Cloaked Siren / Sirena Camuflada</t>
        </is>
      </c>
      <c r="B572" s="13" t="inlineStr">
        <is>
          <t>Criatura — Sirena</t>
        </is>
      </c>
      <c r="C572" s="13" t="inlineStr">
        <is>
          <t>Comum</t>
        </is>
      </c>
      <c r="D572" s="13" t="inlineStr">
        <is>
          <t>Lampejo (Você poderá conjurar esta mágica a qualquer momento em que puder conjurar uma mágica instantânea.) Voar</t>
        </is>
      </c>
      <c r="E572" s="13" t="inlineStr">
        <is>
          <t>3U</t>
        </is>
      </c>
      <c r="F572" s="13" t="inlineStr">
        <is>
          <t>Azul</t>
        </is>
      </c>
      <c r="G572" s="8" t="n">
        <v>0.03</v>
      </c>
      <c r="H572" s="13" t="inlineStr">
        <is>
          <t>Journey into Nyx</t>
        </is>
      </c>
      <c r="I572" s="13" t="inlineStr">
        <is>
          <t>Não</t>
        </is>
      </c>
      <c r="J572" s="13" t="n">
        <v>2014</v>
      </c>
      <c r="K572" s="10" t="n">
        <v>46056</v>
      </c>
      <c r="L572" s="13" t="n">
        <v>4</v>
      </c>
      <c r="M572" s="8">
        <f>L572*G572</f>
        <v/>
      </c>
      <c r="P572" s="9" t="n"/>
    </row>
    <row r="573">
      <c r="A573" s="13" t="inlineStr">
        <is>
          <t>Cloakwood Hermit / Eremita de Floresta do Manto</t>
        </is>
      </c>
      <c r="B573" s="13" t="inlineStr">
        <is>
          <t>Legendary Enchantment — Background / Encantamento Lendário — Antecedente</t>
        </is>
      </c>
      <c r="C573" s="13" t="inlineStr">
        <is>
          <t>Uncommon / Incomum</t>
        </is>
      </c>
      <c r="D573" s="13"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573" s="13" t="inlineStr">
        <is>
          <t>{2}{G}</t>
        </is>
      </c>
      <c r="F573" s="13" t="inlineStr">
        <is>
          <t>Verde</t>
        </is>
      </c>
      <c r="G573" s="8" t="n">
        <v>0.06</v>
      </c>
      <c r="H573" s="13" t="inlineStr">
        <is>
          <t>Commander Legends: Battle for Baldur's Gate (CLB)</t>
        </is>
      </c>
      <c r="I573" s="13" t="inlineStr">
        <is>
          <t>Não</t>
        </is>
      </c>
      <c r="J573" s="13" t="n">
        <v>2022</v>
      </c>
      <c r="L573" s="13" t="n">
        <v>1</v>
      </c>
      <c r="M573" s="8">
        <f>L573*G573</f>
        <v/>
      </c>
      <c r="P573" s="9" t="n"/>
    </row>
    <row r="574">
      <c r="A574" s="13" t="inlineStr">
        <is>
          <t>Cloakwood Hermit / Eremita de Floresta do Manto</t>
        </is>
      </c>
      <c r="B574" s="13" t="inlineStr">
        <is>
          <t>Legendary Enchantment — Background / Encantamento Lendário — Antecedente</t>
        </is>
      </c>
      <c r="C574" s="13" t="inlineStr">
        <is>
          <t>Uncommon / Incomum</t>
        </is>
      </c>
      <c r="D574" s="13"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574" s="13" t="inlineStr">
        <is>
          <t>{2}{G}</t>
        </is>
      </c>
      <c r="F574" s="13" t="inlineStr">
        <is>
          <t>Verde</t>
        </is>
      </c>
      <c r="G574" s="8" t="n">
        <v>0.68</v>
      </c>
      <c r="H574" s="13" t="inlineStr">
        <is>
          <t>Commander Legends: Battle for Baldur's Gate (CLB) FE</t>
        </is>
      </c>
      <c r="I574" s="13" t="inlineStr">
        <is>
          <t>Sim</t>
        </is>
      </c>
      <c r="J574" s="13" t="n">
        <v>2022</v>
      </c>
      <c r="L574" s="13" t="n">
        <v>1</v>
      </c>
      <c r="M574" s="8">
        <f>L574*G574</f>
        <v/>
      </c>
      <c r="P574" s="9" t="n"/>
    </row>
    <row r="575">
      <c r="A575" s="13" t="inlineStr">
        <is>
          <t>Clockwork Beast / Besta Mecânica</t>
        </is>
      </c>
      <c r="B575" s="13" t="inlineStr">
        <is>
          <t>Artifact Creature — Beast</t>
        </is>
      </c>
      <c r="C575" s="13" t="inlineStr">
        <is>
          <t>Rare / Rara</t>
        </is>
      </c>
      <c r="D575" s="13"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575" s="13" t="inlineStr">
        <is>
          <t>{6}</t>
        </is>
      </c>
      <c r="F575" s="13" t="inlineStr">
        <is>
          <t>Incolor</t>
        </is>
      </c>
      <c r="G575" s="8" t="n">
        <v>0.5</v>
      </c>
      <c r="H575" s="13" t="inlineStr">
        <is>
          <t>Fourth Edition</t>
        </is>
      </c>
      <c r="I575" s="13" t="inlineStr">
        <is>
          <t>Não</t>
        </is>
      </c>
      <c r="J575" s="13" t="n">
        <v>1995</v>
      </c>
      <c r="K575" s="13" t="inlineStr">
        <is>
          <t>0/4</t>
        </is>
      </c>
      <c r="L575" s="13" t="n">
        <v>1</v>
      </c>
      <c r="M575" s="8">
        <f>L575*G575</f>
        <v/>
      </c>
      <c r="P575" s="9" t="n"/>
    </row>
    <row r="576">
      <c r="A576" s="13" t="inlineStr">
        <is>
          <t>Clockwork Beast / Besta Mecânica</t>
        </is>
      </c>
      <c r="B576" s="13" t="inlineStr">
        <is>
          <t>Artifact Creature — Beast</t>
        </is>
      </c>
      <c r="C576" s="13" t="inlineStr">
        <is>
          <t>Rare / Rara</t>
        </is>
      </c>
      <c r="D576" s="13"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576" s="13" t="inlineStr">
        <is>
          <t>{6}</t>
        </is>
      </c>
      <c r="F576" s="13" t="inlineStr">
        <is>
          <t>Incolor</t>
        </is>
      </c>
      <c r="G576" s="8" t="n">
        <v>1.5</v>
      </c>
      <c r="H576" s="13" t="inlineStr">
        <is>
          <t>Revised Edition</t>
        </is>
      </c>
      <c r="I576" s="13" t="inlineStr">
        <is>
          <t>Não</t>
        </is>
      </c>
      <c r="J576" s="13" t="n">
        <v>1994</v>
      </c>
      <c r="K576" s="13" t="inlineStr">
        <is>
          <t>0/4</t>
        </is>
      </c>
      <c r="L576" s="13" t="n">
        <v>1</v>
      </c>
      <c r="M576" s="8">
        <f>L576*G576</f>
        <v/>
      </c>
      <c r="N576" s="13" t="inlineStr">
        <is>
          <t>Pasta</t>
        </is>
      </c>
      <c r="P576" s="9" t="n"/>
    </row>
    <row r="577">
      <c r="A577" s="13" t="inlineStr">
        <is>
          <t>Clockwork Gnomes / Gnomos Mecânicos</t>
        </is>
      </c>
      <c r="B577" s="13" t="inlineStr">
        <is>
          <t>Artifact Creature — Gnome</t>
        </is>
      </c>
      <c r="C577" s="13" t="inlineStr">
        <is>
          <t>Common / Comum</t>
        </is>
      </c>
      <c r="D577" s="13" t="inlineStr">
        <is>
          <t>{3}, {T}: Regenerate target artifact creature.</t>
        </is>
      </c>
      <c r="E577" s="13" t="inlineStr">
        <is>
          <t>{4}</t>
        </is>
      </c>
      <c r="F577" s="13" t="inlineStr">
        <is>
          <t>Incolor</t>
        </is>
      </c>
      <c r="G577" s="8" t="n">
        <v>0.1</v>
      </c>
      <c r="H577" s="13" t="inlineStr">
        <is>
          <t>Homelands (HML)</t>
        </is>
      </c>
      <c r="I577" s="13" t="inlineStr">
        <is>
          <t>Não</t>
        </is>
      </c>
      <c r="J577" s="13" t="n">
        <v>1995</v>
      </c>
      <c r="K577" s="10" t="n">
        <v>46055</v>
      </c>
      <c r="L577" s="13" t="n">
        <v>2</v>
      </c>
      <c r="M577" s="8">
        <f>L577*G577</f>
        <v/>
      </c>
      <c r="P577" s="9" t="n"/>
    </row>
    <row r="578">
      <c r="A578" s="13" t="inlineStr">
        <is>
          <t>Clockwork Hydra / Hidra Mecânica</t>
        </is>
      </c>
      <c r="B578" s="13" t="inlineStr">
        <is>
          <t>Artifact Creature — Hydra / Criatura Artefato — Hidra</t>
        </is>
      </c>
      <c r="C578" s="13" t="inlineStr">
        <is>
          <t>Uncommon / Incomum</t>
        </is>
      </c>
      <c r="D578" s="13"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578" s="13" t="inlineStr">
        <is>
          <t>{5}</t>
        </is>
      </c>
      <c r="F578" s="13" t="inlineStr">
        <is>
          <t>Incolor</t>
        </is>
      </c>
      <c r="G578" s="8" t="n">
        <v>0.15</v>
      </c>
      <c r="H578" s="13" t="inlineStr">
        <is>
          <t>Jumpstart 2022 (J22)</t>
        </is>
      </c>
      <c r="I578" s="13" t="inlineStr">
        <is>
          <t>Não</t>
        </is>
      </c>
      <c r="J578" s="13" t="n">
        <v>2022</v>
      </c>
      <c r="K578" s="13" t="inlineStr">
        <is>
          <t>0/0</t>
        </is>
      </c>
      <c r="L578" s="13" t="n">
        <v>1</v>
      </c>
      <c r="M578" s="8">
        <f>L578*G578</f>
        <v/>
      </c>
      <c r="P578" s="9" t="n"/>
    </row>
    <row r="579">
      <c r="A579" s="13" t="inlineStr">
        <is>
          <t>Close Encounter / Encontro Imediato</t>
        </is>
      </c>
      <c r="B579" s="13" t="inlineStr">
        <is>
          <t>Mágica Instantânea</t>
        </is>
      </c>
      <c r="C579" s="13" t="inlineStr">
        <is>
          <t>Incomum</t>
        </is>
      </c>
      <c r="D579" s="13" t="inlineStr">
        <is>
          <t>Como um custo adicional para conjurar esta mágica, escolha uma criatura que você controla ou um card de criatura dobrado que você possui no exílio. Close Encounter causa dano igual ao poder da criatura ou card escolhido à criatura alvo.</t>
        </is>
      </c>
      <c r="E579" s="13" t="inlineStr">
        <is>
          <t>1{G}</t>
        </is>
      </c>
      <c r="F579" s="13" t="inlineStr">
        <is>
          <t>Verde</t>
        </is>
      </c>
      <c r="G579" s="8" t="n">
        <v>0.09</v>
      </c>
      <c r="H579" s="13" t="inlineStr">
        <is>
          <t>Edge of Eternity</t>
        </is>
      </c>
      <c r="I579" s="13" t="inlineStr">
        <is>
          <t>Não</t>
        </is>
      </c>
      <c r="J579" s="13" t="n">
        <v>2025</v>
      </c>
      <c r="L579" s="13" t="n">
        <v>1</v>
      </c>
      <c r="M579" s="8">
        <f>L579*G579</f>
        <v/>
      </c>
      <c r="P579" s="9" t="n"/>
    </row>
    <row r="580">
      <c r="A580" s="13" t="inlineStr">
        <is>
          <t>Cloudbound Moogle / Moogle das Nuvens</t>
        </is>
      </c>
      <c r="B580" s="13" t="inlineStr">
        <is>
          <t>Criatura — Moogle</t>
        </is>
      </c>
      <c r="C580" s="13" t="inlineStr">
        <is>
          <t>Comum</t>
        </is>
      </c>
      <c r="D580" s="13" t="inlineStr">
        <is>
          <t>Voar. Quando esta criatura entrar, coloque um marcador +1/+1 na criatura alvo. Reciclar Planície {2} ({2}, Descarte este card: Procure em seu grimório por um card de Planície, revele-o, coloque-o em sua mão e depois embaralhe.)</t>
        </is>
      </c>
      <c r="E580" s="13" t="inlineStr">
        <is>
          <t>3{W}{W}</t>
        </is>
      </c>
      <c r="F580" s="13" t="inlineStr">
        <is>
          <t>Branco</t>
        </is>
      </c>
      <c r="G580" s="8" t="n">
        <v>0.09</v>
      </c>
      <c r="H580" s="13" t="inlineStr">
        <is>
          <t>Final Fantasy</t>
        </is>
      </c>
      <c r="I580" s="13" t="inlineStr">
        <is>
          <t>Não</t>
        </is>
      </c>
      <c r="J580" s="13" t="n">
        <v>2025</v>
      </c>
      <c r="K580" s="10" t="n">
        <v>46083</v>
      </c>
      <c r="L580" s="13" t="n">
        <v>8</v>
      </c>
      <c r="M580" s="8">
        <f>L580*G580</f>
        <v/>
      </c>
      <c r="P580" s="9" t="n"/>
    </row>
    <row r="581">
      <c r="A581" s="13" t="inlineStr">
        <is>
          <t>Cloudchaser Eagle / Águia Perseguidora de Nuvens</t>
        </is>
      </c>
      <c r="B581" s="13" t="inlineStr">
        <is>
          <t>Creature — Bird / Criatura — Ave</t>
        </is>
      </c>
      <c r="C581" s="13" t="inlineStr">
        <is>
          <t>Common / Comum</t>
        </is>
      </c>
      <c r="D581" s="13" t="inlineStr">
        <is>
          <t>Flying. When Cloudchaser Eagle comes into play, destroy target enchantment. / Voar. Quando Águia Perseguidora de Nuvens entra em jogo, destrua o encantamento alvo.</t>
        </is>
      </c>
      <c r="E581" s="13" t="inlineStr">
        <is>
          <t>{3}{W}</t>
        </is>
      </c>
      <c r="F581" s="13" t="inlineStr">
        <is>
          <t>Branco</t>
        </is>
      </c>
      <c r="G581" s="8" t="n">
        <v>0.03</v>
      </c>
      <c r="H581" s="13" t="inlineStr">
        <is>
          <t>Tempest (TMP)</t>
        </is>
      </c>
      <c r="I581" s="13" t="inlineStr">
        <is>
          <t>No</t>
        </is>
      </c>
      <c r="J581" s="13" t="n">
        <v>1997</v>
      </c>
      <c r="K581" s="10" t="n">
        <v>46055</v>
      </c>
      <c r="L581" s="13" t="n">
        <v>1</v>
      </c>
      <c r="M581" s="8">
        <f>L581*G581</f>
        <v/>
      </c>
      <c r="P581" s="9" t="n"/>
    </row>
    <row r="582">
      <c r="A582" s="13" t="inlineStr">
        <is>
          <t>Cloudkin Seer / Vidente Nubígena</t>
        </is>
      </c>
      <c r="B582" s="13" t="inlineStr">
        <is>
          <t>Creature — Elemental Wizard / Criatura — Elemental Mago</t>
        </is>
      </c>
      <c r="C582" s="13" t="inlineStr">
        <is>
          <t>Common / Comum</t>
        </is>
      </c>
      <c r="D582" s="13" t="inlineStr">
        <is>
          <t>Flying When this creature enters, draw a card. / Voar Quando Vidente Nubígena entrar no campo de batalha, compre um card.</t>
        </is>
      </c>
      <c r="E582" s="13" t="inlineStr">
        <is>
          <t>{2}{U}</t>
        </is>
      </c>
      <c r="F582" s="13" t="inlineStr">
        <is>
          <t>Azul</t>
        </is>
      </c>
      <c r="G582" s="8" t="n">
        <v>0.1</v>
      </c>
      <c r="H582" s="13" t="inlineStr">
        <is>
          <t>Core Set 2020 (M20)</t>
        </is>
      </c>
      <c r="I582" s="13" t="inlineStr">
        <is>
          <t>Não</t>
        </is>
      </c>
      <c r="J582" s="13" t="n">
        <v>2019</v>
      </c>
      <c r="K582" s="10" t="n">
        <v>46024</v>
      </c>
      <c r="L582" s="13" t="n">
        <v>2</v>
      </c>
      <c r="M582" s="8">
        <f>L582*G582</f>
        <v/>
      </c>
      <c r="P582" s="9" t="n"/>
    </row>
    <row r="583">
      <c r="A583" s="13" t="inlineStr">
        <is>
          <t>Cloudshift / Desvio Nebular</t>
        </is>
      </c>
      <c r="B583" s="13" t="inlineStr">
        <is>
          <t>Instant / Mágica Instantânea</t>
        </is>
      </c>
      <c r="C583" s="13" t="inlineStr">
        <is>
          <t>Common / Comum</t>
        </is>
      </c>
      <c r="D583" s="13" t="inlineStr">
        <is>
          <t>Exile target creature you control, then return that card to the battlefield under your control. / Exile uma criatura alvo que você controla e depois devolva aquele card ao campo de batalha sob seu controle.</t>
        </is>
      </c>
      <c r="E583" s="13" t="inlineStr">
        <is>
          <t>{W}</t>
        </is>
      </c>
      <c r="F583" s="13" t="inlineStr">
        <is>
          <t>Branco</t>
        </is>
      </c>
      <c r="G583" s="8" t="n">
        <v>0.05</v>
      </c>
      <c r="H583" s="13" t="inlineStr">
        <is>
          <t>Avacyn Restored (AVR)</t>
        </is>
      </c>
      <c r="I583" s="13" t="inlineStr">
        <is>
          <t>Não</t>
        </is>
      </c>
      <c r="J583" s="13" t="n">
        <v>2012</v>
      </c>
      <c r="L583" s="13" t="n">
        <v>1</v>
      </c>
      <c r="M583" s="8">
        <f>L583*G583</f>
        <v/>
      </c>
      <c r="P583" s="9" t="n"/>
    </row>
    <row r="584">
      <c r="A584" s="13" t="inlineStr">
        <is>
          <t>Cloudspire Skycycle</t>
        </is>
      </c>
      <c r="B584" s="13" t="inlineStr">
        <is>
          <t>Artifact — Vehicle</t>
        </is>
      </c>
      <c r="C584" s="13" t="inlineStr">
        <is>
          <t>Uncommon / Incomum</t>
        </is>
      </c>
      <c r="D584" s="13" t="inlineStr">
        <is>
          <t>Flying When this Vehicle enters, distribute two +1/+1 counters among one or two other target Vehicles and/or creatures you control. Crew 1</t>
        </is>
      </c>
      <c r="E584" s="13" t="inlineStr">
        <is>
          <t>{2}{R}{W}</t>
        </is>
      </c>
      <c r="F584" s="13" t="inlineStr">
        <is>
          <t>Vermelho, Branco</t>
        </is>
      </c>
      <c r="G584" s="8" t="n">
        <v>0.12</v>
      </c>
      <c r="H584" s="13" t="inlineStr">
        <is>
          <t>Aetherdrift (DFT)</t>
        </is>
      </c>
      <c r="I584" s="13" t="inlineStr">
        <is>
          <t>Não</t>
        </is>
      </c>
      <c r="J584" s="13" t="n">
        <v>2025</v>
      </c>
      <c r="K584" s="10" t="n">
        <v>46083</v>
      </c>
      <c r="L584" s="13" t="n">
        <v>1</v>
      </c>
      <c r="M584" s="8">
        <f>L584*G584</f>
        <v/>
      </c>
      <c r="P584" s="9" t="n"/>
    </row>
    <row r="585">
      <c r="A585" s="13" t="inlineStr">
        <is>
          <t>Coagir / Duress</t>
        </is>
      </c>
      <c r="B585" s="13" t="inlineStr">
        <is>
          <t>Feitiço / Sorcery</t>
        </is>
      </c>
      <c r="C585" s="13" t="inlineStr">
        <is>
          <t>Comum / Common</t>
        </is>
      </c>
      <c r="D585" s="13"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585" s="13" t="inlineStr">
        <is>
          <t>{B}</t>
        </is>
      </c>
      <c r="F585" s="13" t="inlineStr">
        <is>
          <t>Preto / Black</t>
        </is>
      </c>
      <c r="G585" s="8" t="n">
        <v>0.08</v>
      </c>
      <c r="H585" s="13" t="inlineStr">
        <is>
          <t>Core Set 2013 (M13)</t>
        </is>
      </c>
      <c r="I585" s="13" t="inlineStr">
        <is>
          <t>Não</t>
        </is>
      </c>
      <c r="J585" s="13" t="n">
        <v>2012</v>
      </c>
      <c r="L585" s="13" t="n">
        <v>3</v>
      </c>
      <c r="M585" s="8">
        <f>L585*G585</f>
        <v/>
      </c>
      <c r="P585" s="9" t="n"/>
    </row>
    <row r="586">
      <c r="A586" s="13" t="inlineStr">
        <is>
          <t>Coagir / Duress</t>
        </is>
      </c>
      <c r="B586" s="13" t="inlineStr">
        <is>
          <t>Feitiço / Sorcery</t>
        </is>
      </c>
      <c r="C586" s="13" t="inlineStr">
        <is>
          <t>Comum / Common</t>
        </is>
      </c>
      <c r="D586" s="13"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586" s="13" t="inlineStr">
        <is>
          <t>{B}</t>
        </is>
      </c>
      <c r="F586" s="13" t="inlineStr">
        <is>
          <t>Preto / Black</t>
        </is>
      </c>
      <c r="G586" s="8" t="n">
        <v>0.1</v>
      </c>
      <c r="H586" s="13" t="inlineStr">
        <is>
          <t>Core Set 2014 (M14)</t>
        </is>
      </c>
      <c r="I586" s="13" t="inlineStr">
        <is>
          <t>Não</t>
        </is>
      </c>
      <c r="J586" s="13" t="n">
        <v>2013</v>
      </c>
      <c r="L586" s="13" t="n">
        <v>1</v>
      </c>
      <c r="M586" s="8">
        <f>L586*G586</f>
        <v/>
      </c>
      <c r="P586" s="9" t="n"/>
    </row>
    <row r="587">
      <c r="A587" s="13" t="inlineStr">
        <is>
          <t>Coagir / Duress</t>
        </is>
      </c>
      <c r="B587" s="13" t="inlineStr">
        <is>
          <t>Feitiço / Sorcery</t>
        </is>
      </c>
      <c r="C587" s="13" t="inlineStr">
        <is>
          <t>Comum / Common</t>
        </is>
      </c>
      <c r="D587" s="13"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587" s="13" t="inlineStr">
        <is>
          <t>{B}</t>
        </is>
      </c>
      <c r="F587" s="13" t="inlineStr">
        <is>
          <t>Preto / Black</t>
        </is>
      </c>
      <c r="G587" s="8" t="n">
        <v>0.09</v>
      </c>
      <c r="H587" s="13" t="inlineStr">
        <is>
          <t>Core Set 2020 (M20)</t>
        </is>
      </c>
      <c r="I587" s="13" t="inlineStr">
        <is>
          <t>Não</t>
        </is>
      </c>
      <c r="J587" s="13" t="n">
        <v>2019</v>
      </c>
      <c r="L587" s="13" t="n">
        <v>1</v>
      </c>
      <c r="M587" s="8">
        <f>L587*G587</f>
        <v/>
      </c>
      <c r="P587" s="9" t="n"/>
    </row>
    <row r="588">
      <c r="A588" s="13" t="inlineStr">
        <is>
          <t>Coalition Honor Guard</t>
        </is>
      </c>
      <c r="B588" s="13" t="inlineStr">
        <is>
          <t>Criatura — Porta-estandarte / Creature — Flagbearer</t>
        </is>
      </c>
      <c r="C588" s="13" t="inlineStr">
        <is>
          <t>Comum / Common</t>
        </is>
      </c>
      <c r="D588" s="13" t="inlineStr">
        <is>
          <t>If an opponent plays a spell or ability that could target a Flagbearer in play, that player chooses at least one Flagbearer as a target.</t>
        </is>
      </c>
      <c r="E588" s="13" t="inlineStr">
        <is>
          <t>{3}{W}</t>
        </is>
      </c>
      <c r="F588" s="13" t="inlineStr">
        <is>
          <t>Branco</t>
        </is>
      </c>
      <c r="G588" s="8" t="n">
        <v>0.59</v>
      </c>
      <c r="H588" s="13" t="inlineStr">
        <is>
          <t>Apocalypse (APC)</t>
        </is>
      </c>
      <c r="I588" s="13" t="inlineStr">
        <is>
          <t>Não</t>
        </is>
      </c>
      <c r="J588" s="13" t="n">
        <v>2001</v>
      </c>
      <c r="K588" s="10" t="n">
        <v>46114</v>
      </c>
      <c r="L588" s="13" t="n">
        <v>2</v>
      </c>
      <c r="M588" s="8">
        <f>L588*G588</f>
        <v/>
      </c>
      <c r="P588" s="9" t="n"/>
    </row>
    <row r="589">
      <c r="A589" s="13" t="inlineStr">
        <is>
          <t>Coalition Skyknight / Cavaleiro Celeste da Coalizão</t>
        </is>
      </c>
      <c r="B589" s="13" t="inlineStr">
        <is>
          <t>Creature — Human Knight / Criatura — Humano Cavaleiro</t>
        </is>
      </c>
      <c r="C589" s="13" t="inlineStr">
        <is>
          <t>Uncommon / Incomum</t>
        </is>
      </c>
      <c r="D589" s="13"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589" s="13" t="inlineStr">
        <is>
          <t>{3}{W}</t>
        </is>
      </c>
      <c r="F589" s="13" t="inlineStr">
        <is>
          <t>Branco</t>
        </is>
      </c>
      <c r="G589" s="8" t="n">
        <v>0.04</v>
      </c>
      <c r="H589" s="13" t="inlineStr">
        <is>
          <t>Dominaria United (DMU)</t>
        </is>
      </c>
      <c r="I589" s="13" t="inlineStr">
        <is>
          <t>Não</t>
        </is>
      </c>
      <c r="J589" s="13" t="n">
        <v>2022</v>
      </c>
      <c r="K589" s="10" t="n">
        <v>46055</v>
      </c>
      <c r="L589" s="13" t="n">
        <v>1</v>
      </c>
      <c r="M589" s="8">
        <f>L589*G589</f>
        <v/>
      </c>
      <c r="P589" s="9" t="n"/>
    </row>
    <row r="590">
      <c r="A590" s="13" t="inlineStr">
        <is>
          <t>Coeurl / Coeurl</t>
        </is>
      </c>
      <c r="B590" s="13" t="inlineStr">
        <is>
          <t>Criatura — Gato Besta</t>
        </is>
      </c>
      <c r="C590" s="13" t="inlineStr">
        <is>
          <t>Comum</t>
        </is>
      </c>
      <c r="D590" s="13" t="inlineStr">
        <is>
          <t>{1}{W}, {T}: Vire a criatura alvo que não seja um encantamento.</t>
        </is>
      </c>
      <c r="E590" s="13" t="inlineStr">
        <is>
          <t>1{W}</t>
        </is>
      </c>
      <c r="F590" s="13" t="inlineStr">
        <is>
          <t>Branco</t>
        </is>
      </c>
      <c r="G590" s="8" t="n">
        <v>0.05</v>
      </c>
      <c r="H590" s="13" t="inlineStr">
        <is>
          <t>Final Fantasy</t>
        </is>
      </c>
      <c r="I590" s="13" t="inlineStr">
        <is>
          <t>Não</t>
        </is>
      </c>
      <c r="J590" s="13" t="n">
        <v>2025</v>
      </c>
      <c r="K590" s="10" t="n">
        <v>46055</v>
      </c>
      <c r="L590" s="13" t="n">
        <v>6</v>
      </c>
      <c r="M590" s="8">
        <f>L590*G590</f>
        <v/>
      </c>
      <c r="P590" s="9" t="n"/>
    </row>
    <row r="591">
      <c r="A591" s="13" t="inlineStr">
        <is>
          <t>Cogwork Wrestler / Lutador Mecânico</t>
        </is>
      </c>
      <c r="B591" s="13" t="inlineStr">
        <is>
          <t>Artifact Creature — Gnome / Criatura Artefato — Gnomo</t>
        </is>
      </c>
      <c r="C591" s="13" t="inlineStr">
        <is>
          <t>Common / Comum</t>
        </is>
      </c>
      <c r="D591" s="13" t="inlineStr">
        <is>
          <t>Flash When this creature enters, target creature an opponent controls gets -2/-0 until end of turn. / Lampejo Quando Lutador Mecânico entra no campo de batalha, a criatura alvo que um oponente controla recebe -2/-0 até o final do turno.</t>
        </is>
      </c>
      <c r="E591" s="13" t="inlineStr">
        <is>
          <t>{U}</t>
        </is>
      </c>
      <c r="F591" s="13" t="inlineStr">
        <is>
          <t>Azul</t>
        </is>
      </c>
      <c r="G591" s="8" t="n">
        <v>0.09</v>
      </c>
      <c r="H591" s="13" t="inlineStr">
        <is>
          <t>The Lost Caverns of Ixalan (LCI)</t>
        </is>
      </c>
      <c r="I591" s="13" t="inlineStr">
        <is>
          <t>Não</t>
        </is>
      </c>
      <c r="J591" s="13" t="n">
        <v>2023</v>
      </c>
      <c r="K591" s="10" t="n">
        <v>46054</v>
      </c>
      <c r="L591" s="13" t="n">
        <v>4</v>
      </c>
      <c r="M591" s="8">
        <f>L591*G591</f>
        <v/>
      </c>
      <c r="P591" s="9" t="n"/>
    </row>
    <row r="592">
      <c r="A592" s="13" t="inlineStr">
        <is>
          <t>Coliseum Behemoth / Behemoth do Coliseu</t>
        </is>
      </c>
      <c r="B592" s="13" t="inlineStr">
        <is>
          <t>Criatura — Besta</t>
        </is>
      </c>
      <c r="C592" s="13" t="inlineStr">
        <is>
          <t>Incomum</t>
        </is>
      </c>
      <c r="D592" s="13" t="inlineStr">
        <is>
          <t>Atropelar. Quando esta criatura entrar, escolha um — • Destrua o artefato ou encantamento alvo. • Compre um card.</t>
        </is>
      </c>
      <c r="E592" s="13" t="inlineStr">
        <is>
          <t>5{G}{G}</t>
        </is>
      </c>
      <c r="F592" s="13" t="inlineStr">
        <is>
          <t>Verde</t>
        </is>
      </c>
      <c r="G592" s="8" t="n">
        <v>0.19</v>
      </c>
      <c r="H592" s="13" t="inlineStr">
        <is>
          <t>Final Fantasy</t>
        </is>
      </c>
      <c r="I592" s="13" t="inlineStr">
        <is>
          <t>Não</t>
        </is>
      </c>
      <c r="J592" s="13" t="n">
        <v>2025</v>
      </c>
      <c r="K592" s="10" t="n">
        <v>46210</v>
      </c>
      <c r="L592" s="13" t="n">
        <v>1</v>
      </c>
      <c r="M592" s="8">
        <f>L592*G592</f>
        <v/>
      </c>
      <c r="P592" s="9" t="n"/>
    </row>
    <row r="593">
      <c r="A593" s="13" t="inlineStr">
        <is>
          <t>Colossal Dreadmask / Máscara Sinistra Colossal</t>
        </is>
      </c>
      <c r="B593" s="13" t="inlineStr">
        <is>
          <t>Artifact — Equipment / Artefato — Equipamento</t>
        </is>
      </c>
      <c r="C593" s="13" t="inlineStr">
        <is>
          <t>Common / Comum</t>
        </is>
      </c>
      <c r="D593" s="13"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593" s="13" t="inlineStr">
        <is>
          <t>{4}{G}{G}</t>
        </is>
      </c>
      <c r="F593" s="13" t="inlineStr">
        <is>
          <t>Verde</t>
        </is>
      </c>
      <c r="G593" s="8" t="n">
        <v>0.05</v>
      </c>
      <c r="H593" s="13" t="inlineStr">
        <is>
          <t>Modern Horizons 3 (MH3)</t>
        </is>
      </c>
      <c r="I593" s="13" t="inlineStr">
        <is>
          <t>Não</t>
        </is>
      </c>
      <c r="J593" s="13" t="n">
        <v>2024</v>
      </c>
      <c r="L593" s="13" t="n">
        <v>1</v>
      </c>
      <c r="M593" s="8">
        <f>L593*G593</f>
        <v/>
      </c>
      <c r="P593" s="9" t="n"/>
    </row>
    <row r="594">
      <c r="A594" s="13" t="inlineStr">
        <is>
          <t>Colossal Dreadmaw / Bocarra Sinistra Colossal</t>
        </is>
      </c>
      <c r="B594" s="13" t="inlineStr">
        <is>
          <t>Creature — Dinosaur / Criatura — Dinossauro</t>
        </is>
      </c>
      <c r="C594" s="13" t="inlineStr">
        <is>
          <t>Common / Comum</t>
        </is>
      </c>
      <c r="D594" s="13" t="inlineStr">
        <is>
          <t>Trample. / Atropelar.</t>
        </is>
      </c>
      <c r="E594" s="13" t="inlineStr">
        <is>
          <t>{4}{G}{G}</t>
        </is>
      </c>
      <c r="F594" s="13" t="inlineStr">
        <is>
          <t>Verde</t>
        </is>
      </c>
      <c r="G594" s="8" t="n">
        <v>0.05</v>
      </c>
      <c r="H594" s="13" t="inlineStr">
        <is>
          <t>Rivals of Ixalan (RIX)</t>
        </is>
      </c>
      <c r="I594" s="13" t="inlineStr">
        <is>
          <t>Não</t>
        </is>
      </c>
      <c r="J594" s="13" t="n">
        <v>2018</v>
      </c>
      <c r="K594" s="10" t="n">
        <v>46179</v>
      </c>
      <c r="L594" s="13" t="n">
        <v>4</v>
      </c>
      <c r="M594" s="8">
        <f>L594*G594</f>
        <v/>
      </c>
      <c r="P594" s="9" t="n"/>
    </row>
    <row r="595">
      <c r="A595" s="13" t="inlineStr">
        <is>
          <t>Colossal Dreadmaw / Bocarra Sinistra Colossal</t>
        </is>
      </c>
      <c r="B595" s="13" t="inlineStr">
        <is>
          <t>Creature — Dinosaur / Criatura — Dinossauro</t>
        </is>
      </c>
      <c r="C595" s="13" t="inlineStr">
        <is>
          <t>Common / Comum</t>
        </is>
      </c>
      <c r="D595" s="13" t="inlineStr">
        <is>
          <t>Trample (This creature can deal excess combat damage to the player or planeswalker it's attacking.) / Atropelar</t>
        </is>
      </c>
      <c r="E595" s="13" t="inlineStr">
        <is>
          <t>{4}{G}{G}</t>
        </is>
      </c>
      <c r="F595" s="13" t="inlineStr">
        <is>
          <t>Verde</t>
        </is>
      </c>
      <c r="G595" s="8" t="n">
        <v>0.05</v>
      </c>
      <c r="H595" s="13" t="inlineStr">
        <is>
          <t>Rivals of Ixalan (RIX)</t>
        </is>
      </c>
      <c r="I595" s="13" t="inlineStr">
        <is>
          <t>Não</t>
        </is>
      </c>
      <c r="J595" s="13" t="n">
        <v>2018</v>
      </c>
      <c r="K595" s="10" t="n">
        <v>46179</v>
      </c>
      <c r="L595" s="13" t="n">
        <v>1</v>
      </c>
      <c r="M595" s="8">
        <f>L595*G595</f>
        <v/>
      </c>
      <c r="P595" s="9" t="n"/>
    </row>
    <row r="596">
      <c r="A596" s="13" t="inlineStr">
        <is>
          <t>Colossapede / Colossópode</t>
        </is>
      </c>
      <c r="B596" s="13" t="inlineStr">
        <is>
          <t>Creature — Insect / Criatura — Inseto</t>
        </is>
      </c>
      <c r="C596" s="13" t="inlineStr">
        <is>
          <t>Common / Comum</t>
        </is>
      </c>
      <c r="E596" s="13" t="inlineStr">
        <is>
          <t>{4}{G}</t>
        </is>
      </c>
      <c r="F596" s="13" t="inlineStr">
        <is>
          <t>Verde</t>
        </is>
      </c>
      <c r="G596" s="8" t="n">
        <v>0.03</v>
      </c>
      <c r="H596" s="13" t="inlineStr">
        <is>
          <t>Amonkhet (AKH)</t>
        </is>
      </c>
      <c r="I596" s="13" t="inlineStr">
        <is>
          <t>Não</t>
        </is>
      </c>
      <c r="J596" s="13" t="n">
        <v>2017</v>
      </c>
      <c r="K596" s="10" t="n">
        <v>46147</v>
      </c>
      <c r="L596" s="13" t="n">
        <v>3</v>
      </c>
      <c r="M596" s="8">
        <f>L596*G596</f>
        <v/>
      </c>
      <c r="P596" s="9" t="n"/>
    </row>
    <row r="597">
      <c r="A597" s="13" t="inlineStr">
        <is>
          <t>Colosso / Colossus // Colidir / Collision</t>
        </is>
      </c>
      <c r="B597" s="13" t="inlineStr">
        <is>
          <t>Mágica Instantânea / Instant</t>
        </is>
      </c>
      <c r="C597" s="13" t="inlineStr">
        <is>
          <t>Incomum / Uncommon</t>
        </is>
      </c>
      <c r="D597" s="13"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597" s="13" t="inlineStr">
        <is>
          <t>{G/U}{R} // {1}{G/U}</t>
        </is>
      </c>
      <c r="F597" s="13" t="inlineStr">
        <is>
          <t>Verde e Vermelho / Green and Red</t>
        </is>
      </c>
      <c r="G597" s="8" t="n">
        <v>0.09</v>
      </c>
      <c r="H597" s="13" t="inlineStr">
        <is>
          <t>Ravnica Allegiance (RNA)</t>
        </is>
      </c>
      <c r="I597" s="13" t="inlineStr">
        <is>
          <t>Não</t>
        </is>
      </c>
      <c r="J597" s="13" t="n">
        <v>2019</v>
      </c>
      <c r="L597" s="13" t="n">
        <v>1</v>
      </c>
      <c r="M597" s="8">
        <f>L597*G597</f>
        <v/>
      </c>
      <c r="P597" s="9" t="n"/>
    </row>
    <row r="598">
      <c r="A598" s="13" t="inlineStr">
        <is>
          <t>Colosso Trovão de Aço / Thundersteel Colossus</t>
        </is>
      </c>
      <c r="B598" s="13" t="inlineStr">
        <is>
          <t>Artifact — Vehicle / Artefato — Veículo</t>
        </is>
      </c>
      <c r="C598" s="13" t="inlineStr">
        <is>
          <t>Common / Comum</t>
        </is>
      </c>
      <c r="D598" s="13"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598" s="13" t="inlineStr">
        <is>
          <t>{7}</t>
        </is>
      </c>
      <c r="F598" s="13" t="inlineStr">
        <is>
          <t>Incolor</t>
        </is>
      </c>
      <c r="G598" s="8" t="n">
        <v>0.09</v>
      </c>
      <c r="H598" s="13" t="inlineStr">
        <is>
          <t>Kamigawa: Neon Dynasty (NEO)</t>
        </is>
      </c>
      <c r="I598" s="13" t="inlineStr">
        <is>
          <t>No</t>
        </is>
      </c>
      <c r="J598" s="13" t="n">
        <v>2022</v>
      </c>
      <c r="K598" s="10" t="n">
        <v>46210</v>
      </c>
      <c r="L598" s="13" t="n">
        <v>1</v>
      </c>
      <c r="M598" s="8">
        <f>L598*G598</f>
        <v/>
      </c>
      <c r="P598" s="9" t="n"/>
    </row>
    <row r="599">
      <c r="A599" s="13" t="inlineStr">
        <is>
          <t>Colossus of Sardia / Colosso de Sardia</t>
        </is>
      </c>
      <c r="B599" s="13" t="inlineStr">
        <is>
          <t>Artifact Creature — Golem / Criatura Artefato — Golem</t>
        </is>
      </c>
      <c r="C599" s="13" t="inlineStr">
        <is>
          <t>Rare / Rara</t>
        </is>
      </c>
      <c r="D599" s="13"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599" s="13" t="inlineStr">
        <is>
          <t>{9}</t>
        </is>
      </c>
      <c r="F599" s="13" t="inlineStr">
        <is>
          <t>Incolor</t>
        </is>
      </c>
      <c r="G599" s="8" t="n">
        <v>6.75</v>
      </c>
      <c r="H599" s="13" t="inlineStr">
        <is>
          <t>Fourth Edition (BB)</t>
        </is>
      </c>
      <c r="I599" s="13" t="inlineStr">
        <is>
          <t>Não</t>
        </is>
      </c>
      <c r="J599" s="13" t="n">
        <v>1995</v>
      </c>
      <c r="K599" s="10" t="n">
        <v>46274</v>
      </c>
      <c r="L599" s="13" t="n">
        <v>1</v>
      </c>
      <c r="M599" s="8">
        <f>L599*G599</f>
        <v/>
      </c>
      <c r="N599" s="13" t="inlineStr">
        <is>
          <t>Pasta</t>
        </is>
      </c>
      <c r="P599" s="9" t="n"/>
    </row>
    <row r="600">
      <c r="A600" s="13" t="inlineStr">
        <is>
          <t>Combat Medic / Médico de Combate</t>
        </is>
      </c>
      <c r="B600" s="13" t="inlineStr">
        <is>
          <t>Summon Soldier</t>
        </is>
      </c>
      <c r="C600" s="13" t="inlineStr">
        <is>
          <t>Incomum</t>
        </is>
      </c>
      <c r="D600" s="13" t="inlineStr">
        <is>
          <t>{1}{W}: Prevent 1 damage to any player or creature.</t>
        </is>
      </c>
      <c r="E600" s="13" t="inlineStr">
        <is>
          <t>{2}{W}</t>
        </is>
      </c>
      <c r="F600" s="13" t="inlineStr">
        <is>
          <t>Branco</t>
        </is>
      </c>
      <c r="G600" s="8" t="n">
        <v>0.24</v>
      </c>
      <c r="H600" s="13" t="inlineStr">
        <is>
          <t>Fallen Empires (FEM)</t>
        </is>
      </c>
      <c r="I600" s="13" t="inlineStr">
        <is>
          <t>Não</t>
        </is>
      </c>
      <c r="J600" s="13" t="n">
        <v>1994</v>
      </c>
      <c r="K600" s="13" t="inlineStr">
        <is>
          <t>0/2</t>
        </is>
      </c>
      <c r="L600" s="13" t="n">
        <v>4</v>
      </c>
      <c r="M600" s="8">
        <f>L600*G600</f>
        <v/>
      </c>
      <c r="P600" s="9" t="n"/>
    </row>
    <row r="601">
      <c r="A601" s="13" t="inlineStr">
        <is>
          <t>Combat Professor / Professor de Combate</t>
        </is>
      </c>
      <c r="B601" s="13" t="inlineStr">
        <is>
          <t>Creature — Bird Cleric / Criatura — Ave Clérigo</t>
        </is>
      </c>
      <c r="C601" s="13" t="inlineStr">
        <is>
          <t>Common / Comum</t>
        </is>
      </c>
      <c r="D601" s="13" t="inlineStr">
        <is>
          <t>Flying At the beginning of combat on your turn, target creature you control gets +1/+0 and gains vigilance until end of turn. / Voar No início do combate no seu turno, a criatura alvo que você controla recebe +1/+0 e ganha vigilância até o final do turno.</t>
        </is>
      </c>
      <c r="E601" s="13" t="inlineStr">
        <is>
          <t>{3}{W}</t>
        </is>
      </c>
      <c r="F601" s="13" t="inlineStr">
        <is>
          <t>Branco</t>
        </is>
      </c>
      <c r="G601" s="8" t="n">
        <v>0.06</v>
      </c>
      <c r="H601" s="13" t="inlineStr">
        <is>
          <t>Jumpstart 2022 (J22)</t>
        </is>
      </c>
      <c r="I601" s="13" t="inlineStr">
        <is>
          <t>Não</t>
        </is>
      </c>
      <c r="J601" s="13" t="n">
        <v>2022</v>
      </c>
      <c r="K601" s="10" t="n">
        <v>46083</v>
      </c>
      <c r="L601" s="13" t="n">
        <v>1</v>
      </c>
      <c r="M601" s="8">
        <f>L601*G601</f>
        <v/>
      </c>
      <c r="P601" s="9" t="n"/>
    </row>
    <row r="602">
      <c r="A602" s="13" t="inlineStr">
        <is>
          <t>Combat Research / Pesquisa de Combate</t>
        </is>
      </c>
      <c r="B602" s="13" t="inlineStr">
        <is>
          <t>Enchantment — Aura / Encantamento — Aura</t>
        </is>
      </c>
      <c r="C602" s="13" t="inlineStr">
        <is>
          <t>Uncommon / Incomum</t>
        </is>
      </c>
      <c r="D602" s="13"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602" s="13" t="inlineStr">
        <is>
          <t>{U}</t>
        </is>
      </c>
      <c r="F602" s="13" t="inlineStr">
        <is>
          <t>Azul</t>
        </is>
      </c>
      <c r="G602" s="8" t="n">
        <v>2.9</v>
      </c>
      <c r="H602" s="13" t="inlineStr">
        <is>
          <t>Dominaria United (DMU)</t>
        </is>
      </c>
      <c r="I602" s="13" t="inlineStr">
        <is>
          <t>Não</t>
        </is>
      </c>
      <c r="J602" s="13" t="n">
        <v>2022</v>
      </c>
      <c r="L602" s="13" t="n">
        <v>1</v>
      </c>
      <c r="M602" s="8">
        <f>L602*G602</f>
        <v/>
      </c>
      <c r="N602" s="13" t="inlineStr">
        <is>
          <t>Pasta</t>
        </is>
      </c>
      <c r="P602" s="9" t="n"/>
    </row>
    <row r="603">
      <c r="A603" s="13" t="inlineStr">
        <is>
          <t>Combat Tutorial / Tutorial de Combate</t>
        </is>
      </c>
      <c r="B603" s="13" t="inlineStr">
        <is>
          <t>Feitiço</t>
        </is>
      </c>
      <c r="C603" s="13" t="inlineStr">
        <is>
          <t>Comum</t>
        </is>
      </c>
      <c r="D603" s="13" t="inlineStr">
        <is>
          <t>O jogador alvo compra dois cards. Coloque um marcador +1/+1 em até uma criatura alvo que você controla.</t>
        </is>
      </c>
      <c r="E603" s="13" t="inlineStr">
        <is>
          <t>2{U}</t>
        </is>
      </c>
      <c r="F603" s="13" t="inlineStr">
        <is>
          <t>Azul</t>
        </is>
      </c>
      <c r="G603" s="8" t="n">
        <v>0.1</v>
      </c>
      <c r="H603" s="13" t="inlineStr">
        <is>
          <t>Final Fantasy</t>
        </is>
      </c>
      <c r="I603" s="13" t="inlineStr">
        <is>
          <t>Não</t>
        </is>
      </c>
      <c r="J603" s="13" t="n">
        <v>2025</v>
      </c>
      <c r="L603" s="13" t="n">
        <v>7</v>
      </c>
      <c r="M603" s="8">
        <f>L603*G603</f>
        <v/>
      </c>
      <c r="P603" s="9" t="n"/>
    </row>
    <row r="604">
      <c r="A604" s="13" t="inlineStr">
        <is>
          <t>Comet Crawler / Rastejador de Cometa</t>
        </is>
      </c>
      <c r="B604" s="13" t="inlineStr">
        <is>
          <t>Criatura — Inseto Horror</t>
        </is>
      </c>
      <c r="C604" s="13" t="inlineStr">
        <is>
          <t>Comum</t>
        </is>
      </c>
      <c r="D604" s="13" t="inlineStr">
        <is>
          <t>Vínculo com a vida. Sempre que esta criatura atacar, você pode sacrificar outra criatura ou artefato. Se fizer isso, esta criatura receberá +2/+0 até o final do turno.</t>
        </is>
      </c>
      <c r="E604" s="13" t="inlineStr">
        <is>
          <t>2{B}</t>
        </is>
      </c>
      <c r="F604" s="13" t="inlineStr">
        <is>
          <t>Preto</t>
        </is>
      </c>
      <c r="G604" s="8" t="n">
        <v>0.05</v>
      </c>
      <c r="H604" s="13" t="inlineStr">
        <is>
          <t>Edge of Eternity</t>
        </is>
      </c>
      <c r="I604" s="13" t="inlineStr">
        <is>
          <t>Não</t>
        </is>
      </c>
      <c r="J604" s="13" t="n">
        <v>2025</v>
      </c>
      <c r="K604" s="10" t="n">
        <v>46083</v>
      </c>
      <c r="L604" s="13" t="n">
        <v>1</v>
      </c>
      <c r="M604" s="8">
        <f>L604*G604</f>
        <v/>
      </c>
      <c r="P604" s="9" t="n"/>
    </row>
    <row r="605">
      <c r="A605" s="13" t="inlineStr">
        <is>
          <t>Command Bridge / Ponte de Comando</t>
        </is>
      </c>
      <c r="B605" s="13" t="inlineStr">
        <is>
          <t>Terreno</t>
        </is>
      </c>
      <c r="C605" s="13" t="inlineStr">
        <is>
          <t>Comum</t>
        </is>
      </c>
      <c r="D605" s="13" t="inlineStr">
        <is>
          <t>Este terreno entra virado. Quando este terreno entrar, sacrifique-o a menos que você vire uma permanente desvirada que você controla. {T}: Adicione um mana de qualquer cor.</t>
        </is>
      </c>
      <c r="E605" s="13" t="inlineStr">
        <is>
          <t>Não encontrado</t>
        </is>
      </c>
      <c r="F605" s="13" t="inlineStr">
        <is>
          <t>Terreno</t>
        </is>
      </c>
      <c r="G605" s="8" t="n">
        <v>0.15</v>
      </c>
      <c r="H605" s="13" t="inlineStr">
        <is>
          <t>Edge of Eternity</t>
        </is>
      </c>
      <c r="I605" s="13" t="inlineStr">
        <is>
          <t>Não</t>
        </is>
      </c>
      <c r="J605" s="13" t="n">
        <v>2025</v>
      </c>
      <c r="L605" s="13" t="n">
        <v>1</v>
      </c>
      <c r="M605" s="8">
        <f>L605*G605</f>
        <v/>
      </c>
      <c r="P605" s="9" t="n"/>
    </row>
    <row r="606">
      <c r="A606" s="13" t="inlineStr">
        <is>
          <t>Commander's Sphere / Esfera do Comandante</t>
        </is>
      </c>
      <c r="B606" s="13" t="inlineStr">
        <is>
          <t>Artifact / Artefato</t>
        </is>
      </c>
      <c r="C606" s="13" t="inlineStr">
        <is>
          <t>Common / Comum</t>
        </is>
      </c>
      <c r="D606" s="13" t="inlineStr">
        <is>
          <t>{T}: Add one mana of any color in your commander's color identity. Sacrifice this artifact: Draw a card. / {T}: Adicione um mana de qualquer cor da identidade de cor de seu comandante. Sacrifique Esfera do Comandante: Compre um card.</t>
        </is>
      </c>
      <c r="E606" s="13" t="inlineStr">
        <is>
          <t>{3}</t>
        </is>
      </c>
      <c r="F606" s="13" t="inlineStr">
        <is>
          <t>Incolor</t>
        </is>
      </c>
      <c r="G606" s="8" t="n">
        <v>0.5</v>
      </c>
      <c r="H606" s="13" t="inlineStr">
        <is>
          <t>Commander 2019 (C19)</t>
        </is>
      </c>
      <c r="I606" s="13" t="inlineStr">
        <is>
          <t>Não</t>
        </is>
      </c>
      <c r="J606" s="13" t="n">
        <v>2019</v>
      </c>
      <c r="L606" s="13" t="n">
        <v>1</v>
      </c>
      <c r="M606" s="8">
        <f>L606*G606</f>
        <v/>
      </c>
      <c r="N606" s="13" t="inlineStr">
        <is>
          <t>Bulk Shopee</t>
        </is>
      </c>
      <c r="P606" s="9" t="n"/>
    </row>
    <row r="607">
      <c r="A607" s="13" t="inlineStr">
        <is>
          <t>Commander's Sphere / Esfera do Comandante</t>
        </is>
      </c>
      <c r="B607" s="13" t="inlineStr">
        <is>
          <t>Artifact / Artefato</t>
        </is>
      </c>
      <c r="C607" s="13" t="inlineStr">
        <is>
          <t>Common / Comum</t>
        </is>
      </c>
      <c r="D607" s="13" t="inlineStr">
        <is>
          <t>{T}: Add one mana of any color in your commander's color identity. Sacrifice this artifact: Draw a card. / {T}: Adicione um mana de qualquer cor da identidade de cor de seu comandante. Sacrifique Esfera do Comandante: Compre um card.</t>
        </is>
      </c>
      <c r="E607" s="13" t="inlineStr">
        <is>
          <t>{3}</t>
        </is>
      </c>
      <c r="F607" s="13" t="inlineStr">
        <is>
          <t>Incolor</t>
        </is>
      </c>
      <c r="G607" s="8" t="n">
        <v>0.49</v>
      </c>
      <c r="H607" s="13" t="inlineStr">
        <is>
          <t>Commander Masters (CMM)</t>
        </is>
      </c>
      <c r="I607" s="13" t="inlineStr">
        <is>
          <t>Não</t>
        </is>
      </c>
      <c r="J607" s="13" t="n">
        <v>2023</v>
      </c>
      <c r="L607" s="13" t="n">
        <v>1</v>
      </c>
      <c r="M607" s="8">
        <f>L607*G607</f>
        <v/>
      </c>
      <c r="P607" s="9" t="n"/>
    </row>
    <row r="608">
      <c r="A608" s="13" t="inlineStr">
        <is>
          <t>Commence the Endgame / Iniciar Plano Final</t>
        </is>
      </c>
      <c r="B608" s="13" t="inlineStr">
        <is>
          <t>Instant / Mágica Instantânea</t>
        </is>
      </c>
      <c r="C608" s="13" t="inlineStr">
        <is>
          <t>Rare / Rara</t>
        </is>
      </c>
      <c r="D608" s="13"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608" s="13" t="inlineStr">
        <is>
          <t>{4}{U}{U}</t>
        </is>
      </c>
      <c r="F608" s="13" t="inlineStr">
        <is>
          <t>Azul</t>
        </is>
      </c>
      <c r="G608" s="8" t="n">
        <v>0.25</v>
      </c>
      <c r="H608" s="13" t="inlineStr">
        <is>
          <t>War of the Spark (WAR)</t>
        </is>
      </c>
      <c r="I608" s="13" t="inlineStr">
        <is>
          <t>Não</t>
        </is>
      </c>
      <c r="J608" s="13" t="n">
        <v>2019</v>
      </c>
      <c r="L608" s="13" t="n">
        <v>2</v>
      </c>
      <c r="M608" s="8">
        <f>L608*G608</f>
        <v/>
      </c>
      <c r="P608" s="9" t="n"/>
    </row>
    <row r="609">
      <c r="A609" s="13" t="inlineStr">
        <is>
          <t>Common Cause</t>
        </is>
      </c>
      <c r="B609" s="13" t="inlineStr">
        <is>
          <t>Enchantment</t>
        </is>
      </c>
      <c r="C609" s="13" t="inlineStr">
        <is>
          <t>Uncommon</t>
        </is>
      </c>
      <c r="D609" s="13" t="inlineStr">
        <is>
          <t>Nonartifact creatures get +2/+2 as long as they all share a color.</t>
        </is>
      </c>
      <c r="E609" s="13" t="inlineStr">
        <is>
          <t>{2}{W}</t>
        </is>
      </c>
      <c r="F609" s="13" t="inlineStr">
        <is>
          <t>White</t>
        </is>
      </c>
      <c r="G609" s="8" t="n">
        <v>3.9</v>
      </c>
      <c r="H609" s="13" t="inlineStr">
        <is>
          <t>Mercadian Masques (MMQ)</t>
        </is>
      </c>
      <c r="I609" s="13" t="inlineStr">
        <is>
          <t>No</t>
        </is>
      </c>
      <c r="J609" s="13" t="n">
        <v>1999</v>
      </c>
      <c r="L609" s="13" t="n">
        <v>1</v>
      </c>
      <c r="M609" s="8">
        <f>L609*G609</f>
        <v/>
      </c>
      <c r="P609" s="9" t="n"/>
    </row>
    <row r="610">
      <c r="A610" s="13" t="inlineStr">
        <is>
          <t>Commune with Beavers / Comungar com Castores</t>
        </is>
      </c>
      <c r="B610" s="13" t="inlineStr">
        <is>
          <t>Feitiço</t>
        </is>
      </c>
      <c r="C610" s="13" t="inlineStr">
        <is>
          <t>Comum</t>
        </is>
      </c>
      <c r="D610" s="13" t="inlineStr">
        <is>
          <t>Olhe os três cards do topo de seu grimório. Você pode revelar um card de artefato, criatura ou terreno dentre eles e colocá-lo em sua mão. Coloque o restante no fundo de seu grimório em qualquer ordem.</t>
        </is>
      </c>
      <c r="E610" s="13" t="inlineStr">
        <is>
          <t>{G}</t>
        </is>
      </c>
      <c r="F610" s="13" t="inlineStr">
        <is>
          <t>Verde</t>
        </is>
      </c>
      <c r="G610" s="8" t="n">
        <v>0.1</v>
      </c>
      <c r="H610" s="13" t="inlineStr">
        <is>
          <t>Final Fantasy</t>
        </is>
      </c>
      <c r="I610" s="13" t="inlineStr">
        <is>
          <t>Não</t>
        </is>
      </c>
      <c r="J610" s="13" t="n">
        <v>2025</v>
      </c>
      <c r="L610" s="13" t="n">
        <v>4</v>
      </c>
      <c r="M610" s="8">
        <f>L610*G610</f>
        <v/>
      </c>
      <c r="P610" s="9" t="n"/>
    </row>
    <row r="611">
      <c r="A611" s="13" t="inlineStr">
        <is>
          <t>Commune with Beavers / Comungar com Castores</t>
        </is>
      </c>
      <c r="B611" s="13" t="inlineStr">
        <is>
          <t>Feitiço</t>
        </is>
      </c>
      <c r="C611" s="13" t="inlineStr">
        <is>
          <t>Comum</t>
        </is>
      </c>
      <c r="D611" s="13" t="inlineStr">
        <is>
          <t>Olhe os três cards do topo de seu grimório. Você pode revelar um card de artefato, criatura ou terreno dentre eles e colocá-lo em sua mão. Coloque o restante no fundo de seu grimório em qualquer ordem.</t>
        </is>
      </c>
      <c r="E611" s="13" t="inlineStr">
        <is>
          <t>{G}</t>
        </is>
      </c>
      <c r="F611" s="13" t="inlineStr">
        <is>
          <t>Verde</t>
        </is>
      </c>
      <c r="G611" s="8" t="n">
        <v>0.24</v>
      </c>
      <c r="H611" s="13" t="inlineStr">
        <is>
          <t>Final Fantasy</t>
        </is>
      </c>
      <c r="I611" s="13" t="inlineStr">
        <is>
          <t>Sim</t>
        </is>
      </c>
      <c r="J611" s="13" t="n">
        <v>2025</v>
      </c>
      <c r="L611" s="13" t="n">
        <v>1</v>
      </c>
      <c r="M611" s="8">
        <f>L611*G611</f>
        <v/>
      </c>
      <c r="P611" s="9" t="n"/>
    </row>
    <row r="612">
      <c r="A612" s="13" t="inlineStr">
        <is>
          <t>Comoção de Chifres</t>
        </is>
      </c>
      <c r="B612" s="13" t="inlineStr">
        <is>
          <t>Feitiço</t>
        </is>
      </c>
      <c r="C612" s="13" t="inlineStr">
        <is>
          <t>Incomum</t>
        </is>
      </c>
      <c r="D612" s="13" t="inlineStr">
        <is>
          <t>Coloque no campo de batalha duas fichas de criatura vermelhas 2/3 do tipo Minotauro com ímpeto.</t>
        </is>
      </c>
      <c r="E612" s="13" t="inlineStr">
        <is>
          <t>4R</t>
        </is>
      </c>
      <c r="F612" s="13" t="inlineStr">
        <is>
          <t>Vermelha</t>
        </is>
      </c>
      <c r="G612" s="8" t="n">
        <v>0.03</v>
      </c>
      <c r="H612" s="13" t="inlineStr">
        <is>
          <t>Journey into Nyx</t>
        </is>
      </c>
      <c r="I612" s="13" t="inlineStr">
        <is>
          <t>Não</t>
        </is>
      </c>
      <c r="J612" s="13" t="n">
        <v>2014</v>
      </c>
      <c r="L612" s="13" t="n">
        <v>2</v>
      </c>
      <c r="M612" s="8">
        <f>L612*G612</f>
        <v/>
      </c>
      <c r="P612" s="9" t="n"/>
    </row>
    <row r="613">
      <c r="A613" s="13" t="inlineStr">
        <is>
          <t>Companheiro do Cartógrafo / Cartographer's Companion</t>
        </is>
      </c>
      <c r="B613" s="13" t="inlineStr">
        <is>
          <t>Artifact Creature — Gnome / Criatura Artefato — Gnomo</t>
        </is>
      </c>
      <c r="C613" s="13" t="inlineStr">
        <is>
          <t>Common / Comum</t>
        </is>
      </c>
      <c r="D613" s="13"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613" s="13" t="inlineStr">
        <is>
          <t>{3}</t>
        </is>
      </c>
      <c r="F613" s="13" t="inlineStr">
        <is>
          <t>Incolor</t>
        </is>
      </c>
      <c r="G613" s="8" t="n">
        <v>0.05</v>
      </c>
      <c r="H613" s="13" t="inlineStr">
        <is>
          <t>The Lost Caverns of Ixalan (LCI)</t>
        </is>
      </c>
      <c r="I613" s="13" t="inlineStr">
        <is>
          <t>No</t>
        </is>
      </c>
      <c r="J613" s="13" t="n">
        <v>2023</v>
      </c>
      <c r="K613" s="10" t="n">
        <v>46024</v>
      </c>
      <c r="L613" s="13" t="n">
        <v>1</v>
      </c>
      <c r="M613" s="8">
        <f>L613*G613</f>
        <v/>
      </c>
      <c r="P613" s="9" t="n"/>
    </row>
    <row r="614">
      <c r="A614" s="13" t="inlineStr">
        <is>
          <t>Compassionate Healer</t>
        </is>
      </c>
      <c r="B614" s="13" t="inlineStr">
        <is>
          <t>Creature — Human Cleric Ally</t>
        </is>
      </c>
      <c r="C614" s="13" t="inlineStr">
        <is>
          <t>Common / Comum</t>
        </is>
      </c>
      <c r="D614" s="13" t="inlineStr">
        <is>
          <t>Whenever this creature becomes tapped, you gain 1 life and scry 1. (Look at the top card of your library. You may put it on the bottom.)</t>
        </is>
      </c>
      <c r="E614" s="13" t="inlineStr">
        <is>
          <t>{1}{W}</t>
        </is>
      </c>
      <c r="F614" s="13" t="inlineStr">
        <is>
          <t>Branco</t>
        </is>
      </c>
      <c r="G614" s="8" t="n">
        <v>0.11</v>
      </c>
      <c r="H614" s="13" t="inlineStr">
        <is>
          <t>Avatar: The Last Airbender (TLA)</t>
        </is>
      </c>
      <c r="I614" s="13" t="inlineStr">
        <is>
          <t>Não</t>
        </is>
      </c>
      <c r="J614" s="13" t="n">
        <v>2025</v>
      </c>
      <c r="K614" s="10" t="n">
        <v>46055</v>
      </c>
      <c r="L614" s="13" t="n">
        <v>1</v>
      </c>
      <c r="M614" s="8">
        <f>L614*G614</f>
        <v/>
      </c>
      <c r="P614" s="9" t="n"/>
    </row>
    <row r="615">
      <c r="A615" s="13" t="inlineStr">
        <is>
          <t>Compassionate Healer</t>
        </is>
      </c>
      <c r="B615" s="13" t="inlineStr">
        <is>
          <t>Creature — Human Cleric Ally</t>
        </is>
      </c>
      <c r="C615" s="13" t="inlineStr">
        <is>
          <t>Common / Comum</t>
        </is>
      </c>
      <c r="D615" s="13" t="inlineStr">
        <is>
          <t>Whenever this creature becomes tapped, you gain 1 life and scry 1. (Look at the top card of your library. You may put it on the bottom.)</t>
        </is>
      </c>
      <c r="E615" s="13" t="inlineStr">
        <is>
          <t>{1}{W}</t>
        </is>
      </c>
      <c r="F615" s="13" t="inlineStr">
        <is>
          <t>Branco</t>
        </is>
      </c>
      <c r="G615" s="8" t="n">
        <v>0.11</v>
      </c>
      <c r="H615" s="13" t="inlineStr">
        <is>
          <t>Avatar: The Last Airbender (TLA)</t>
        </is>
      </c>
      <c r="I615" s="13" t="inlineStr">
        <is>
          <t>Não</t>
        </is>
      </c>
      <c r="J615" s="13" t="n">
        <v>2025</v>
      </c>
      <c r="K615" s="10" t="n">
        <v>46055</v>
      </c>
      <c r="L615" s="13" t="n">
        <v>1</v>
      </c>
      <c r="M615" s="8">
        <f>L615*G615</f>
        <v/>
      </c>
      <c r="P615" s="9" t="n"/>
    </row>
    <row r="616">
      <c r="A616" s="13" t="inlineStr">
        <is>
          <t>Conclave Equenaut / Viajante Eqüestre do Conclave</t>
        </is>
      </c>
      <c r="B616" s="13" t="inlineStr">
        <is>
          <t>Creature — Human Soldier / Criatura - Soldado Humano</t>
        </is>
      </c>
      <c r="C616" s="13" t="inlineStr">
        <is>
          <t>Common / Comum</t>
        </is>
      </c>
      <c r="D616" s="13"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616" s="13" t="inlineStr">
        <is>
          <t>{4}{W}{W}</t>
        </is>
      </c>
      <c r="F616" s="13" t="inlineStr">
        <is>
          <t>Branco</t>
        </is>
      </c>
      <c r="G616" s="8" t="n">
        <v>0.08</v>
      </c>
      <c r="H616" s="13" t="inlineStr">
        <is>
          <t>Ravnica Remastered (RVR)</t>
        </is>
      </c>
      <c r="I616" s="13" t="inlineStr">
        <is>
          <t>Não</t>
        </is>
      </c>
      <c r="J616" s="13" t="n">
        <v>2024</v>
      </c>
      <c r="K616" s="10" t="n">
        <v>46084</v>
      </c>
      <c r="L616" s="13" t="n">
        <v>6</v>
      </c>
      <c r="M616" s="8">
        <f>L616*G616</f>
        <v/>
      </c>
      <c r="P616" s="9" t="n"/>
    </row>
    <row r="617">
      <c r="A617" s="13" t="inlineStr">
        <is>
          <t>Condestável do Condado / Shire Shirriff</t>
        </is>
      </c>
      <c r="B617" s="13" t="inlineStr">
        <is>
          <t>Criatura — Pequenino Soldado</t>
        </is>
      </c>
      <c r="C617" s="13" t="inlineStr">
        <is>
          <t>Incomum</t>
        </is>
      </c>
      <c r="D617" s="13"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17" s="13" t="inlineStr">
        <is>
          <t>1{W}</t>
        </is>
      </c>
      <c r="F617" s="13" t="inlineStr">
        <is>
          <t>Branco</t>
        </is>
      </c>
      <c r="G617" s="8" t="n">
        <v>0.24</v>
      </c>
      <c r="H617" s="13" t="inlineStr">
        <is>
          <t>The Lord of the Rings: Tales of Middle-earth (LTR)</t>
        </is>
      </c>
      <c r="I617" s="13" t="inlineStr">
        <is>
          <t>Não</t>
        </is>
      </c>
      <c r="J617" s="13" t="n">
        <v>2023</v>
      </c>
      <c r="K617" s="10" t="n">
        <v>46055</v>
      </c>
      <c r="L617" s="13" t="n">
        <v>1</v>
      </c>
      <c r="M617" s="8">
        <f>L617*G617</f>
        <v/>
      </c>
      <c r="P617" s="9" t="n"/>
    </row>
    <row r="618">
      <c r="A618" s="13" t="inlineStr">
        <is>
          <t>Confounding Riddle / Charada Confusa</t>
        </is>
      </c>
      <c r="B618" s="13" t="inlineStr">
        <is>
          <t>Instant / Mágica Instantânea</t>
        </is>
      </c>
      <c r="C618" s="13" t="inlineStr">
        <is>
          <t>Uncommon / Incomum</t>
        </is>
      </c>
      <c r="D618" s="13"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618" s="13" t="inlineStr">
        <is>
          <t>{2}{U}</t>
        </is>
      </c>
      <c r="F618" s="13" t="inlineStr">
        <is>
          <t>Azul</t>
        </is>
      </c>
      <c r="G618" s="8" t="n">
        <v>0.35</v>
      </c>
      <c r="H618" s="13" t="inlineStr">
        <is>
          <t>The Lost Caverns of Ixalan (LCI)</t>
        </is>
      </c>
      <c r="I618" s="13" t="inlineStr">
        <is>
          <t>Não</t>
        </is>
      </c>
      <c r="J618" s="13" t="n">
        <v>2023</v>
      </c>
      <c r="L618" s="13" t="n">
        <v>1</v>
      </c>
      <c r="M618" s="8">
        <f>L618*G618</f>
        <v/>
      </c>
      <c r="P618" s="9" t="n"/>
    </row>
    <row r="619">
      <c r="A619" s="13" t="inlineStr">
        <is>
          <t>Congregation Gryff / Grifino da Congregação</t>
        </is>
      </c>
      <c r="B619" s="13" t="inlineStr">
        <is>
          <t>Creature — Hippogriff Mount / Criatura — Hipogrifo Montaria</t>
        </is>
      </c>
      <c r="C619" s="13" t="inlineStr">
        <is>
          <t>Uncommon / Incomum</t>
        </is>
      </c>
      <c r="D619" s="13"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619" s="13" t="inlineStr">
        <is>
          <t>{1}{G}{W}</t>
        </is>
      </c>
      <c r="F619" s="13" t="inlineStr">
        <is>
          <t>Verde, Branco</t>
        </is>
      </c>
      <c r="G619" s="8" t="n">
        <v>0.1</v>
      </c>
      <c r="H619" s="13" t="inlineStr">
        <is>
          <t>Outlaws of Thunder Junction (OTJ)</t>
        </is>
      </c>
      <c r="I619" s="13" t="inlineStr">
        <is>
          <t>Não</t>
        </is>
      </c>
      <c r="J619" s="13" t="n">
        <v>2024</v>
      </c>
      <c r="K619" s="10" t="n">
        <v>46113</v>
      </c>
      <c r="L619" s="13" t="n">
        <v>1</v>
      </c>
      <c r="M619" s="8">
        <f>L619*G619</f>
        <v/>
      </c>
      <c r="P619" s="9" t="n"/>
    </row>
    <row r="620">
      <c r="A620" s="13" t="inlineStr">
        <is>
          <t>Congregation Gryff / Grifino da Congregação</t>
        </is>
      </c>
      <c r="B620" s="13" t="inlineStr">
        <is>
          <t>Creature — Hippogriff Mount / Criatura — Hipogrifo Montaria</t>
        </is>
      </c>
      <c r="C620" s="13" t="inlineStr">
        <is>
          <t>Uncommon / Incomum</t>
        </is>
      </c>
      <c r="D620" s="13"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620" s="13" t="inlineStr">
        <is>
          <t>{1}{G}{W}</t>
        </is>
      </c>
      <c r="F620" s="13" t="inlineStr">
        <is>
          <t>Verde, Branco</t>
        </is>
      </c>
      <c r="G620" s="8" t="n">
        <v>0.25</v>
      </c>
      <c r="H620" s="13" t="inlineStr">
        <is>
          <t>Outlaws of Thunder Junction (OTJ)</t>
        </is>
      </c>
      <c r="I620" s="13" t="inlineStr">
        <is>
          <t>Sim</t>
        </is>
      </c>
      <c r="J620" s="13" t="n">
        <v>2024</v>
      </c>
      <c r="K620" s="10" t="n">
        <v>46113</v>
      </c>
      <c r="L620" s="13" t="n">
        <v>1</v>
      </c>
      <c r="M620" s="8">
        <f>L620*G620</f>
        <v/>
      </c>
      <c r="P620" s="9" t="n"/>
    </row>
    <row r="621">
      <c r="A621" s="13" t="inlineStr">
        <is>
          <t>Connive // Concoct / Conivente // Concoctante</t>
        </is>
      </c>
      <c r="B621" s="13" t="inlineStr">
        <is>
          <t>Sorcery // Sorcery / Feitiço</t>
        </is>
      </c>
      <c r="C621" s="13" t="inlineStr">
        <is>
          <t>Rare / Rara</t>
        </is>
      </c>
      <c r="D621" s="13" t="inlineStr">
        <is>
          <t>Connive: Gain control of target creature with power 2 or less. // Concoct: Surveil 3, then return a creature card from your graveyard to the battlefield. / Ganhe o controle da criatura alvo com poder igual ou inferior a 2.</t>
        </is>
      </c>
      <c r="E621" s="13" t="inlineStr">
        <is>
          <t>{2}{U/B}{U/B} // {3}{U}{B}</t>
        </is>
      </c>
      <c r="F621" s="13" t="inlineStr">
        <is>
          <t>Preto, Azul</t>
        </is>
      </c>
      <c r="G621" s="8" t="n">
        <v>0.59</v>
      </c>
      <c r="H621" s="13" t="inlineStr">
        <is>
          <t>Murders at Karlov Manor Commander (MKC)</t>
        </is>
      </c>
      <c r="I621" s="13" t="inlineStr">
        <is>
          <t>Não</t>
        </is>
      </c>
      <c r="J621" s="13" t="n">
        <v>2024</v>
      </c>
      <c r="L621" s="13" t="n">
        <v>1</v>
      </c>
      <c r="M621" s="8">
        <f>L621*G621</f>
        <v/>
      </c>
      <c r="P621" s="9" t="n"/>
    </row>
    <row r="622">
      <c r="A622" s="13" t="inlineStr">
        <is>
          <t>Consecrate // Consume / Devotar // Devorar</t>
        </is>
      </c>
      <c r="B622" s="13" t="inlineStr">
        <is>
          <t>Instant // Sorcery / Mágica Instantânea</t>
        </is>
      </c>
      <c r="C622" s="13" t="inlineStr">
        <is>
          <t>Uncommon / Incomum</t>
        </is>
      </c>
      <c r="D622" s="13" t="inlineStr">
        <is>
          <t>Consecrate: Exile target card from a graveyard. Draw a card. // Consume: Target player sacrifices a creature with the greatest power among creatures they control. You gain life equal to its power. / Exile o card alvo de um cemitério. Compre um card.</t>
        </is>
      </c>
      <c r="E622" s="13" t="inlineStr">
        <is>
          <t>{1}{W/B} // {2}{W}{B}</t>
        </is>
      </c>
      <c r="F622" s="13" t="inlineStr">
        <is>
          <t>Preto, Branco</t>
        </is>
      </c>
      <c r="G622" s="8" t="n">
        <v>0.1</v>
      </c>
      <c r="H622" s="13" t="inlineStr">
        <is>
          <t>Ravnica Allegiance (RNA)</t>
        </is>
      </c>
      <c r="I622" s="13" t="inlineStr">
        <is>
          <t>Não</t>
        </is>
      </c>
      <c r="J622" s="13" t="n">
        <v>2019</v>
      </c>
      <c r="L622" s="13" t="n">
        <v>1</v>
      </c>
      <c r="M622" s="8">
        <f>L622*G622</f>
        <v/>
      </c>
      <c r="P622" s="9" t="n"/>
    </row>
    <row r="623">
      <c r="A623" s="13" t="inlineStr">
        <is>
          <t>Consecrate // Consume / Devotar // Devorar</t>
        </is>
      </c>
      <c r="B623" s="13" t="inlineStr">
        <is>
          <t>Instant // Sorcery / Mágica Instantânea</t>
        </is>
      </c>
      <c r="C623" s="13" t="inlineStr">
        <is>
          <t>Uncommon / Incomum</t>
        </is>
      </c>
      <c r="D623" s="13" t="inlineStr">
        <is>
          <t>Consecrate: Exile target card from a graveyard. Draw a card. // Consume: Target player sacrifices a creature with the greatest power among creatures they control. You gain life equal to its power. / Exile o card alvo de um cemitério. Compre um card.</t>
        </is>
      </c>
      <c r="E623" s="13" t="inlineStr">
        <is>
          <t>{1}{W/B} // {2}{W}{B}</t>
        </is>
      </c>
      <c r="F623" s="13" t="inlineStr">
        <is>
          <t>Preto, Branco</t>
        </is>
      </c>
      <c r="G623" s="8" t="n">
        <v>0.1</v>
      </c>
      <c r="H623" s="13" t="inlineStr">
        <is>
          <t>Ravnica Allegiance (RNA)</t>
        </is>
      </c>
      <c r="I623" s="13" t="inlineStr">
        <is>
          <t>Não</t>
        </is>
      </c>
      <c r="J623" s="13" t="n">
        <v>2019</v>
      </c>
      <c r="L623" s="13" t="n">
        <v>1</v>
      </c>
      <c r="M623" s="8">
        <f>L623*G623</f>
        <v/>
      </c>
      <c r="N623" s="13" t="inlineStr">
        <is>
          <t>Bulk Shopee</t>
        </is>
      </c>
      <c r="P623" s="9" t="n"/>
    </row>
    <row r="624">
      <c r="A624" s="13" t="inlineStr">
        <is>
          <t>Conservator / Protetor</t>
        </is>
      </c>
      <c r="B624" s="13" t="inlineStr">
        <is>
          <t>Artifact</t>
        </is>
      </c>
      <c r="C624" s="13" t="inlineStr">
        <is>
          <t>Uncommon / Incomum</t>
        </is>
      </c>
      <c r="D624" s="13" t="inlineStr">
        <is>
          <t>{3}, {T}: Prevent the next 2 damage that would be dealt to you this turn.</t>
        </is>
      </c>
      <c r="E624" s="13" t="inlineStr">
        <is>
          <t>{4}</t>
        </is>
      </c>
      <c r="F624" s="13" t="inlineStr">
        <is>
          <t>Incolor</t>
        </is>
      </c>
      <c r="G624" s="8" t="n">
        <v>0.17</v>
      </c>
      <c r="H624" s="13" t="inlineStr">
        <is>
          <t>Fourth Edition</t>
        </is>
      </c>
      <c r="I624" s="13" t="inlineStr">
        <is>
          <t>Não</t>
        </is>
      </c>
      <c r="J624" s="13" t="n">
        <v>1995</v>
      </c>
      <c r="L624" s="13" t="n">
        <v>1</v>
      </c>
      <c r="M624" s="8">
        <f>L624*G624</f>
        <v/>
      </c>
      <c r="P624" s="9" t="n"/>
    </row>
    <row r="625">
      <c r="A625" s="13" t="inlineStr">
        <is>
          <t>Consider / Considerar</t>
        </is>
      </c>
      <c r="B625" s="13" t="inlineStr">
        <is>
          <t>Instant / Mágica Instantânea</t>
        </is>
      </c>
      <c r="C625" s="13" t="inlineStr">
        <is>
          <t>Rare / Rara</t>
        </is>
      </c>
      <c r="D625" s="13" t="inlineStr">
        <is>
          <t>Surveil 1. (Look at the top card of your library. You may put it into your graveyard.) Draw a card. / Olhe o card do topo de seu grimório. Você pode colocar aquele card em seu cemitério. Compre um card.</t>
        </is>
      </c>
      <c r="E625" s="13" t="inlineStr">
        <is>
          <t>{U}</t>
        </is>
      </c>
      <c r="F625" s="13" t="inlineStr">
        <is>
          <t>Azul</t>
        </is>
      </c>
      <c r="G625" s="8" t="n">
        <v>4</v>
      </c>
      <c r="H625" s="13" t="inlineStr">
        <is>
          <t>Secret Lair Drop (SLD)</t>
        </is>
      </c>
      <c r="I625" s="13" t="inlineStr">
        <is>
          <t>Não</t>
        </is>
      </c>
      <c r="J625" s="13" t="n">
        <v>2024</v>
      </c>
      <c r="L625" s="13" t="n">
        <v>4</v>
      </c>
      <c r="M625" s="8">
        <f>L625*G625</f>
        <v/>
      </c>
      <c r="P625" s="9" t="n"/>
    </row>
    <row r="626">
      <c r="A626" s="13" t="inlineStr">
        <is>
          <t>Consulate Turret / Torreão do Consulado</t>
        </is>
      </c>
      <c r="B626" s="13" t="inlineStr">
        <is>
          <t>Artifact / Artefato</t>
        </is>
      </c>
      <c r="C626" s="13" t="inlineStr">
        <is>
          <t>Common / Comum</t>
        </is>
      </c>
      <c r="D626" s="13" t="inlineStr">
        <is>
          <t>{T}: You get {E} (an energy counter). {T}, Pay {E}{E}{E}: This artifact deals 2 damage to target player or planeswalker. / {T}: Você recebe {E} (um marcador de energia). {T}, Pague {E}{E}{E}: Torreão do Consulado causa 2 pontos de dano ao jogador alvo.</t>
        </is>
      </c>
      <c r="E626" s="13" t="inlineStr">
        <is>
          <t>{3}</t>
        </is>
      </c>
      <c r="F626" s="13" t="inlineStr">
        <is>
          <t>Incolor</t>
        </is>
      </c>
      <c r="G626" s="8" t="n">
        <v>0.03</v>
      </c>
      <c r="H626" s="13" t="inlineStr">
        <is>
          <t>Aether Revolt (AER)</t>
        </is>
      </c>
      <c r="I626" s="13" t="inlineStr">
        <is>
          <t>Não</t>
        </is>
      </c>
      <c r="J626" s="13" t="n">
        <v>2017</v>
      </c>
      <c r="L626" s="13" t="n">
        <v>1</v>
      </c>
      <c r="M626" s="8">
        <f>L626*G626</f>
        <v/>
      </c>
      <c r="N626" s="13" t="inlineStr">
        <is>
          <t>Bulk Shopee</t>
        </is>
      </c>
      <c r="P626" s="9" t="n"/>
    </row>
    <row r="627">
      <c r="A627" s="13" t="inlineStr">
        <is>
          <t>Consumed by Greed</t>
        </is>
      </c>
      <c r="B627" s="13" t="inlineStr">
        <is>
          <t>Instant</t>
        </is>
      </c>
      <c r="C627" s="13" t="inlineStr">
        <is>
          <t>Uncommon / Incomum</t>
        </is>
      </c>
      <c r="D627" s="13"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627" s="13" t="inlineStr">
        <is>
          <t>{1}{B}{B}</t>
        </is>
      </c>
      <c r="F627" s="13" t="inlineStr">
        <is>
          <t>Preto</t>
        </is>
      </c>
      <c r="G627" s="8" t="n">
        <v>0.21</v>
      </c>
      <c r="H627" s="13" t="inlineStr">
        <is>
          <t>Bloomburrow (BLB)</t>
        </is>
      </c>
      <c r="I627" s="13" t="inlineStr">
        <is>
          <t>Não</t>
        </is>
      </c>
      <c r="J627" s="13" t="n">
        <v>2024</v>
      </c>
      <c r="L627" s="13" t="n">
        <v>1</v>
      </c>
      <c r="M627" s="8">
        <f>L627*G627</f>
        <v/>
      </c>
      <c r="P627" s="9" t="n"/>
    </row>
    <row r="628">
      <c r="A628" s="13" t="inlineStr">
        <is>
          <t>Consuming Tide / Maré Consumidora</t>
        </is>
      </c>
      <c r="B628" s="13" t="inlineStr">
        <is>
          <t>Sorcery / Feitiço</t>
        </is>
      </c>
      <c r="C628" s="13" t="inlineStr">
        <is>
          <t>Rare / Rara</t>
        </is>
      </c>
      <c r="D628" s="13"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628" s="13" t="inlineStr">
        <is>
          <t>{2}{U}{U}</t>
        </is>
      </c>
      <c r="F628" s="13" t="inlineStr">
        <is>
          <t>Azul</t>
        </is>
      </c>
      <c r="G628" s="8" t="n">
        <v>1.99</v>
      </c>
      <c r="H628" s="13" t="inlineStr">
        <is>
          <t>Innistrad: Crimson Vow Promos (PVOW)</t>
        </is>
      </c>
      <c r="I628" s="13" t="inlineStr">
        <is>
          <t>Sim</t>
        </is>
      </c>
      <c r="J628" s="13" t="n">
        <v>2021</v>
      </c>
      <c r="L628" s="13" t="n">
        <v>1</v>
      </c>
      <c r="M628" s="8">
        <f>L628*G628</f>
        <v/>
      </c>
      <c r="P628" s="9" t="n"/>
    </row>
    <row r="629">
      <c r="A629" s="13" t="inlineStr">
        <is>
          <t>Containment Protocol / Protocolo de Contenção</t>
        </is>
      </c>
      <c r="B629" s="13" t="inlineStr">
        <is>
          <t>Encantamento — Aura</t>
        </is>
      </c>
      <c r="C629" s="13" t="inlineStr">
        <is>
          <t>Comum</t>
        </is>
      </c>
      <c r="D629" s="13" t="inlineStr">
        <is>
          <t>Encantar criatura. Quando esta Aura entrar, vire a criatura encantada. A criatura encantada não desvira durante a etapa de desvirar de seu controlador.</t>
        </is>
      </c>
      <c r="E629" s="13" t="inlineStr">
        <is>
          <t>2{U}</t>
        </is>
      </c>
      <c r="F629" s="13" t="inlineStr">
        <is>
          <t>Azul</t>
        </is>
      </c>
      <c r="G629" s="8" t="n">
        <v>0.2</v>
      </c>
      <c r="H629" s="13" t="inlineStr">
        <is>
          <t>Teenage Mutant Ninja Turtles</t>
        </is>
      </c>
      <c r="I629" s="13" t="inlineStr">
        <is>
          <t>Não</t>
        </is>
      </c>
      <c r="J629" s="13" t="n">
        <v>2026</v>
      </c>
      <c r="L629" s="13" t="n">
        <v>4</v>
      </c>
      <c r="M629" s="8">
        <f>L629*G629</f>
        <v/>
      </c>
      <c r="P629" s="9" t="n"/>
    </row>
    <row r="630">
      <c r="A630" s="13" t="inlineStr">
        <is>
          <t>Contentious Plan / Plano Polêmico</t>
        </is>
      </c>
      <c r="B630" s="13" t="inlineStr">
        <is>
          <t>Sorcery / Feitiço</t>
        </is>
      </c>
      <c r="C630" s="13" t="inlineStr">
        <is>
          <t>Common / Comum</t>
        </is>
      </c>
      <c r="D630" s="13"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630" s="13" t="inlineStr">
        <is>
          <t>{1}{U}</t>
        </is>
      </c>
      <c r="F630" s="13" t="inlineStr">
        <is>
          <t>Azul</t>
        </is>
      </c>
      <c r="G630" s="8" t="n">
        <v>0.2</v>
      </c>
      <c r="H630" s="13" t="inlineStr">
        <is>
          <t>War of the Spark (WAR)</t>
        </is>
      </c>
      <c r="I630" s="13" t="inlineStr">
        <is>
          <t>Não</t>
        </is>
      </c>
      <c r="J630" s="13" t="n">
        <v>2019</v>
      </c>
      <c r="L630" s="13" t="n">
        <v>1</v>
      </c>
      <c r="M630" s="8">
        <f>L630*G630</f>
        <v/>
      </c>
      <c r="P630" s="9" t="n"/>
    </row>
    <row r="631">
      <c r="A631" s="13" t="inlineStr">
        <is>
          <t>Conversion</t>
        </is>
      </c>
      <c r="B631" s="13" t="inlineStr">
        <is>
          <t>Encantamento / Enchantment</t>
        </is>
      </c>
      <c r="C631" s="13" t="inlineStr">
        <is>
          <t>Rara / Rare</t>
        </is>
      </c>
      <c r="D631" s="13" t="inlineStr">
        <is>
          <t>All mountains become basic plains. During your upkeep, pay {W}{W} or destroy Conversion.</t>
        </is>
      </c>
      <c r="E631" s="13" t="inlineStr">
        <is>
          <t>{2}{W}{W}</t>
        </is>
      </c>
      <c r="F631" s="13" t="inlineStr">
        <is>
          <t>Branco</t>
        </is>
      </c>
      <c r="G631" s="8" t="n">
        <v>0.1</v>
      </c>
      <c r="H631" s="13" t="inlineStr">
        <is>
          <t>Fourth Edition</t>
        </is>
      </c>
      <c r="I631" s="13" t="inlineStr">
        <is>
          <t>Não</t>
        </is>
      </c>
      <c r="J631" s="13" t="n">
        <v>1995</v>
      </c>
      <c r="L631" s="13" t="n">
        <v>1</v>
      </c>
      <c r="M631" s="8">
        <f>L631*G631</f>
        <v/>
      </c>
      <c r="P631" s="9" t="n"/>
    </row>
    <row r="632">
      <c r="A632" s="13" t="inlineStr">
        <is>
          <t>Conversion / Conversion</t>
        </is>
      </c>
      <c r="B632" s="13" t="inlineStr">
        <is>
          <t>Enchantment</t>
        </is>
      </c>
      <c r="C632" s="13" t="inlineStr">
        <is>
          <t>Incomum</t>
        </is>
      </c>
      <c r="D632" s="13" t="inlineStr">
        <is>
          <t>All mountains are considered basic plains while Conversion is in play. Pay {W}{W} during upkeep or Conversion is discarded.</t>
        </is>
      </c>
      <c r="E632" s="13" t="inlineStr">
        <is>
          <t>{2}{W}{W}</t>
        </is>
      </c>
      <c r="F632" s="13" t="inlineStr">
        <is>
          <t>Branco</t>
        </is>
      </c>
      <c r="G632" s="8" t="n">
        <v>0.5</v>
      </c>
      <c r="H632" s="13" t="inlineStr">
        <is>
          <t>Alpha</t>
        </is>
      </c>
      <c r="I632" s="13" t="inlineStr">
        <is>
          <t>Não</t>
        </is>
      </c>
      <c r="J632" s="13" t="n">
        <v>1993</v>
      </c>
      <c r="L632" s="13" t="n">
        <v>1</v>
      </c>
      <c r="M632" s="8">
        <f>L632*G632</f>
        <v/>
      </c>
      <c r="P632" s="9" t="n"/>
    </row>
    <row r="633">
      <c r="A633" s="13" t="inlineStr">
        <is>
          <t>Convite de Casamento / Wedding Invitation</t>
        </is>
      </c>
      <c r="B633" s="13" t="inlineStr">
        <is>
          <t>Artifact / Artefato</t>
        </is>
      </c>
      <c r="C633" s="13" t="inlineStr">
        <is>
          <t>Common / Comum</t>
        </is>
      </c>
      <c r="D633" s="13"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633" s="13" t="inlineStr">
        <is>
          <t>{2}</t>
        </is>
      </c>
      <c r="F633" s="13" t="inlineStr">
        <is>
          <t>Incolor</t>
        </is>
      </c>
      <c r="G633" s="8" t="n">
        <v>1</v>
      </c>
      <c r="H633" s="13" t="inlineStr">
        <is>
          <t>Innistrad: Crimson Vow (VOW)</t>
        </is>
      </c>
      <c r="I633" s="13" t="inlineStr">
        <is>
          <t>No</t>
        </is>
      </c>
      <c r="J633" s="13" t="n">
        <v>2021</v>
      </c>
      <c r="L633" s="13" t="n">
        <v>1</v>
      </c>
      <c r="M633" s="8">
        <f>L633*G633</f>
        <v/>
      </c>
      <c r="P633" s="9" t="n"/>
    </row>
    <row r="634">
      <c r="A634" s="13" t="inlineStr">
        <is>
          <t>Cooperation</t>
        </is>
      </c>
      <c r="B634" s="13" t="inlineStr">
        <is>
          <t>Encantar Criatura / Enchant Creature</t>
        </is>
      </c>
      <c r="C634" s="13" t="inlineStr">
        <is>
          <t>Comum / Common</t>
        </is>
      </c>
      <c r="D634" s="13" t="inlineStr">
        <is>
          <t>Target creature gains banding.</t>
        </is>
      </c>
      <c r="E634" s="13" t="inlineStr">
        <is>
          <t>{2}{W}</t>
        </is>
      </c>
      <c r="F634" s="13" t="inlineStr">
        <is>
          <t>Branco</t>
        </is>
      </c>
      <c r="G634" s="8" t="n">
        <v>0.01</v>
      </c>
      <c r="H634" s="13" t="inlineStr">
        <is>
          <t>Ice Age (ICE)</t>
        </is>
      </c>
      <c r="I634" s="13" t="inlineStr">
        <is>
          <t>Não</t>
        </is>
      </c>
      <c r="J634" s="13" t="n">
        <v>1995</v>
      </c>
      <c r="L634" s="13" t="n">
        <v>2</v>
      </c>
      <c r="M634" s="8">
        <f>L634*G634</f>
        <v/>
      </c>
      <c r="P634" s="9" t="n"/>
    </row>
    <row r="635">
      <c r="A635" s="13" t="inlineStr">
        <is>
          <t>Coordinated Clobbering</t>
        </is>
      </c>
      <c r="B635" s="13" t="inlineStr">
        <is>
          <t>Sorcery</t>
        </is>
      </c>
      <c r="C635" s="13" t="inlineStr">
        <is>
          <t>Uncommon / Incomum</t>
        </is>
      </c>
      <c r="D635" s="13" t="inlineStr">
        <is>
          <t>Tap one or two target untapped creatures you control. They each deal damage equal to their power to target creature an opponent controls.</t>
        </is>
      </c>
      <c r="E635" s="13" t="inlineStr">
        <is>
          <t>{G}</t>
        </is>
      </c>
      <c r="F635" s="13" t="inlineStr">
        <is>
          <t>Verde</t>
        </is>
      </c>
      <c r="G635" s="8" t="n">
        <v>0.05</v>
      </c>
      <c r="H635" s="13" t="inlineStr">
        <is>
          <t>Duskmourn: House of Horror (DSK)</t>
        </is>
      </c>
      <c r="I635" s="13" t="inlineStr">
        <is>
          <t>Não</t>
        </is>
      </c>
      <c r="J635" s="13" t="n">
        <v>2024</v>
      </c>
      <c r="L635" s="13" t="n">
        <v>1</v>
      </c>
      <c r="M635" s="8">
        <f>L635*G635</f>
        <v/>
      </c>
      <c r="P635" s="9" t="n"/>
    </row>
    <row r="636">
      <c r="A636" s="13" t="inlineStr">
        <is>
          <t>Coral Helm / Elmo de Coral</t>
        </is>
      </c>
      <c r="B636" s="13" t="inlineStr">
        <is>
          <t>Artifact</t>
        </is>
      </c>
      <c r="C636" s="13" t="inlineStr">
        <is>
          <t>Rare / Rara</t>
        </is>
      </c>
      <c r="D636" s="13" t="inlineStr">
        <is>
          <t>{3}, Discard a card at random: Target creature gets +2/+2 until end of turn.</t>
        </is>
      </c>
      <c r="E636" s="13" t="inlineStr">
        <is>
          <t>{3}</t>
        </is>
      </c>
      <c r="F636" s="13" t="inlineStr">
        <is>
          <t>Incolor</t>
        </is>
      </c>
      <c r="G636" s="8" t="n">
        <v>1.75</v>
      </c>
      <c r="H636" s="13" t="inlineStr">
        <is>
          <t>Fourth Edition (BB)</t>
        </is>
      </c>
      <c r="I636" s="13" t="inlineStr">
        <is>
          <t>Não</t>
        </is>
      </c>
      <c r="J636" s="13" t="n">
        <v>1995</v>
      </c>
      <c r="L636" s="13" t="n">
        <v>2</v>
      </c>
      <c r="M636" s="8">
        <f>L636*G636</f>
        <v/>
      </c>
      <c r="N636" s="13" t="inlineStr">
        <is>
          <t>Pasta</t>
        </is>
      </c>
      <c r="P636" s="9" t="n"/>
    </row>
    <row r="637">
      <c r="A637" s="13" t="inlineStr">
        <is>
          <t>Coral Sword / Espada de Coral</t>
        </is>
      </c>
      <c r="B637" s="13" t="inlineStr">
        <is>
          <t>Artefato — Equipamento</t>
        </is>
      </c>
      <c r="C637" s="13" t="inlineStr">
        <is>
          <t>Incomum</t>
        </is>
      </c>
      <c r="D637" s="13" t="inlineStr">
        <is>
          <t>Lampejo. Quando este Equipamento entrar, anexe-o à criatura alvo que você controla. Aquela criatura ganha iniciativa até o final do turno. A criatura equipada recebe +1/+0. Equipar {1}</t>
        </is>
      </c>
      <c r="E637" s="13" t="inlineStr">
        <is>
          <t>{R}</t>
        </is>
      </c>
      <c r="F637" s="13" t="inlineStr">
        <is>
          <t>Vermelho</t>
        </is>
      </c>
      <c r="G637" s="8" t="n">
        <v>0.14</v>
      </c>
      <c r="H637" s="13" t="inlineStr">
        <is>
          <t>Final Fantasy</t>
        </is>
      </c>
      <c r="I637" s="13" t="inlineStr">
        <is>
          <t>Não</t>
        </is>
      </c>
      <c r="J637" s="13" t="n">
        <v>2025</v>
      </c>
      <c r="L637" s="13" t="n">
        <v>1</v>
      </c>
      <c r="M637" s="8">
        <f>L637*G637</f>
        <v/>
      </c>
      <c r="P637" s="9" t="n"/>
    </row>
    <row r="638">
      <c r="A638" s="13" t="inlineStr">
        <is>
          <t>Coral Trickster / Trapaceira dos Corais</t>
        </is>
      </c>
      <c r="B638" s="13" t="inlineStr">
        <is>
          <t>Creature — Merfolk Rogue / Criatura — Tritão Ladino</t>
        </is>
      </c>
      <c r="C638" s="13" t="inlineStr">
        <is>
          <t>Common / Comum</t>
        </is>
      </c>
      <c r="D638" s="13"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638" s="13" t="inlineStr">
        <is>
          <t>{1}{U}</t>
        </is>
      </c>
      <c r="F638" s="13" t="inlineStr">
        <is>
          <t>Azul</t>
        </is>
      </c>
      <c r="G638" s="8" t="n">
        <v>0.12</v>
      </c>
      <c r="H638" s="13" t="inlineStr">
        <is>
          <t>Time Spiral Remastered (TSR)</t>
        </is>
      </c>
      <c r="I638" s="13" t="inlineStr">
        <is>
          <t>Não</t>
        </is>
      </c>
      <c r="J638" s="13" t="n">
        <v>2021</v>
      </c>
      <c r="K638" s="10" t="n">
        <v>46024</v>
      </c>
      <c r="L638" s="13" t="n">
        <v>1</v>
      </c>
      <c r="M638" s="8">
        <f>L638*G638</f>
        <v/>
      </c>
      <c r="N638" s="13" t="inlineStr">
        <is>
          <t>Bulk Shopee</t>
        </is>
      </c>
      <c r="P638" s="9" t="n"/>
    </row>
    <row r="639">
      <c r="A639" s="13" t="inlineStr">
        <is>
          <t>Coral Trickster / Trapaceiro do Coral</t>
        </is>
      </c>
      <c r="B639" s="13" t="inlineStr">
        <is>
          <t>Criatura — Sereia Ladino</t>
        </is>
      </c>
      <c r="C639" s="13" t="inlineStr">
        <is>
          <t>Comum</t>
        </is>
      </c>
      <c r="D639" s="13"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639" s="13" t="inlineStr">
        <is>
          <t>1U</t>
        </is>
      </c>
      <c r="F639" s="13" t="inlineStr">
        <is>
          <t>Azul</t>
        </is>
      </c>
      <c r="G639" s="8" t="n">
        <v>0.06</v>
      </c>
      <c r="H639" s="13" t="inlineStr">
        <is>
          <t>Duel Decks: Speed vs. Cunning</t>
        </is>
      </c>
      <c r="I639" s="13" t="inlineStr">
        <is>
          <t>Não</t>
        </is>
      </c>
      <c r="J639" s="13" t="n">
        <v>2014</v>
      </c>
      <c r="K639" s="10" t="n">
        <v>46024</v>
      </c>
      <c r="L639" s="13" t="n">
        <v>1</v>
      </c>
      <c r="M639" s="8">
        <f>L639*G639</f>
        <v/>
      </c>
      <c r="P639" s="9" t="n"/>
    </row>
    <row r="640">
      <c r="A640" s="13" t="inlineStr">
        <is>
          <t>Cornered by Preto Mages</t>
        </is>
      </c>
      <c r="B640" s="13" t="inlineStr">
        <is>
          <t>Sorcery</t>
        </is>
      </c>
      <c r="C640" s="13" t="inlineStr">
        <is>
          <t>Comum</t>
        </is>
      </c>
      <c r="D640" s="13" t="inlineStr">
        <is>
          <t>Target opponent sacrifices a creature of their choice. Create a 0/1 Preto Wizard creature token with "Whenever you cast a noncreature spell, this token deals 1 damage to each opponent."</t>
        </is>
      </c>
      <c r="E640" s="13" t="inlineStr">
        <is>
          <t>1BB</t>
        </is>
      </c>
      <c r="F640" s="13" t="inlineStr">
        <is>
          <t>Preta</t>
        </is>
      </c>
      <c r="G640" s="8" t="n">
        <v>0.9</v>
      </c>
      <c r="H640" s="13" t="inlineStr">
        <is>
          <t>Final Fantasy (FFIX)</t>
        </is>
      </c>
      <c r="I640" s="13" t="inlineStr">
        <is>
          <t>Sim</t>
        </is>
      </c>
      <c r="J640" s="13" t="n">
        <v>2025</v>
      </c>
      <c r="L640" s="13" t="n">
        <v>1</v>
      </c>
      <c r="M640" s="8">
        <f>L640*G640</f>
        <v/>
      </c>
      <c r="P640" s="9" t="n"/>
    </row>
    <row r="641">
      <c r="A641" s="13" t="inlineStr">
        <is>
          <t>Cornered by Preto Mages</t>
        </is>
      </c>
      <c r="B641" s="13" t="inlineStr">
        <is>
          <t>Sorcery</t>
        </is>
      </c>
      <c r="C641" s="13" t="inlineStr">
        <is>
          <t>Comum</t>
        </is>
      </c>
      <c r="D641" s="13" t="inlineStr">
        <is>
          <t>Target opponent sacrifices a creature of their choice. Create a 0/1 Preto Wizard creature token with "Whenever you cast a noncreature spell, this token deals 1 damage to each opponent."</t>
        </is>
      </c>
      <c r="E641" s="13" t="inlineStr">
        <is>
          <t>1BB</t>
        </is>
      </c>
      <c r="F641" s="13" t="inlineStr">
        <is>
          <t>Preta</t>
        </is>
      </c>
      <c r="G641" s="8" t="n">
        <v>0.2</v>
      </c>
      <c r="H641" s="13" t="inlineStr">
        <is>
          <t>Final Fantasy (FFIX)</t>
        </is>
      </c>
      <c r="I641" s="13" t="inlineStr">
        <is>
          <t>Não</t>
        </is>
      </c>
      <c r="J641" s="13" t="n">
        <v>2025</v>
      </c>
      <c r="L641" s="13" t="n">
        <v>14</v>
      </c>
      <c r="M641" s="8">
        <f>L641*G641</f>
        <v/>
      </c>
      <c r="P641" s="9" t="n"/>
    </row>
    <row r="642">
      <c r="A642" s="13" t="inlineStr">
        <is>
          <t>Corpse Augur / Áugure Cadáver</t>
        </is>
      </c>
      <c r="B642" s="13" t="inlineStr">
        <is>
          <t>Creature — Zombie Wizard / Criatura — Zumbi Mago</t>
        </is>
      </c>
      <c r="C642" s="13" t="inlineStr">
        <is>
          <t>Uncommon / Incomum</t>
        </is>
      </c>
      <c r="D642" s="13"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642" s="13" t="inlineStr">
        <is>
          <t>{3}{B}</t>
        </is>
      </c>
      <c r="F642" s="13" t="inlineStr">
        <is>
          <t>Preto</t>
        </is>
      </c>
      <c r="G642" s="8" t="n">
        <v>0.24</v>
      </c>
      <c r="H642" s="13" t="inlineStr">
        <is>
          <t>Commander Masters (CMM)</t>
        </is>
      </c>
      <c r="I642" s="13" t="inlineStr">
        <is>
          <t>Não</t>
        </is>
      </c>
      <c r="J642" s="13" t="n">
        <v>2023</v>
      </c>
      <c r="K642" s="10" t="n">
        <v>46057</v>
      </c>
      <c r="L642" s="13" t="n">
        <v>1</v>
      </c>
      <c r="M642" s="8">
        <f>L642*G642</f>
        <v/>
      </c>
      <c r="P642" s="9" t="n"/>
    </row>
    <row r="643">
      <c r="A643" s="13" t="inlineStr">
        <is>
          <t>Corpse Augur / Áugure Cadáver</t>
        </is>
      </c>
      <c r="B643" s="13" t="inlineStr">
        <is>
          <t>Creature — Zombie Wizard / Criatura — Zumbi Mago</t>
        </is>
      </c>
      <c r="C643" s="13" t="inlineStr">
        <is>
          <t>Uncommon / Incomum</t>
        </is>
      </c>
      <c r="D643" s="13"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643" s="13" t="inlineStr">
        <is>
          <t>{3}{B}</t>
        </is>
      </c>
      <c r="F643" s="13" t="inlineStr">
        <is>
          <t>Preto</t>
        </is>
      </c>
      <c r="G643" s="8" t="n">
        <v>0.25</v>
      </c>
      <c r="H643" s="13" t="inlineStr">
        <is>
          <t>Midnight Hunt Commander (MIC)</t>
        </is>
      </c>
      <c r="I643" s="13" t="inlineStr">
        <is>
          <t>Não</t>
        </is>
      </c>
      <c r="J643" s="13" t="n">
        <v>2021</v>
      </c>
      <c r="K643" s="10" t="n">
        <v>46057</v>
      </c>
      <c r="L643" s="13" t="n">
        <v>1</v>
      </c>
      <c r="M643" s="8">
        <f>L643*G643</f>
        <v/>
      </c>
      <c r="P643" s="9" t="n"/>
    </row>
    <row r="644">
      <c r="A644" s="13" t="inlineStr">
        <is>
          <t>Corrupt Court Official / Magistrado Corrupto</t>
        </is>
      </c>
      <c r="B644" s="13" t="inlineStr">
        <is>
          <t>Creature — Human Advisor / Criatura — Humano Conselheiro</t>
        </is>
      </c>
      <c r="C644" s="13" t="inlineStr">
        <is>
          <t>Common / Comum</t>
        </is>
      </c>
      <c r="D644" s="13" t="inlineStr">
        <is>
          <t>When this creature enters, target opponent discards a card. / Quando Magistrado Corrupto entra no campo de batalha, o oponente alvo descarta um card.</t>
        </is>
      </c>
      <c r="E644" s="13" t="inlineStr">
        <is>
          <t>{1}{B}</t>
        </is>
      </c>
      <c r="F644" s="13" t="inlineStr">
        <is>
          <t>Preto</t>
        </is>
      </c>
      <c r="G644" s="8" t="n">
        <v>0.05</v>
      </c>
      <c r="H644" s="13" t="inlineStr">
        <is>
          <t>Avatar: The Last Airbender (TLA)</t>
        </is>
      </c>
      <c r="I644" s="13" t="inlineStr">
        <is>
          <t>Não</t>
        </is>
      </c>
      <c r="J644" s="13" t="n">
        <v>2025</v>
      </c>
      <c r="K644" s="10" t="n">
        <v>46023</v>
      </c>
      <c r="L644" s="13" t="n">
        <v>2</v>
      </c>
      <c r="M644" s="8">
        <f>L644*G644</f>
        <v/>
      </c>
      <c r="P644" s="9" t="n"/>
    </row>
    <row r="645">
      <c r="A645" s="13" t="inlineStr">
        <is>
          <t>Cosmic Horror / Horror Cósmico</t>
        </is>
      </c>
      <c r="B645" s="13" t="inlineStr">
        <is>
          <t>Creature — Horror</t>
        </is>
      </c>
      <c r="C645" s="13" t="inlineStr">
        <is>
          <t>Rare / Rara</t>
        </is>
      </c>
      <c r="D645" s="13" t="inlineStr">
        <is>
          <t>First strike At the beginning of your upkeep, destroy this creature unless you pay {3}{B}{B}{B}. If this creature is destroyed this way, it deals 7 damage to you.</t>
        </is>
      </c>
      <c r="E645" s="13" t="inlineStr">
        <is>
          <t>{3}{B}{B}{B}</t>
        </is>
      </c>
      <c r="F645" s="13" t="inlineStr">
        <is>
          <t>Preto</t>
        </is>
      </c>
      <c r="G645" s="8" t="n">
        <v>5</v>
      </c>
      <c r="H645" s="13" t="inlineStr">
        <is>
          <t>Quarta Edição (BB)</t>
        </is>
      </c>
      <c r="I645" s="13" t="inlineStr">
        <is>
          <t>Não</t>
        </is>
      </c>
      <c r="J645" s="13" t="n">
        <v>1995</v>
      </c>
      <c r="K645" s="10" t="n">
        <v>46210</v>
      </c>
      <c r="L645" s="13" t="n">
        <v>1</v>
      </c>
      <c r="M645" s="8">
        <f>L645*G645</f>
        <v/>
      </c>
      <c r="P645" s="9" t="n"/>
    </row>
    <row r="646">
      <c r="A646" s="13" t="inlineStr">
        <is>
          <t>Cosmogoyf / Cosmogoyf</t>
        </is>
      </c>
      <c r="B646" s="13" t="inlineStr">
        <is>
          <t>Criatura — Elemental Lhurgoyf</t>
        </is>
      </c>
      <c r="C646" s="13" t="inlineStr">
        <is>
          <t>Rara</t>
        </is>
      </c>
      <c r="D646" s="13" t="inlineStr">
        <is>
          <t>O poder desta criatura é igual ao número de cards que você possui no exílio e sua resistência é igual a esse número mais 1.</t>
        </is>
      </c>
      <c r="E646" s="13" t="inlineStr">
        <is>
          <t>{B}{G}</t>
        </is>
      </c>
      <c r="F646" s="13" t="inlineStr">
        <is>
          <t>Multicolorido</t>
        </is>
      </c>
      <c r="G646" s="8" t="n">
        <v>1.8</v>
      </c>
      <c r="H646" s="13" t="inlineStr">
        <is>
          <t>Edge of Eternity</t>
        </is>
      </c>
      <c r="I646" s="13" t="inlineStr">
        <is>
          <t>Não</t>
        </is>
      </c>
      <c r="J646" s="13" t="n">
        <v>2025</v>
      </c>
      <c r="K646" s="13" t="inlineStr">
        <is>
          <t>*/1+*</t>
        </is>
      </c>
      <c r="L646" s="13" t="n">
        <v>1</v>
      </c>
      <c r="M646" s="8">
        <f>L646*G646</f>
        <v/>
      </c>
      <c r="P646" s="9" t="n"/>
    </row>
    <row r="647">
      <c r="A647" s="13" t="inlineStr">
        <is>
          <t>Countermand / Contra-ordem</t>
        </is>
      </c>
      <c r="B647" s="13" t="inlineStr">
        <is>
          <t>Mágica Instantânea</t>
        </is>
      </c>
      <c r="C647" s="13" t="inlineStr">
        <is>
          <t>Comum</t>
        </is>
      </c>
      <c r="D647" s="13" t="inlineStr">
        <is>
          <t>Anule a mágica alvo. Seu controlador coloca os quatro cards do topo do grimório dele no próprio cemitério.</t>
        </is>
      </c>
      <c r="E647" s="13" t="inlineStr">
        <is>
          <t>2UU</t>
        </is>
      </c>
      <c r="F647" s="13" t="inlineStr">
        <is>
          <t>Azul</t>
        </is>
      </c>
      <c r="G647" s="8" t="n">
        <v>0.03</v>
      </c>
      <c r="H647" s="13" t="inlineStr">
        <is>
          <t>Journey into Nyx</t>
        </is>
      </c>
      <c r="I647" s="13" t="inlineStr">
        <is>
          <t>Não</t>
        </is>
      </c>
      <c r="J647" s="13" t="n">
        <v>2014</v>
      </c>
      <c r="L647" s="13" t="n">
        <v>2</v>
      </c>
      <c r="M647" s="8">
        <f>L647*G647</f>
        <v/>
      </c>
      <c r="P647" s="9" t="n"/>
    </row>
    <row r="648">
      <c r="A648" s="13" t="inlineStr">
        <is>
          <t>Courier of Comestibles</t>
        </is>
      </c>
      <c r="B648" s="13" t="inlineStr">
        <is>
          <t>Creature — Human Citizen</t>
        </is>
      </c>
      <c r="C648" s="13" t="inlineStr">
        <is>
          <t>Rare / Rara</t>
        </is>
      </c>
      <c r="D648" s="13" t="inlineStr">
        <is>
          <t>When this creature enters, you may search your library for a Food card, reveal it, put it into your hand, then shuffle. If you don't put a card into your hand this way, create a Food token. (It's an artifact with "{2}, {T}, Sacrifice this token: You gain 3 life.")</t>
        </is>
      </c>
      <c r="E648" s="13" t="inlineStr">
        <is>
          <t>{1}{G}</t>
        </is>
      </c>
      <c r="F648" s="13" t="inlineStr">
        <is>
          <t>Verde</t>
        </is>
      </c>
      <c r="G648" s="8" t="n">
        <v>2</v>
      </c>
      <c r="H648" s="13" t="inlineStr">
        <is>
          <t xml:space="preserve">Teenage Mutant Ninja Turtles (Promos) </t>
        </is>
      </c>
      <c r="I648" s="13" t="inlineStr">
        <is>
          <t>Não</t>
        </is>
      </c>
      <c r="J648" s="13" t="n">
        <v>2026</v>
      </c>
      <c r="K648" s="10" t="n">
        <v>46054</v>
      </c>
      <c r="L648" s="13" t="n">
        <v>1</v>
      </c>
      <c r="M648" s="8">
        <f>L648*G648</f>
        <v/>
      </c>
      <c r="N648" s="13" t="inlineStr">
        <is>
          <t>Pasta</t>
        </is>
      </c>
      <c r="P648" s="9" t="n"/>
    </row>
    <row r="649">
      <c r="A649" s="13" t="inlineStr">
        <is>
          <t>Courier of Comestibles</t>
        </is>
      </c>
      <c r="B649" s="13" t="inlineStr">
        <is>
          <t>Creature — Human Citizen</t>
        </is>
      </c>
      <c r="C649" s="13" t="inlineStr">
        <is>
          <t>Uncommon / Incomum</t>
        </is>
      </c>
      <c r="D649" s="13" t="inlineStr">
        <is>
          <t>When this creature enters, you may search your library for a Food card, reveal it, put it into your hand, then shuffle. If you don't put a card into your hand this way, create a Food token. (It's an artifact with "{2}, {T}, Sacrifice this token: You gain 3 life.")</t>
        </is>
      </c>
      <c r="E649" s="13" t="inlineStr">
        <is>
          <t>{1}{G}</t>
        </is>
      </c>
      <c r="F649" s="13" t="inlineStr">
        <is>
          <t>Verde</t>
        </is>
      </c>
      <c r="G649" s="8" t="n">
        <v>0.13</v>
      </c>
      <c r="H649" s="13" t="inlineStr">
        <is>
          <t>Teenage Mutant Ninja Turtles (TMT)</t>
        </is>
      </c>
      <c r="I649" s="13" t="inlineStr">
        <is>
          <t>Não</t>
        </is>
      </c>
      <c r="J649" s="13" t="n">
        <v>2026</v>
      </c>
      <c r="K649" s="10" t="n">
        <v>46054</v>
      </c>
      <c r="L649" s="13" t="n">
        <v>3</v>
      </c>
      <c r="M649" s="8">
        <f>L649*G649</f>
        <v/>
      </c>
      <c r="P649" s="9" t="n"/>
    </row>
    <row r="650">
      <c r="A650" s="13" t="inlineStr">
        <is>
          <t>Court Hussar / Hussardo Real</t>
        </is>
      </c>
      <c r="B650" s="13" t="inlineStr">
        <is>
          <t>Creature — Vedalken Knight / Criatura — Cavaleiro Vedalkeano</t>
        </is>
      </c>
      <c r="C650" s="13" t="inlineStr">
        <is>
          <t>Common / Comum</t>
        </is>
      </c>
      <c r="D650" s="13"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650" s="13" t="inlineStr">
        <is>
          <t>{2}{U}</t>
        </is>
      </c>
      <c r="F650" s="13" t="inlineStr">
        <is>
          <t>Azul</t>
        </is>
      </c>
      <c r="G650" s="8" t="n">
        <v>0.24</v>
      </c>
      <c r="H650" s="13" t="inlineStr">
        <is>
          <t>Masters 25 (A25)</t>
        </is>
      </c>
      <c r="I650" s="13" t="inlineStr">
        <is>
          <t>Sim</t>
        </is>
      </c>
      <c r="J650" s="13" t="n">
        <v>2018</v>
      </c>
      <c r="K650" s="10" t="n">
        <v>46082</v>
      </c>
      <c r="L650" s="13" t="n">
        <v>1</v>
      </c>
      <c r="M650" s="8">
        <f>L650*G650</f>
        <v/>
      </c>
      <c r="P650" s="9" t="n"/>
    </row>
    <row r="651">
      <c r="A651" s="13" t="inlineStr">
        <is>
          <t>Coveiro / Gravedigger</t>
        </is>
      </c>
      <c r="B651" s="13" t="inlineStr">
        <is>
          <t>Criatura — Zumbi / Creature — Zombie</t>
        </is>
      </c>
      <c r="C651" s="13" t="inlineStr">
        <is>
          <t>Incomum / Uncommon</t>
        </is>
      </c>
      <c r="D651" s="13" t="inlineStr">
        <is>
          <t>Quando Coveiro entra no campo de batalha, você pode devolver o card de criatura alvo de seu cemitério para sua mão. / When Gravedigger enters the battlefield, you may return target creature card from your graveyard to your hand.</t>
        </is>
      </c>
      <c r="E651" s="13" t="inlineStr">
        <is>
          <t>{3}{B}</t>
        </is>
      </c>
      <c r="F651" s="13" t="inlineStr">
        <is>
          <t>Preto</t>
        </is>
      </c>
      <c r="G651" s="8" t="n">
        <v>0.08</v>
      </c>
      <c r="H651" s="13" t="inlineStr">
        <is>
          <t>Core Set 2015 (M15)</t>
        </is>
      </c>
      <c r="I651" s="13" t="inlineStr">
        <is>
          <t>Não</t>
        </is>
      </c>
      <c r="J651" s="13" t="n">
        <v>2014</v>
      </c>
      <c r="K651" s="10" t="n">
        <v>46055</v>
      </c>
      <c r="L651" s="13" t="n">
        <v>1</v>
      </c>
      <c r="M651" s="8">
        <f>L651*G651</f>
        <v/>
      </c>
      <c r="P651" s="9" t="n"/>
    </row>
    <row r="652">
      <c r="A652" s="13" t="inlineStr">
        <is>
          <t>Coveiro / Gravedigger</t>
        </is>
      </c>
      <c r="B652" s="13" t="inlineStr">
        <is>
          <t>Criatura — Zumbi / Creature — Zombie</t>
        </is>
      </c>
      <c r="C652" s="13" t="inlineStr">
        <is>
          <t>Incomum / Uncommon</t>
        </is>
      </c>
      <c r="D652" s="13" t="inlineStr">
        <is>
          <t>Quando Coveiro entra no campo de batalha, você pode devolver o card de criatura alvo de seu cemitério para sua mão. / When Gravedigger enters the battlefield, you may return target creature card from your graveyard to your hand.</t>
        </is>
      </c>
      <c r="E652" s="13" t="inlineStr">
        <is>
          <t>{3}{B}</t>
        </is>
      </c>
      <c r="F652" s="13" t="inlineStr">
        <is>
          <t>Preto</t>
        </is>
      </c>
      <c r="G652" s="8" t="n">
        <v>0.03</v>
      </c>
      <c r="H652" s="13" t="inlineStr">
        <is>
          <t>Core Set 2020 (M20)</t>
        </is>
      </c>
      <c r="I652" s="13" t="inlineStr">
        <is>
          <t>Não</t>
        </is>
      </c>
      <c r="J652" s="13" t="n">
        <v>2019</v>
      </c>
      <c r="K652" s="10" t="n">
        <v>46055</v>
      </c>
      <c r="L652" s="13" t="n">
        <v>4</v>
      </c>
      <c r="M652" s="8">
        <f>L652*G652</f>
        <v/>
      </c>
      <c r="P652" s="9" t="n"/>
    </row>
    <row r="653">
      <c r="A653" s="13" t="inlineStr">
        <is>
          <t>Coveted Peacock / Pavão Cobiçado</t>
        </is>
      </c>
      <c r="B653" s="13" t="inlineStr">
        <is>
          <t>Creature — Bird / Criatura — Ave</t>
        </is>
      </c>
      <c r="C653" s="13" t="inlineStr">
        <is>
          <t>Uncommon / Incomum</t>
        </is>
      </c>
      <c r="D653" s="13"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653" s="13" t="inlineStr">
        <is>
          <t>{3}{U}{U}</t>
        </is>
      </c>
      <c r="F653" s="13" t="inlineStr">
        <is>
          <t>Azul</t>
        </is>
      </c>
      <c r="G653" s="8" t="n">
        <v>0.23</v>
      </c>
      <c r="H653" s="13" t="inlineStr">
        <is>
          <t>Commander Masters (CMM)</t>
        </is>
      </c>
      <c r="I653" s="13" t="inlineStr">
        <is>
          <t>Não</t>
        </is>
      </c>
      <c r="J653" s="13" t="n">
        <v>2023</v>
      </c>
      <c r="K653" s="10" t="n">
        <v>46115</v>
      </c>
      <c r="L653" s="13" t="n">
        <v>1</v>
      </c>
      <c r="M653" s="8">
        <f>L653*G653</f>
        <v/>
      </c>
      <c r="P653" s="9" t="n"/>
    </row>
    <row r="654">
      <c r="A654" s="13" t="inlineStr">
        <is>
          <t>Cowabunga!</t>
        </is>
      </c>
      <c r="B654" s="13" t="inlineStr">
        <is>
          <t>Sorcery</t>
        </is>
      </c>
      <c r="C654" s="13" t="inlineStr">
        <is>
          <t>Common / Comum</t>
        </is>
      </c>
      <c r="D654" s="13" t="inlineStr">
        <is>
          <t>Look at the top four cards of your library. You may reveal a Mutant, Ninja, Turtle, or land card from among them and put it into your hand. Put the rest on the bottom of your library in a random order.</t>
        </is>
      </c>
      <c r="E654" s="13" t="inlineStr">
        <is>
          <t>{G}</t>
        </is>
      </c>
      <c r="F654" s="13" t="inlineStr">
        <is>
          <t>Verde</t>
        </is>
      </c>
      <c r="G654" s="8" t="n">
        <v>0.1</v>
      </c>
      <c r="H654" s="13" t="inlineStr">
        <is>
          <t>Teenage Mutant Ninja Turtles (TMT)</t>
        </is>
      </c>
      <c r="I654" s="13" t="inlineStr">
        <is>
          <t>Não</t>
        </is>
      </c>
      <c r="J654" s="13" t="n">
        <v>2026</v>
      </c>
      <c r="L654" s="13" t="n">
        <v>4</v>
      </c>
      <c r="M654" s="8">
        <f>L654*G654</f>
        <v/>
      </c>
      <c r="P654" s="9" t="n"/>
    </row>
    <row r="655">
      <c r="A655" s="13" t="inlineStr">
        <is>
          <t>Crackling Drake / Dragonete Fagulhante</t>
        </is>
      </c>
      <c r="B655" s="13" t="inlineStr">
        <is>
          <t>Creature — Drake / Criatura — Dragonete</t>
        </is>
      </c>
      <c r="C655" s="13" t="inlineStr">
        <is>
          <t>Uncommon / Incomum</t>
        </is>
      </c>
      <c r="D655" s="13"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655" s="13" t="inlineStr">
        <is>
          <t>{U}{U}{R}{R}</t>
        </is>
      </c>
      <c r="F655" s="13" t="inlineStr">
        <is>
          <t>Vermelho, Azul</t>
        </is>
      </c>
      <c r="G655" s="8" t="n">
        <v>0.14</v>
      </c>
      <c r="H655" s="13" t="inlineStr">
        <is>
          <t>Guilds of Ravnica (GRN)</t>
        </is>
      </c>
      <c r="I655" s="13" t="inlineStr">
        <is>
          <t>Não</t>
        </is>
      </c>
      <c r="J655" s="13" t="n">
        <v>2018</v>
      </c>
      <c r="K655" s="13" t="inlineStr">
        <is>
          <t>*/4</t>
        </is>
      </c>
      <c r="L655" s="13" t="n">
        <v>4</v>
      </c>
      <c r="M655" s="8">
        <f>L655*G655</f>
        <v/>
      </c>
      <c r="P655" s="9" t="n"/>
    </row>
    <row r="656">
      <c r="A656" s="13" t="inlineStr">
        <is>
          <t>Crackling Emergence / Emergência Crepitante</t>
        </is>
      </c>
      <c r="B656" s="13" t="inlineStr">
        <is>
          <t>Enchantment — Aura / Encantamento — Aura</t>
        </is>
      </c>
      <c r="C656" s="13" t="inlineStr">
        <is>
          <t>Common / Comum</t>
        </is>
      </c>
      <c r="D656" s="13"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656" s="13" t="inlineStr">
        <is>
          <t>{1}{R}</t>
        </is>
      </c>
      <c r="F656" s="13" t="inlineStr">
        <is>
          <t>Vermelho</t>
        </is>
      </c>
      <c r="G656" s="8" t="n">
        <v>0.06</v>
      </c>
      <c r="H656" s="13" t="inlineStr">
        <is>
          <t>Kamigawa: Neon Dynasty (NEO)</t>
        </is>
      </c>
      <c r="I656" s="13" t="inlineStr">
        <is>
          <t>Não</t>
        </is>
      </c>
      <c r="J656" s="13" t="n">
        <v>2022</v>
      </c>
      <c r="L656" s="13" t="n">
        <v>1</v>
      </c>
      <c r="M656" s="8">
        <f>L656*G656</f>
        <v/>
      </c>
      <c r="P656" s="9" t="n"/>
    </row>
    <row r="657">
      <c r="A657" s="13" t="inlineStr">
        <is>
          <t>Crackling Perimeter / Perímetro de Crepitação</t>
        </is>
      </c>
      <c r="B657" s="13" t="inlineStr">
        <is>
          <t>Enchantment / Encantamento</t>
        </is>
      </c>
      <c r="C657" s="13" t="inlineStr">
        <is>
          <t>Uncommon / Incomum</t>
        </is>
      </c>
      <c r="D657" s="13" t="inlineStr">
        <is>
          <t>Tap an untapped Gate you control: This enchantment deals 1 damage to each opponent. / Vire um Portão desvirado que você controla: Perímetro de Crepitação causa 1 ponto de dano a cada oponente.</t>
        </is>
      </c>
      <c r="E657" s="13" t="inlineStr">
        <is>
          <t>{1}{R}</t>
        </is>
      </c>
      <c r="F657" s="13" t="inlineStr">
        <is>
          <t>Vermelho</t>
        </is>
      </c>
      <c r="G657" s="8" t="n">
        <v>0.15</v>
      </c>
      <c r="H657" s="13" t="inlineStr">
        <is>
          <t>Gatecrash (GTC)</t>
        </is>
      </c>
      <c r="I657" s="13" t="inlineStr">
        <is>
          <t>Não</t>
        </is>
      </c>
      <c r="J657" s="13" t="n">
        <v>2013</v>
      </c>
      <c r="L657" s="13" t="n">
        <v>1</v>
      </c>
      <c r="M657" s="8">
        <f>L657*G657</f>
        <v/>
      </c>
      <c r="P657" s="9" t="n"/>
    </row>
    <row r="658">
      <c r="A658" s="13" t="inlineStr">
        <is>
          <t>Crash of Rhino Beetles / Manada de Besourocerontes</t>
        </is>
      </c>
      <c r="B658" s="13" t="inlineStr">
        <is>
          <t>Creature — Insect / Criatura — Inseto</t>
        </is>
      </c>
      <c r="C658" s="13" t="inlineStr">
        <is>
          <t>Common / Comum</t>
        </is>
      </c>
      <c r="D658" s="13" t="inlineStr">
        <is>
          <t>Trample This creature gets +10/+10 as long as you control ten or more lands. / Atropelar Manada de Besourocerontes receberá +10/+10 enquanto você controlar dez ou mais terrenos.</t>
        </is>
      </c>
      <c r="E658" s="13" t="inlineStr">
        <is>
          <t>{4}{G}</t>
        </is>
      </c>
      <c r="F658" s="13" t="inlineStr">
        <is>
          <t>Verde</t>
        </is>
      </c>
      <c r="G658" s="8" t="n">
        <v>0.48</v>
      </c>
      <c r="H658" s="13" t="inlineStr">
        <is>
          <t>Commander Masters (CMM)</t>
        </is>
      </c>
      <c r="I658" s="13" t="inlineStr">
        <is>
          <t>Não</t>
        </is>
      </c>
      <c r="J658" s="13" t="n">
        <v>2023</v>
      </c>
      <c r="K658" s="10" t="n">
        <v>46147</v>
      </c>
      <c r="L658" s="13" t="n">
        <v>1</v>
      </c>
      <c r="M658" s="8">
        <f>L658*G658</f>
        <v/>
      </c>
      <c r="P658" s="9" t="n"/>
    </row>
    <row r="659">
      <c r="A659" s="13" t="inlineStr">
        <is>
          <t>Crash Through / Irromper</t>
        </is>
      </c>
      <c r="B659" s="13" t="inlineStr">
        <is>
          <t>Sorcery / Feitiço</t>
        </is>
      </c>
      <c r="C659" s="13" t="inlineStr">
        <is>
          <t>Common / Comum</t>
        </is>
      </c>
      <c r="D659" s="13" t="inlineStr">
        <is>
          <t>Creatures you control gain trample until end of turn. Draw a card. / As criaturas que você controla ganham atropelar até o final do turno. Compre um card.</t>
        </is>
      </c>
      <c r="E659" s="13" t="inlineStr">
        <is>
          <t>{R}</t>
        </is>
      </c>
      <c r="F659" s="13" t="inlineStr">
        <is>
          <t>Vermelho</t>
        </is>
      </c>
      <c r="G659" s="8" t="n">
        <v>0.05</v>
      </c>
      <c r="H659" s="13" t="inlineStr">
        <is>
          <t>Hour of Devastation (HOU)</t>
        </is>
      </c>
      <c r="I659" s="13" t="inlineStr">
        <is>
          <t>Não</t>
        </is>
      </c>
      <c r="J659" s="13" t="n">
        <v>2017</v>
      </c>
      <c r="L659" s="13" t="n">
        <v>4</v>
      </c>
      <c r="M659" s="8">
        <f>L659*G659</f>
        <v/>
      </c>
      <c r="P659" s="9" t="n"/>
    </row>
    <row r="660">
      <c r="A660" s="13" t="inlineStr">
        <is>
          <t>Crashing Wave</t>
        </is>
      </c>
      <c r="B660" s="13" t="inlineStr">
        <is>
          <t>Sorcery</t>
        </is>
      </c>
      <c r="C660" s="13" t="inlineStr">
        <is>
          <t>Uncommon / Incomum</t>
        </is>
      </c>
      <c r="D660" s="13"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660" s="13" t="inlineStr">
        <is>
          <t>{U}{U}</t>
        </is>
      </c>
      <c r="F660" s="13" t="inlineStr">
        <is>
          <t>Azul</t>
        </is>
      </c>
      <c r="G660" s="8" t="n">
        <v>0.2</v>
      </c>
      <c r="H660" s="13" t="inlineStr">
        <is>
          <t>Avatar: The Last Airbender (TLA)</t>
        </is>
      </c>
      <c r="I660" s="13" t="inlineStr">
        <is>
          <t>Não</t>
        </is>
      </c>
      <c r="J660" s="13" t="n">
        <v>2025</v>
      </c>
      <c r="L660" s="13" t="n">
        <v>1</v>
      </c>
      <c r="M660" s="8">
        <f>L660*G660</f>
        <v/>
      </c>
      <c r="P660" s="9" t="n"/>
    </row>
    <row r="661">
      <c r="A661" s="13" t="inlineStr">
        <is>
          <t>Craterize / Craterizar</t>
        </is>
      </c>
      <c r="B661" s="13" t="inlineStr">
        <is>
          <t>Sorcery / Feitiço</t>
        </is>
      </c>
      <c r="C661" s="13" t="inlineStr">
        <is>
          <t>Common / Comum</t>
        </is>
      </c>
      <c r="D661" s="13" t="inlineStr">
        <is>
          <t>Destroy target land. / Destrua o terreno alvo.</t>
        </is>
      </c>
      <c r="E661" s="13" t="inlineStr">
        <is>
          <t>{3}{R}</t>
        </is>
      </c>
      <c r="F661" s="13" t="inlineStr">
        <is>
          <t>Vermelho</t>
        </is>
      </c>
      <c r="G661" s="8" t="n">
        <v>0.05</v>
      </c>
      <c r="H661" s="13" t="inlineStr">
        <is>
          <t>Magic 2013 (M13)</t>
        </is>
      </c>
      <c r="I661" s="13" t="inlineStr">
        <is>
          <t>Não</t>
        </is>
      </c>
      <c r="J661" s="13" t="n">
        <v>2012</v>
      </c>
      <c r="L661" s="13" t="n">
        <v>1</v>
      </c>
      <c r="M661" s="8">
        <f>L661*G661</f>
        <v/>
      </c>
      <c r="P661" s="9" t="n"/>
    </row>
    <row r="662">
      <c r="A662" s="13" t="inlineStr">
        <is>
          <t>Cravar na Terra</t>
        </is>
      </c>
      <c r="B662" s="13" t="inlineStr">
        <is>
          <t>Encantamento — Aura</t>
        </is>
      </c>
      <c r="C662" s="13" t="inlineStr">
        <is>
          <t>Comum</t>
        </is>
      </c>
      <c r="D662" s="13" t="inlineStr">
        <is>
          <t>Encantar criatura A criatura encantada recebe -6/-0.</t>
        </is>
      </c>
      <c r="E662" s="13" t="inlineStr">
        <is>
          <t>1U</t>
        </is>
      </c>
      <c r="F662" s="13" t="inlineStr">
        <is>
          <t>Azul</t>
        </is>
      </c>
      <c r="G662" s="8" t="n">
        <v>0.03</v>
      </c>
      <c r="H662" s="13" t="inlineStr">
        <is>
          <t>Journey into Nyx</t>
        </is>
      </c>
      <c r="I662" s="13" t="inlineStr">
        <is>
          <t>Não</t>
        </is>
      </c>
      <c r="J662" s="13" t="n">
        <v>2014</v>
      </c>
      <c r="L662" s="13" t="n">
        <v>3</v>
      </c>
      <c r="M662" s="8">
        <f>L662*G662</f>
        <v/>
      </c>
      <c r="P662" s="9" t="n"/>
    </row>
    <row r="663">
      <c r="A663" s="13" t="inlineStr">
        <is>
          <t>Cravar na Terra</t>
        </is>
      </c>
      <c r="B663" s="13" t="inlineStr">
        <is>
          <t>Encantamento — Aura</t>
        </is>
      </c>
      <c r="C663" s="13" t="inlineStr">
        <is>
          <t>Comum</t>
        </is>
      </c>
      <c r="D663" s="13" t="inlineStr">
        <is>
          <t>Encantar criatura A criatura encantada recebe -6/-0.</t>
        </is>
      </c>
      <c r="E663" s="13" t="inlineStr">
        <is>
          <t>1U</t>
        </is>
      </c>
      <c r="F663" s="13" t="inlineStr">
        <is>
          <t>Azul</t>
        </is>
      </c>
      <c r="G663" s="8" t="n">
        <v>0.26</v>
      </c>
      <c r="H663" s="13" t="inlineStr">
        <is>
          <t>Journey into Nyx</t>
        </is>
      </c>
      <c r="I663" s="13" t="inlineStr">
        <is>
          <t>Não</t>
        </is>
      </c>
      <c r="J663" s="13" t="n">
        <v>2014</v>
      </c>
      <c r="L663" s="13" t="n">
        <v>1</v>
      </c>
      <c r="M663" s="8">
        <f>L663*G663</f>
        <v/>
      </c>
      <c r="P663" s="9" t="n"/>
    </row>
    <row r="664">
      <c r="A664" s="13" t="inlineStr">
        <is>
          <t>Crazed Goblin / Goblin Enlouquecido</t>
        </is>
      </c>
      <c r="B664" s="13" t="inlineStr">
        <is>
          <t>Creature — Goblin Warrior / Criatura — Guerreiro Goblin</t>
        </is>
      </c>
      <c r="C664" s="13" t="inlineStr">
        <is>
          <t>Common / Comum</t>
        </is>
      </c>
      <c r="D664" s="13" t="inlineStr">
        <is>
          <t>This creature attacks each combat if able. / Goblin Enlouquecido ataca a cada turno se estiver apto.</t>
        </is>
      </c>
      <c r="E664" s="13" t="inlineStr">
        <is>
          <t>{R}</t>
        </is>
      </c>
      <c r="F664" s="13" t="inlineStr">
        <is>
          <t>Vermelho</t>
        </is>
      </c>
      <c r="G664" s="8" t="n">
        <v>0.08</v>
      </c>
      <c r="H664" s="13" t="inlineStr">
        <is>
          <t>Darksteel (DST)</t>
        </is>
      </c>
      <c r="I664" s="13" t="inlineStr">
        <is>
          <t>Não</t>
        </is>
      </c>
      <c r="J664" s="13" t="n">
        <v>2004</v>
      </c>
      <c r="K664" s="10" t="n">
        <v>46023</v>
      </c>
      <c r="L664" s="13" t="n">
        <v>1</v>
      </c>
      <c r="M664" s="8">
        <f>L664*G664</f>
        <v/>
      </c>
      <c r="P664" s="9" t="n"/>
    </row>
    <row r="665">
      <c r="A665" s="13" t="inlineStr">
        <is>
          <t>Crebain da Terra Parda / Dunland Crebain</t>
        </is>
      </c>
      <c r="B665" s="13" t="inlineStr">
        <is>
          <t>Criatura — Ave Horror</t>
        </is>
      </c>
      <c r="C665" s="13" t="inlineStr">
        <is>
          <t>Comum</t>
        </is>
      </c>
      <c r="D665" s="13" t="inlineStr">
        <is>
          <t>Voar. Quando Crebain da Terra Parda entrar no campo de batalha, arregimente Orcs 2.</t>
        </is>
      </c>
      <c r="E665" s="13" t="inlineStr">
        <is>
          <t>2{B}</t>
        </is>
      </c>
      <c r="F665" s="13" t="inlineStr">
        <is>
          <t>Preto</t>
        </is>
      </c>
      <c r="G665" s="8" t="n">
        <v>0.18</v>
      </c>
      <c r="H665" s="13" t="inlineStr">
        <is>
          <t>The Lord of the Rings: Tales of Middle-earth (LTR)</t>
        </is>
      </c>
      <c r="I665" s="13" t="inlineStr">
        <is>
          <t>Não</t>
        </is>
      </c>
      <c r="J665" s="13" t="n">
        <v>2023</v>
      </c>
      <c r="K665" s="10" t="n">
        <v>46023</v>
      </c>
      <c r="L665" s="13" t="n">
        <v>2</v>
      </c>
      <c r="M665" s="8">
        <f>L665*G665</f>
        <v/>
      </c>
      <c r="P665" s="9" t="n"/>
    </row>
    <row r="666">
      <c r="A666" s="13" t="inlineStr">
        <is>
          <t>Creeping Peeper</t>
        </is>
      </c>
      <c r="B666" s="13" t="inlineStr">
        <is>
          <t>Creature — Eye</t>
        </is>
      </c>
      <c r="C666" s="13" t="inlineStr">
        <is>
          <t>Common / Comum</t>
        </is>
      </c>
      <c r="D666" s="13" t="inlineStr">
        <is>
          <t>{T}: Add {U}. Spend this mana only to cast an enchantment spell, unlock a door, or turn a permanent face up.</t>
        </is>
      </c>
      <c r="E666" s="13" t="inlineStr">
        <is>
          <t>{1}{U}</t>
        </is>
      </c>
      <c r="F666" s="13" t="inlineStr">
        <is>
          <t>Azul</t>
        </is>
      </c>
      <c r="G666" s="8" t="n">
        <v>0.03</v>
      </c>
      <c r="H666" s="13" t="inlineStr">
        <is>
          <t>Duskmourn: House of Horror (DSK)</t>
        </is>
      </c>
      <c r="I666" s="13" t="inlineStr">
        <is>
          <t>Não</t>
        </is>
      </c>
      <c r="J666" s="13" t="n">
        <v>2024</v>
      </c>
      <c r="K666" s="10" t="n">
        <v>46024</v>
      </c>
      <c r="L666" s="13" t="n">
        <v>1</v>
      </c>
      <c r="M666" s="8">
        <f>L666*G666</f>
        <v/>
      </c>
      <c r="P666" s="9" t="n"/>
    </row>
    <row r="667">
      <c r="A667" s="13" t="inlineStr">
        <is>
          <t>Creepy Puppeteer / Titereira Sinistra</t>
        </is>
      </c>
      <c r="B667" s="13" t="inlineStr">
        <is>
          <t>Creature — Human Rogue / Criatura — Humano Ladino</t>
        </is>
      </c>
      <c r="C667" s="13" t="inlineStr">
        <is>
          <t>Rare / Rara</t>
        </is>
      </c>
      <c r="D667" s="13"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667" s="13" t="inlineStr">
        <is>
          <t>{3}{R}</t>
        </is>
      </c>
      <c r="F667" s="13" t="inlineStr">
        <is>
          <t>Vermelho</t>
        </is>
      </c>
      <c r="G667" s="8" t="n">
        <v>0.21</v>
      </c>
      <c r="H667" s="13" t="inlineStr">
        <is>
          <t>Innistrad: Crimson Vow (VOW)</t>
        </is>
      </c>
      <c r="I667" s="13" t="inlineStr">
        <is>
          <t>Não</t>
        </is>
      </c>
      <c r="J667" s="13" t="n">
        <v>2021</v>
      </c>
      <c r="K667" s="10" t="n">
        <v>46085</v>
      </c>
      <c r="L667" s="13" t="n">
        <v>1</v>
      </c>
      <c r="M667" s="8">
        <f>L667*G667</f>
        <v/>
      </c>
      <c r="P667" s="9" t="n"/>
    </row>
    <row r="668">
      <c r="A668" s="13" t="inlineStr">
        <is>
          <t>Crib Swap / Troca de Berço</t>
        </is>
      </c>
      <c r="B668" s="13" t="inlineStr">
        <is>
          <t>Kindred Instant — Shapeshifter / Mágica Instantânea Tribal — Metamorfo</t>
        </is>
      </c>
      <c r="C668" s="13" t="inlineStr">
        <is>
          <t>Uncommon / Incomum</t>
        </is>
      </c>
      <c r="D668" s="13"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668" s="13" t="inlineStr">
        <is>
          <t>{2}{W}</t>
        </is>
      </c>
      <c r="F668" s="13" t="inlineStr">
        <is>
          <t>Branco</t>
        </is>
      </c>
      <c r="G668" s="8" t="n">
        <v>0.15</v>
      </c>
      <c r="H668" s="13" t="inlineStr">
        <is>
          <t>Lorwyn Eclipsed (ECL)</t>
        </is>
      </c>
      <c r="I668" s="13" t="inlineStr">
        <is>
          <t>Não</t>
        </is>
      </c>
      <c r="J668" s="13" t="n">
        <v>2026</v>
      </c>
      <c r="L668" s="13" t="n">
        <v>1</v>
      </c>
      <c r="M668" s="8">
        <f>L668*G668</f>
        <v/>
      </c>
      <c r="P668" s="9" t="n"/>
    </row>
    <row r="669">
      <c r="A669" s="13" t="inlineStr">
        <is>
          <t>Crimson Acolyte</t>
        </is>
      </c>
      <c r="B669" s="13" t="inlineStr">
        <is>
          <t>Creature — Cleric</t>
        </is>
      </c>
      <c r="C669" s="13" t="inlineStr">
        <is>
          <t>Common</t>
        </is>
      </c>
      <c r="D669" s="13" t="inlineStr">
        <is>
          <t>Protection from red. {W}: Target creature gains protection from red until end of turn.</t>
        </is>
      </c>
      <c r="E669" s="13" t="inlineStr">
        <is>
          <t>{1}{W}</t>
        </is>
      </c>
      <c r="F669" s="13" t="inlineStr">
        <is>
          <t>White</t>
        </is>
      </c>
      <c r="G669" s="8" t="n">
        <v>4.79</v>
      </c>
      <c r="H669" s="13" t="inlineStr">
        <is>
          <t>Invasion (INV)</t>
        </is>
      </c>
      <c r="I669" s="13" t="inlineStr">
        <is>
          <t>No</t>
        </is>
      </c>
      <c r="J669" s="13" t="n">
        <v>2000</v>
      </c>
      <c r="K669" s="10" t="n">
        <v>46023</v>
      </c>
      <c r="L669" s="13" t="n">
        <v>1</v>
      </c>
      <c r="M669" s="8">
        <f>L669*G669</f>
        <v/>
      </c>
      <c r="P669" s="9" t="n"/>
    </row>
    <row r="670">
      <c r="A670" s="13" t="inlineStr">
        <is>
          <t>Crimson Fleet Commodore / Comodoro da Frota Carmesim</t>
        </is>
      </c>
      <c r="B670" s="13" t="inlineStr">
        <is>
          <t>Creature — Ogre Pirate / Criatura — Ogro Pirata</t>
        </is>
      </c>
      <c r="C670" s="13" t="inlineStr">
        <is>
          <t>Common / Comum</t>
        </is>
      </c>
      <c r="D670" s="13" t="inlineStr">
        <is>
          <t>Trample When this creature enters, you become the monarch. / Atropelar Quando Comodoro da Frota Carmesim entra no campo de batalha, você se torna o monarca.</t>
        </is>
      </c>
      <c r="E670" s="13" t="inlineStr">
        <is>
          <t>{3}{R}</t>
        </is>
      </c>
      <c r="F670" s="13" t="inlineStr">
        <is>
          <t>Vermelho</t>
        </is>
      </c>
      <c r="G670" s="8" t="n">
        <v>0.49</v>
      </c>
      <c r="H670" s="13" t="inlineStr">
        <is>
          <t>Commander Legends (CMR)</t>
        </is>
      </c>
      <c r="I670" s="13" t="inlineStr">
        <is>
          <t>Não</t>
        </is>
      </c>
      <c r="J670" s="13" t="n">
        <v>2020</v>
      </c>
      <c r="K670" s="10" t="n">
        <v>46058</v>
      </c>
      <c r="L670" s="13" t="n">
        <v>4</v>
      </c>
      <c r="M670" s="8">
        <f>L670*G670</f>
        <v/>
      </c>
      <c r="P670" s="9" t="n"/>
    </row>
    <row r="671">
      <c r="A671" s="13" t="inlineStr">
        <is>
          <t>Crimson Hellkite / Dragão Avérneo Escarlate</t>
        </is>
      </c>
      <c r="B671" s="13" t="inlineStr">
        <is>
          <t>Creature — Dragon</t>
        </is>
      </c>
      <c r="C671" s="13" t="inlineStr">
        <is>
          <t>Rare / Rara</t>
        </is>
      </c>
      <c r="D671" s="13" t="inlineStr">
        <is>
          <t>Flying {X}, {T}: This creature deals X damage to target creature. Spend only red mana on X.</t>
        </is>
      </c>
      <c r="E671" s="13" t="inlineStr">
        <is>
          <t>{6}{R}{R}{R}</t>
        </is>
      </c>
      <c r="F671" s="13" t="inlineStr">
        <is>
          <t>Vermelho</t>
        </is>
      </c>
      <c r="G671" s="8" t="n">
        <v>1.72</v>
      </c>
      <c r="H671" s="13" t="inlineStr">
        <is>
          <t>Mirage (MIR)</t>
        </is>
      </c>
      <c r="I671" s="13" t="inlineStr">
        <is>
          <t>Não</t>
        </is>
      </c>
      <c r="J671" s="13" t="n">
        <v>1996</v>
      </c>
      <c r="K671" s="10" t="n">
        <v>46179</v>
      </c>
      <c r="L671" s="13" t="n">
        <v>1</v>
      </c>
      <c r="M671" s="8">
        <f>L671*G671</f>
        <v/>
      </c>
      <c r="P671" s="9" t="n"/>
    </row>
    <row r="672">
      <c r="A672" s="13" t="inlineStr">
        <is>
          <t>Crimson Manticore / Mantícora Escarlate</t>
        </is>
      </c>
      <c r="B672" s="13" t="inlineStr">
        <is>
          <t>Creature — Manticore</t>
        </is>
      </c>
      <c r="C672" s="13" t="inlineStr">
        <is>
          <t>Rare / Rara</t>
        </is>
      </c>
      <c r="D672" s="13" t="inlineStr">
        <is>
          <t>Flying {R}, {T}: This creature deals 1 damage to target attacking or blocking creature.</t>
        </is>
      </c>
      <c r="E672" s="13" t="inlineStr">
        <is>
          <t>{2}{R}{R}</t>
        </is>
      </c>
      <c r="F672" s="13" t="inlineStr">
        <is>
          <t>Vermelho</t>
        </is>
      </c>
      <c r="G672" s="8" t="n">
        <v>0.18</v>
      </c>
      <c r="H672" s="13" t="inlineStr">
        <is>
          <t>Fourth Edition</t>
        </is>
      </c>
      <c r="I672" s="13" t="inlineStr">
        <is>
          <t>Não</t>
        </is>
      </c>
      <c r="J672" s="13" t="n">
        <v>1995</v>
      </c>
      <c r="K672" s="10" t="n">
        <v>46055</v>
      </c>
      <c r="L672" s="13" t="n">
        <v>1</v>
      </c>
      <c r="M672" s="8">
        <f>L672*G672</f>
        <v/>
      </c>
      <c r="P672" s="9" t="n"/>
    </row>
    <row r="673">
      <c r="A673" s="13" t="inlineStr">
        <is>
          <t>Crimson Operative / Operativo Carmesim</t>
        </is>
      </c>
      <c r="B673" s="13" t="inlineStr">
        <is>
          <t>Criatura Artefato — Humano Vilão</t>
        </is>
      </c>
      <c r="C673" s="13" t="inlineStr">
        <is>
          <t>Comum</t>
        </is>
      </c>
      <c r="D673" s="13"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673" s="13" t="inlineStr">
        <is>
          <t>3{R}</t>
        </is>
      </c>
      <c r="F673" s="13" t="inlineStr">
        <is>
          <t>Vermelho</t>
        </is>
      </c>
      <c r="G673" s="8" t="n">
        <v>0.13</v>
      </c>
      <c r="H673" s="13" t="inlineStr">
        <is>
          <t>Marvel</t>
        </is>
      </c>
      <c r="I673" s="13" t="inlineStr">
        <is>
          <t>Não</t>
        </is>
      </c>
      <c r="J673" s="13" t="n">
        <v>2026</v>
      </c>
      <c r="K673" s="10" t="n">
        <v>46056</v>
      </c>
      <c r="L673" s="13" t="n">
        <v>1</v>
      </c>
      <c r="M673" s="8">
        <f>L673*G673</f>
        <v/>
      </c>
      <c r="P673" s="9" t="n"/>
    </row>
    <row r="674">
      <c r="A674" s="13" t="inlineStr">
        <is>
          <t>Crossbow Infantry / Infantaria de Besteiros</t>
        </is>
      </c>
      <c r="B674" s="13" t="inlineStr">
        <is>
          <t>Creature — Soldier / Criatura — Soldado</t>
        </is>
      </c>
      <c r="C674" s="13" t="inlineStr">
        <is>
          <t>Common / Comum</t>
        </is>
      </c>
      <c r="D674" s="13" t="inlineStr">
        <is>
          <t>{T}: Crossbow Infantry deals 1 damage to target attacking or blocking creature. / {T}: Infantaria de Besteiros causa 1 ponto de dano à criatura atacante ou bloqueadora alvo.</t>
        </is>
      </c>
      <c r="E674" s="13" t="inlineStr">
        <is>
          <t>{1}{W}</t>
        </is>
      </c>
      <c r="F674" s="13" t="inlineStr">
        <is>
          <t>Branco</t>
        </is>
      </c>
      <c r="G674" s="8" t="n">
        <v>0.05</v>
      </c>
      <c r="H674" s="13" t="inlineStr">
        <is>
          <t>Mercadian Masques (MMQ)</t>
        </is>
      </c>
      <c r="I674" s="13" t="inlineStr">
        <is>
          <t>No</t>
        </is>
      </c>
      <c r="J674" s="13" t="n">
        <v>1999</v>
      </c>
      <c r="K674" s="10" t="n">
        <v>46023</v>
      </c>
      <c r="L674" s="13" t="n">
        <v>1</v>
      </c>
      <c r="M674" s="8">
        <f>L674*G674</f>
        <v/>
      </c>
      <c r="P674" s="9" t="n"/>
    </row>
    <row r="675">
      <c r="A675" s="13" t="inlineStr">
        <is>
          <t>Crossroads Village / Vilarejo da Encruzilhada</t>
        </is>
      </c>
      <c r="B675" s="13" t="inlineStr">
        <is>
          <t>Terreno — Vila</t>
        </is>
      </c>
      <c r="C675" s="13" t="inlineStr">
        <is>
          <t>Comum</t>
        </is>
      </c>
      <c r="D675" s="13" t="inlineStr">
        <is>
          <t>Este terreno entra virado. Conforme entra, escolha uma cor. {T}: Adicione um mana da cor escolhida.</t>
        </is>
      </c>
      <c r="E675" s="13" t="inlineStr">
        <is>
          <t>Não encontrado</t>
        </is>
      </c>
      <c r="F675" s="13" t="inlineStr">
        <is>
          <t>Incolor</t>
        </is>
      </c>
      <c r="G675" s="8" t="n">
        <v>0.14</v>
      </c>
      <c r="H675" s="13" t="inlineStr">
        <is>
          <t>Final Fantasy</t>
        </is>
      </c>
      <c r="I675" s="13" t="inlineStr">
        <is>
          <t>Não</t>
        </is>
      </c>
      <c r="J675" s="13" t="n">
        <v>2025</v>
      </c>
      <c r="L675" s="13" t="n">
        <v>7</v>
      </c>
      <c r="M675" s="8">
        <f>L675*G675</f>
        <v/>
      </c>
      <c r="P675" s="9" t="n"/>
    </row>
    <row r="676">
      <c r="A676" s="13" t="inlineStr">
        <is>
          <t>Crow of Dark Tidings / Corvo das Notícias Sombrias</t>
        </is>
      </c>
      <c r="B676" s="13" t="inlineStr">
        <is>
          <t>Creature — Zombie Bird / Criatura — Zumbi Ave</t>
        </is>
      </c>
      <c r="C676" s="13" t="inlineStr">
        <is>
          <t>Common / Comum</t>
        </is>
      </c>
      <c r="D676" s="13"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676" s="13" t="inlineStr">
        <is>
          <t>{2}{B}</t>
        </is>
      </c>
      <c r="F676" s="13" t="inlineStr">
        <is>
          <t>Preto</t>
        </is>
      </c>
      <c r="G676" s="8" t="n">
        <v>0.05</v>
      </c>
      <c r="H676" s="13" t="inlineStr">
        <is>
          <t>Commander Legends (CMR)</t>
        </is>
      </c>
      <c r="I676" s="13" t="inlineStr">
        <is>
          <t>Não</t>
        </is>
      </c>
      <c r="J676" s="13" t="n">
        <v>2020</v>
      </c>
      <c r="K676" s="10" t="n">
        <v>46024</v>
      </c>
      <c r="L676" s="13" t="n">
        <v>1</v>
      </c>
      <c r="M676" s="8">
        <f>L676*G676</f>
        <v/>
      </c>
      <c r="P676" s="9" t="n"/>
    </row>
    <row r="677">
      <c r="A677" s="13" t="inlineStr">
        <is>
          <t>Crowd of True Believers / Multidão de Espectadores Féis</t>
        </is>
      </c>
      <c r="B677" s="13" t="inlineStr">
        <is>
          <t>Criatura — Humano Cidadão</t>
        </is>
      </c>
      <c r="C677" s="13" t="inlineStr">
        <is>
          <t>Comum</t>
        </is>
      </c>
      <c r="D677" s="13" t="inlineStr">
        <is>
          <t>{T}: A criatura alvo que você controla que estiver atacando sozinha recebe +1/+0 até o final do turno. Você ganha 1 de vida.</t>
        </is>
      </c>
      <c r="E677" s="13" t="inlineStr">
        <is>
          <t>{W}</t>
        </is>
      </c>
      <c r="F677" s="13" t="inlineStr">
        <is>
          <t>Branco</t>
        </is>
      </c>
      <c r="G677" s="8" t="n">
        <v>0.13</v>
      </c>
      <c r="H677" s="13" t="inlineStr">
        <is>
          <t>Marvel</t>
        </is>
      </c>
      <c r="I677" s="13" t="inlineStr">
        <is>
          <t>Não</t>
        </is>
      </c>
      <c r="J677" s="13" t="n">
        <v>2026</v>
      </c>
      <c r="K677" s="10" t="n">
        <v>46054</v>
      </c>
      <c r="L677" s="13" t="n">
        <v>2</v>
      </c>
      <c r="M677" s="8">
        <f>L677*G677</f>
        <v/>
      </c>
      <c r="P677" s="9" t="n"/>
    </row>
    <row r="678">
      <c r="A678" s="13" t="inlineStr">
        <is>
          <t>Crucible of the Spirit Dragon / Crisol do Dragão Espírito</t>
        </is>
      </c>
      <c r="B678" s="13" t="inlineStr">
        <is>
          <t>Land / Terreno</t>
        </is>
      </c>
      <c r="C678" s="13" t="inlineStr">
        <is>
          <t>Rare / Rara</t>
        </is>
      </c>
      <c r="D678" s="13"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678" s="13" t="inlineStr">
        <is>
          <t>Incolor</t>
        </is>
      </c>
      <c r="G678" s="8" t="n">
        <v>0.23</v>
      </c>
      <c r="H678" s="13" t="inlineStr">
        <is>
          <t>Fate Reforged (FRF)</t>
        </is>
      </c>
      <c r="I678" s="13" t="inlineStr">
        <is>
          <t>Não</t>
        </is>
      </c>
      <c r="J678" s="13" t="n">
        <v>2015</v>
      </c>
      <c r="L678" s="13" t="n">
        <v>1</v>
      </c>
      <c r="M678" s="8">
        <f>L678*G678</f>
        <v/>
      </c>
      <c r="P678" s="9" t="n"/>
    </row>
    <row r="679">
      <c r="A679" s="13" t="inlineStr">
        <is>
          <t>Cruel Alliance / Aliança Cruel</t>
        </is>
      </c>
      <c r="B679" s="13" t="inlineStr">
        <is>
          <t>Feitiço</t>
        </is>
      </c>
      <c r="C679" s="13" t="inlineStr">
        <is>
          <t>Comum</t>
        </is>
      </c>
      <c r="D679" s="13"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679" s="13" t="inlineStr">
        <is>
          <t>2{B}</t>
        </is>
      </c>
      <c r="F679" s="13" t="inlineStr">
        <is>
          <t>Preto</t>
        </is>
      </c>
      <c r="G679" s="8" t="n">
        <v>0.13</v>
      </c>
      <c r="H679" s="13" t="inlineStr">
        <is>
          <t>Marvel</t>
        </is>
      </c>
      <c r="I679" s="13" t="inlineStr">
        <is>
          <t>Não</t>
        </is>
      </c>
      <c r="J679" s="13" t="n">
        <v>2026</v>
      </c>
      <c r="L679" s="13" t="n">
        <v>1</v>
      </c>
      <c r="M679" s="8">
        <f>L679*G679</f>
        <v/>
      </c>
      <c r="P679" s="9" t="n"/>
    </row>
    <row r="680">
      <c r="A680" s="13" t="inlineStr">
        <is>
          <t>Cruel Deceiver / Impostor Cruel</t>
        </is>
      </c>
      <c r="B680" s="13" t="inlineStr">
        <is>
          <t>Creature — Spirit / Criatura - Espírito</t>
        </is>
      </c>
      <c r="C680" s="13" t="inlineStr">
        <is>
          <t>Common / Comum</t>
        </is>
      </c>
      <c r="D680" s="13"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680" s="13" t="inlineStr">
        <is>
          <t>{1}{B}</t>
        </is>
      </c>
      <c r="F680" s="13" t="inlineStr">
        <is>
          <t>Preto</t>
        </is>
      </c>
      <c r="G680" s="8" t="n">
        <v>0.07000000000000001</v>
      </c>
      <c r="H680" s="13" t="inlineStr">
        <is>
          <t>Champions of Kamigawa (CHK)</t>
        </is>
      </c>
      <c r="I680" s="13" t="inlineStr">
        <is>
          <t>Não</t>
        </is>
      </c>
      <c r="J680" s="13" t="n">
        <v>2004</v>
      </c>
      <c r="K680" s="10" t="n">
        <v>46024</v>
      </c>
      <c r="L680" s="13" t="n">
        <v>1</v>
      </c>
      <c r="M680" s="8">
        <f>L680*G680</f>
        <v/>
      </c>
      <c r="P680" s="9" t="n"/>
    </row>
    <row r="681">
      <c r="A681" s="13" t="inlineStr">
        <is>
          <t>Cruel Feeding / Alimentação Cruel</t>
        </is>
      </c>
      <c r="B681" s="13" t="inlineStr">
        <is>
          <t>Instant / Mágica Instantânea</t>
        </is>
      </c>
      <c r="C681" s="13" t="inlineStr">
        <is>
          <t>Common / Comum</t>
        </is>
      </c>
      <c r="D681" s="13"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681" s="13" t="inlineStr">
        <is>
          <t>{B}</t>
        </is>
      </c>
      <c r="F681" s="13" t="inlineStr">
        <is>
          <t>Preto</t>
        </is>
      </c>
      <c r="G681" s="8" t="n">
        <v>0.03</v>
      </c>
      <c r="H681" s="13" t="inlineStr">
        <is>
          <t>Journey into Nyx (JOU)</t>
        </is>
      </c>
      <c r="I681" s="13" t="inlineStr">
        <is>
          <t>Não</t>
        </is>
      </c>
      <c r="J681" s="13" t="n">
        <v>2014</v>
      </c>
      <c r="L681" s="13" t="n">
        <v>6</v>
      </c>
      <c r="M681" s="8">
        <f>L681*G681</f>
        <v/>
      </c>
      <c r="P681" s="9" t="n"/>
    </row>
    <row r="682">
      <c r="A682" s="13" t="inlineStr">
        <is>
          <t>Cruel Grimnarch / Sombrarca Cruel</t>
        </is>
      </c>
      <c r="B682" s="13" t="inlineStr">
        <is>
          <t>Creature — Phyrexian Cleric / Criatura — Phyrexiano Clérigo</t>
        </is>
      </c>
      <c r="C682" s="13" t="inlineStr">
        <is>
          <t>Common / Comum</t>
        </is>
      </c>
      <c r="D682" s="13"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682" s="13" t="inlineStr">
        <is>
          <t>{5}{B}</t>
        </is>
      </c>
      <c r="F682" s="13" t="inlineStr">
        <is>
          <t>Preto</t>
        </is>
      </c>
      <c r="G682" s="8" t="n">
        <v>0.06</v>
      </c>
      <c r="H682" s="13" t="inlineStr">
        <is>
          <t>Phyrexia: All Will Be One (ONE)</t>
        </is>
      </c>
      <c r="I682" s="13" t="inlineStr">
        <is>
          <t>Não</t>
        </is>
      </c>
      <c r="J682" s="13" t="n">
        <v>2023</v>
      </c>
      <c r="K682" s="10" t="n">
        <v>46147</v>
      </c>
      <c r="L682" s="13" t="n">
        <v>1</v>
      </c>
      <c r="M682" s="8">
        <f>L682*G682</f>
        <v/>
      </c>
      <c r="P682" s="9" t="n"/>
    </row>
    <row r="683">
      <c r="A683" s="13" t="inlineStr">
        <is>
          <t>Cruel Sadist / Sádico Cruel</t>
        </is>
      </c>
      <c r="B683" s="13" t="inlineStr">
        <is>
          <t>Creature — Human Assassin / Criatura — Humano Assassino</t>
        </is>
      </c>
      <c r="C683" s="13" t="inlineStr">
        <is>
          <t>Rare / Rara</t>
        </is>
      </c>
      <c r="D683" s="13"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683" s="13" t="inlineStr">
        <is>
          <t>{B}</t>
        </is>
      </c>
      <c r="F683" s="13" t="inlineStr">
        <is>
          <t>Preto</t>
        </is>
      </c>
      <c r="G683" s="8" t="n">
        <v>0.3</v>
      </c>
      <c r="H683" s="13" t="inlineStr">
        <is>
          <t>Magic 2015 (M15)</t>
        </is>
      </c>
      <c r="I683" s="13" t="inlineStr">
        <is>
          <t>Não</t>
        </is>
      </c>
      <c r="J683" s="13" t="n">
        <v>2014</v>
      </c>
      <c r="K683" s="10" t="n">
        <v>46023</v>
      </c>
      <c r="L683" s="13" t="n">
        <v>1</v>
      </c>
      <c r="M683" s="8">
        <f>L683*G683</f>
        <v/>
      </c>
      <c r="P683" s="9" t="n"/>
    </row>
    <row r="684">
      <c r="A684" s="13" t="inlineStr">
        <is>
          <t>Crustacean Commando</t>
        </is>
      </c>
      <c r="B684" s="13" t="inlineStr">
        <is>
          <t>Creature — Crab Mutant Soldier</t>
        </is>
      </c>
      <c r="C684" s="13" t="inlineStr">
        <is>
          <t>Common / Comum</t>
        </is>
      </c>
      <c r="D684" s="13" t="inlineStr">
        <is>
          <t>When this creature enters, create a Mutagen token. (It's an artifact with "{1}, {T}, Sacrifice this token: Put a +1/+1 counter on target creature. Activate only as a sorcery.")</t>
        </is>
      </c>
      <c r="E684" s="13" t="inlineStr">
        <is>
          <t>{1}{U}</t>
        </is>
      </c>
      <c r="F684" s="13" t="inlineStr">
        <is>
          <t>Azul</t>
        </is>
      </c>
      <c r="G684" s="8" t="n">
        <v>0.1</v>
      </c>
      <c r="H684" s="13" t="inlineStr">
        <is>
          <t>Teenage Mutant Ninja Turtles (TMT)</t>
        </is>
      </c>
      <c r="I684" s="13" t="inlineStr">
        <is>
          <t>Não</t>
        </is>
      </c>
      <c r="J684" s="13" t="n">
        <v>2026</v>
      </c>
      <c r="K684" s="13" t="inlineStr">
        <is>
          <t>0/3</t>
        </is>
      </c>
      <c r="L684" s="13" t="n">
        <v>7</v>
      </c>
      <c r="M684" s="8">
        <f>L684*G684</f>
        <v/>
      </c>
      <c r="P684" s="9" t="n"/>
    </row>
    <row r="685">
      <c r="A685" s="13" t="inlineStr">
        <is>
          <t>Cryoshatter</t>
        </is>
      </c>
      <c r="B685" s="13" t="inlineStr">
        <is>
          <t>Enchantment — Aura</t>
        </is>
      </c>
      <c r="C685" s="13" t="inlineStr">
        <is>
          <t>Common / Comum</t>
        </is>
      </c>
      <c r="D685" s="13" t="inlineStr">
        <is>
          <t>Enchant creature Enchanted creature gets -5/-0. When enchanted creature becomes tapped or is dealt damage, destroy it.</t>
        </is>
      </c>
      <c r="E685" s="13" t="inlineStr">
        <is>
          <t>{U}</t>
        </is>
      </c>
      <c r="F685" s="13" t="inlineStr">
        <is>
          <t>Azul</t>
        </is>
      </c>
      <c r="G685" s="8" t="n">
        <v>0.33</v>
      </c>
      <c r="H685" s="13" t="inlineStr">
        <is>
          <t>Edge of Eternities (EOE)</t>
        </is>
      </c>
      <c r="I685" s="13" t="inlineStr">
        <is>
          <t>Sim</t>
        </is>
      </c>
      <c r="J685" s="13" t="n">
        <v>2025</v>
      </c>
      <c r="L685" s="13" t="n">
        <v>2</v>
      </c>
      <c r="M685" s="8">
        <f>L685*G685</f>
        <v/>
      </c>
      <c r="P685" s="9" t="n"/>
    </row>
    <row r="686">
      <c r="A686" s="13" t="inlineStr">
        <is>
          <t>Cryptid Inspector</t>
        </is>
      </c>
      <c r="B686" s="13" t="inlineStr">
        <is>
          <t>Creature — Elf Warrior</t>
        </is>
      </c>
      <c r="C686" s="13" t="inlineStr">
        <is>
          <t>Common / Comum</t>
        </is>
      </c>
      <c r="D686" s="13" t="inlineStr">
        <is>
          <t>Vigilance Whenever a face-down permanent you control enters and whenever this creature or another permanent you control is turned face up, put a +1/+1 counter on this creature.</t>
        </is>
      </c>
      <c r="E686" s="13" t="inlineStr">
        <is>
          <t>{2}{G}</t>
        </is>
      </c>
      <c r="F686" s="13" t="inlineStr">
        <is>
          <t>Verde</t>
        </is>
      </c>
      <c r="G686" s="8" t="n">
        <v>0.05</v>
      </c>
      <c r="H686" s="13" t="inlineStr">
        <is>
          <t>Duskmourn: House of Horror (DSK)</t>
        </is>
      </c>
      <c r="I686" s="13" t="inlineStr">
        <is>
          <t>Não</t>
        </is>
      </c>
      <c r="J686" s="13" t="n">
        <v>2024</v>
      </c>
      <c r="K686" s="10" t="n">
        <v>46083</v>
      </c>
      <c r="L686" s="13" t="n">
        <v>1</v>
      </c>
      <c r="M686" s="8">
        <f>L686*G686</f>
        <v/>
      </c>
      <c r="P686" s="9" t="n"/>
    </row>
    <row r="687">
      <c r="A687" s="13" t="inlineStr">
        <is>
          <t>Crystal Rod / Bastão de Cristal</t>
        </is>
      </c>
      <c r="B687" s="13" t="inlineStr">
        <is>
          <t>Artifact / Artefato</t>
        </is>
      </c>
      <c r="C687" s="13" t="inlineStr">
        <is>
          <t>Uncommon / Incomum</t>
        </is>
      </c>
      <c r="D687" s="13" t="inlineStr">
        <is>
          <t>Whenever a player casts a blue spell, you may pay {1}. If you do, you gain 1 life. / Toda vez que um jogador jogar uma mágica azul, você pode pagar {1}. Se o fizer, você ganha 1 ponto de vida.</t>
        </is>
      </c>
      <c r="E687" s="13" t="inlineStr">
        <is>
          <t>{1}</t>
        </is>
      </c>
      <c r="F687" s="13" t="inlineStr">
        <is>
          <t>Incolor</t>
        </is>
      </c>
      <c r="G687" s="8" t="n">
        <v>0.09</v>
      </c>
      <c r="H687" s="13" t="inlineStr">
        <is>
          <t>Fourth Edition</t>
        </is>
      </c>
      <c r="I687" s="13" t="inlineStr">
        <is>
          <t>Não</t>
        </is>
      </c>
      <c r="J687" s="13" t="n">
        <v>1995</v>
      </c>
      <c r="L687" s="13" t="n">
        <v>1</v>
      </c>
      <c r="M687" s="8">
        <f>L687*G687</f>
        <v/>
      </c>
      <c r="P687" s="9" t="n"/>
    </row>
    <row r="688">
      <c r="A688" s="13" t="inlineStr">
        <is>
          <t>Crystal Rod / Bastão de Cristal</t>
        </is>
      </c>
      <c r="B688" s="13" t="inlineStr">
        <is>
          <t>Artifact / Artefato</t>
        </is>
      </c>
      <c r="C688" s="13" t="inlineStr">
        <is>
          <t>Uncommon / Incomum</t>
        </is>
      </c>
      <c r="D688" s="13" t="inlineStr">
        <is>
          <t>Whenever a player casts a blue spell, you may pay {1}. If you do, you gain 1 life. / Toda vez que um jogador jogar uma mágica azul, você pode pagar {1}. Se o fizer, você ganha 1 ponto de vida.</t>
        </is>
      </c>
      <c r="E688" s="13" t="inlineStr">
        <is>
          <t>{1}</t>
        </is>
      </c>
      <c r="F688" s="13" t="inlineStr">
        <is>
          <t>Incolor</t>
        </is>
      </c>
      <c r="G688" s="8" t="n">
        <v>0.2</v>
      </c>
      <c r="H688" s="13" t="inlineStr">
        <is>
          <t>Fourth Edition (BB)</t>
        </is>
      </c>
      <c r="I688" s="13" t="inlineStr">
        <is>
          <t>Não</t>
        </is>
      </c>
      <c r="J688" s="13" t="n">
        <v>1995</v>
      </c>
      <c r="L688" s="13" t="n">
        <v>1</v>
      </c>
      <c r="M688" s="8">
        <f>L688*G688</f>
        <v/>
      </c>
      <c r="P688" s="9" t="n"/>
    </row>
    <row r="689">
      <c r="A689" s="13" t="inlineStr">
        <is>
          <t>Crystalline Nautilus / Náutilo Cristalino</t>
        </is>
      </c>
      <c r="B689" s="13" t="inlineStr">
        <is>
          <t>Criatura Encantamento — Náutilo</t>
        </is>
      </c>
      <c r="C689" s="13" t="inlineStr">
        <is>
          <t>Incomum</t>
        </is>
      </c>
      <c r="D689" s="13"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689" s="13" t="inlineStr">
        <is>
          <t>2U</t>
        </is>
      </c>
      <c r="F689" s="13" t="inlineStr">
        <is>
          <t>Azul</t>
        </is>
      </c>
      <c r="G689" s="8" t="n">
        <v>0.05</v>
      </c>
      <c r="H689" s="13" t="inlineStr">
        <is>
          <t>Journey into Nyx</t>
        </is>
      </c>
      <c r="I689" s="13" t="inlineStr">
        <is>
          <t>Não</t>
        </is>
      </c>
      <c r="J689" s="13" t="n">
        <v>2014</v>
      </c>
      <c r="K689" s="10" t="n">
        <v>46116</v>
      </c>
      <c r="L689" s="13" t="n">
        <v>1</v>
      </c>
      <c r="M689" s="8">
        <f>L689*G689</f>
        <v/>
      </c>
      <c r="P689" s="9" t="n"/>
    </row>
    <row r="690">
      <c r="A690" s="13" t="inlineStr">
        <is>
          <t>Cuboid Colony / Colônia Cuboide</t>
        </is>
      </c>
      <c r="B690" s="13" t="inlineStr">
        <is>
          <t>Criatura — Inseto</t>
        </is>
      </c>
      <c r="C690" s="13" t="inlineStr">
        <is>
          <t>Incomum</t>
        </is>
      </c>
      <c r="D690" s="13" t="inlineStr">
        <is>
          <t>Lampejo. Voar, atropelar. Incrementar (Sempre que você conjurar uma mágica, se a quantidade de mana que você gastou for maior que o poder ou a resistência desta criatura, coloque um marcador +1/+1 nesta criatura.)</t>
        </is>
      </c>
      <c r="E690" s="13" t="inlineStr">
        <is>
          <t>{G}{U}</t>
        </is>
      </c>
      <c r="F690" s="13" t="inlineStr">
        <is>
          <t>Multicolorido</t>
        </is>
      </c>
      <c r="G690" s="8" t="n">
        <v>0.25</v>
      </c>
      <c r="H690" s="13" t="inlineStr">
        <is>
          <t>Strixhaven: School of Mages (SOS)</t>
        </is>
      </c>
      <c r="I690" s="13" t="inlineStr">
        <is>
          <t>Não</t>
        </is>
      </c>
      <c r="J690" s="13" t="n">
        <v>2026</v>
      </c>
      <c r="K690" s="10" t="n">
        <v>46023</v>
      </c>
      <c r="L690" s="13" t="n">
        <v>2</v>
      </c>
      <c r="M690" s="8">
        <f>L690*G690</f>
        <v/>
      </c>
      <c r="P690" s="9" t="n"/>
    </row>
    <row r="691">
      <c r="A691" s="13" t="inlineStr">
        <is>
          <t>Cultbrand Cinder / Cinzeríneo Culto-do-Estigma</t>
        </is>
      </c>
      <c r="B691" s="13" t="inlineStr">
        <is>
          <t>Creature — Elemental Shaman / Criatura — Elemental Xamã</t>
        </is>
      </c>
      <c r="C691" s="13" t="inlineStr">
        <is>
          <t>Common / Comum</t>
        </is>
      </c>
      <c r="D691" s="13" t="inlineStr">
        <is>
          <t>When this creature enters, put a -1/-1 counter on target creature. / Quando Cinzeríneo Culto-do-Estigma entrar em jogo, coloque um marcador -1/-1 na criatura alvo.</t>
        </is>
      </c>
      <c r="E691" s="13" t="inlineStr">
        <is>
          <t>{4}{B/R}</t>
        </is>
      </c>
      <c r="F691" s="13" t="inlineStr">
        <is>
          <t>Preto, Vermelho</t>
        </is>
      </c>
      <c r="G691" s="8" t="n">
        <v>0.06</v>
      </c>
      <c r="H691" s="13" t="inlineStr">
        <is>
          <t>Shadowmoor (SHM)</t>
        </is>
      </c>
      <c r="I691" s="13" t="inlineStr">
        <is>
          <t>Não</t>
        </is>
      </c>
      <c r="J691" s="13" t="n">
        <v>2008</v>
      </c>
      <c r="K691" s="10" t="n">
        <v>46084</v>
      </c>
      <c r="L691" s="13" t="n">
        <v>1</v>
      </c>
      <c r="M691" s="8">
        <f>L691*G691</f>
        <v/>
      </c>
      <c r="P691" s="9" t="n"/>
    </row>
    <row r="692">
      <c r="A692" s="13" t="inlineStr">
        <is>
          <t>Cultivator Drone / Zangão Cultivador</t>
        </is>
      </c>
      <c r="B692" s="13" t="inlineStr">
        <is>
          <t>Creature — Eldrazi Drone / Criatura — Eldrazi Zangão</t>
        </is>
      </c>
      <c r="C692" s="13" t="inlineStr">
        <is>
          <t>Common / Comum</t>
        </is>
      </c>
      <c r="D692" s="13"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692" s="13" t="inlineStr">
        <is>
          <t>{2}{U}</t>
        </is>
      </c>
      <c r="F692" s="13" t="inlineStr">
        <is>
          <t>Azul</t>
        </is>
      </c>
      <c r="G692" s="8" t="n">
        <v>0.05</v>
      </c>
      <c r="H692" s="13" t="inlineStr">
        <is>
          <t>Oath of the Gatewatch (OGW)</t>
        </is>
      </c>
      <c r="I692" s="13" t="inlineStr">
        <is>
          <t>Não</t>
        </is>
      </c>
      <c r="J692" s="13" t="n">
        <v>2016</v>
      </c>
      <c r="K692" s="10" t="n">
        <v>46083</v>
      </c>
      <c r="L692" s="13" t="n">
        <v>2</v>
      </c>
      <c r="M692" s="8">
        <f>L692*G692</f>
        <v/>
      </c>
      <c r="P692" s="9" t="n"/>
    </row>
    <row r="693">
      <c r="A693" s="13" t="inlineStr">
        <is>
          <t>Cunning Breezedancer / Dançarina da Brisa Astuta</t>
        </is>
      </c>
      <c r="B693" s="13" t="inlineStr">
        <is>
          <t>Creature — Dragon / Criatura — Dragão</t>
        </is>
      </c>
      <c r="C693" s="13" t="inlineStr">
        <is>
          <t>Uncommon / Incomum</t>
        </is>
      </c>
      <c r="D693" s="13" t="inlineStr">
        <is>
          <t>Flying Whenever you cast a noncreature spell, this creature gets +2/+2 until end of turn. / Voar Toda vez que você conjura uma mágica que não seja de criatura, Dançarina da Brisa Astuta recebe +2/+2 até o final do turno.</t>
        </is>
      </c>
      <c r="E693" s="13" t="inlineStr">
        <is>
          <t>{4}{W}{U}</t>
        </is>
      </c>
      <c r="F693" s="13" t="inlineStr">
        <is>
          <t>Azul, Branco</t>
        </is>
      </c>
      <c r="G693" s="8" t="n">
        <v>0.05</v>
      </c>
      <c r="H693" s="13" t="inlineStr">
        <is>
          <t>Dragons of Tarkir (DTK)</t>
        </is>
      </c>
      <c r="I693" s="13" t="inlineStr">
        <is>
          <t>Não</t>
        </is>
      </c>
      <c r="J693" s="13" t="n">
        <v>2015</v>
      </c>
      <c r="K693" s="10" t="n">
        <v>46116</v>
      </c>
      <c r="L693" s="13" t="n">
        <v>1</v>
      </c>
      <c r="M693" s="8">
        <f>L693*G693</f>
        <v/>
      </c>
      <c r="P693" s="9" t="n"/>
    </row>
    <row r="694">
      <c r="A694" s="13" t="inlineStr">
        <is>
          <t>Cunning Maneuver</t>
        </is>
      </c>
      <c r="B694" s="13" t="inlineStr">
        <is>
          <t>Instant</t>
        </is>
      </c>
      <c r="C694" s="13" t="inlineStr">
        <is>
          <t>Common / Comum</t>
        </is>
      </c>
      <c r="D694" s="13" t="inlineStr">
        <is>
          <t>Target creature gets +3/+1 until end of turn. Create a Clue token. (It's an artifact with "{2}, Sacrifice this token: Draw a card.")</t>
        </is>
      </c>
      <c r="E694" s="13" t="inlineStr">
        <is>
          <t>{1}{R}</t>
        </is>
      </c>
      <c r="F694" s="13" t="inlineStr">
        <is>
          <t>Vermelho</t>
        </is>
      </c>
      <c r="G694" s="8" t="n">
        <v>0.09</v>
      </c>
      <c r="H694" s="13" t="inlineStr">
        <is>
          <t>Avatar: The Last Airbender (TLA)</t>
        </is>
      </c>
      <c r="I694" s="13" t="inlineStr">
        <is>
          <t>Não</t>
        </is>
      </c>
      <c r="J694" s="13" t="n">
        <v>2025</v>
      </c>
      <c r="L694" s="13" t="n">
        <v>1</v>
      </c>
      <c r="M694" s="8">
        <f>L694*G694</f>
        <v/>
      </c>
      <c r="P694" s="9" t="n"/>
    </row>
    <row r="695">
      <c r="A695" s="13" t="inlineStr">
        <is>
          <t>Cuombajj Witches / Bruxas Cuombajj</t>
        </is>
      </c>
      <c r="B695" s="13" t="inlineStr">
        <is>
          <t>Creature — Human Wizard / Criatura — Humano Mago</t>
        </is>
      </c>
      <c r="C695" s="13" t="inlineStr">
        <is>
          <t>Common / Comum</t>
        </is>
      </c>
      <c r="D695" s="13" t="inlineStr">
        <is>
          <t>{T}: This creature deals 1 damage to any target and 1 damage to any target of an opponent's choice. / {T}: Bruxas Cuombajj causa 1 ponto de dano a qualquer alvo e 1 ponto de dano a qualquer alvo à escolha de um oponente.</t>
        </is>
      </c>
      <c r="E695" s="13" t="inlineStr">
        <is>
          <t>{B}{B}</t>
        </is>
      </c>
      <c r="F695" s="13" t="inlineStr">
        <is>
          <t>Preto</t>
        </is>
      </c>
      <c r="G695" s="8" t="n">
        <v>1.02</v>
      </c>
      <c r="H695" s="13" t="inlineStr">
        <is>
          <t>Chronicles</t>
        </is>
      </c>
      <c r="I695" s="13" t="inlineStr">
        <is>
          <t>Não</t>
        </is>
      </c>
      <c r="J695" s="13" t="n">
        <v>1995</v>
      </c>
      <c r="K695" s="10" t="n">
        <v>46082</v>
      </c>
      <c r="L695" s="13" t="n">
        <v>4</v>
      </c>
      <c r="M695" s="8">
        <f>L695*G695</f>
        <v/>
      </c>
      <c r="P695" s="9" t="n"/>
    </row>
    <row r="696">
      <c r="A696" s="13" t="inlineStr">
        <is>
          <t>Cura de Fárica / Pharika's Cure</t>
        </is>
      </c>
      <c r="B696" s="13" t="inlineStr">
        <is>
          <t>Mágica Instantânea / Instant</t>
        </is>
      </c>
      <c r="C696" s="13" t="inlineStr">
        <is>
          <t>Comum / Common</t>
        </is>
      </c>
      <c r="D696" s="13" t="inlineStr">
        <is>
          <t>Cura de Fárica causa 2 pontos de dano à criatura alvo e você ganha 2 pontos de vida. / Pharika's Cure deals 2 damage to target creature and you gain 2 life.</t>
        </is>
      </c>
      <c r="E696" s="13" t="inlineStr">
        <is>
          <t>{B}{B}</t>
        </is>
      </c>
      <c r="F696" s="13" t="inlineStr">
        <is>
          <t>Preto / Black</t>
        </is>
      </c>
      <c r="G696" s="8" t="n">
        <v>0.05</v>
      </c>
      <c r="H696" s="13" t="inlineStr">
        <is>
          <t>Theros (THS)</t>
        </is>
      </c>
      <c r="I696" s="13" t="inlineStr">
        <is>
          <t>Não</t>
        </is>
      </c>
      <c r="J696" s="13" t="n">
        <v>2013</v>
      </c>
      <c r="L696" s="13" t="n">
        <v>4</v>
      </c>
      <c r="M696" s="8">
        <f>L696*G696</f>
        <v/>
      </c>
      <c r="P696" s="9" t="n"/>
    </row>
    <row r="697">
      <c r="A697" s="13" t="inlineStr">
        <is>
          <t>Curio Vendor / Vendedora de Raridades</t>
        </is>
      </c>
      <c r="B697" s="13" t="inlineStr">
        <is>
          <t>Creature — Vedalken / Criatura — Vedalkeano</t>
        </is>
      </c>
      <c r="C697" s="13" t="inlineStr">
        <is>
          <t>Common / Comum</t>
        </is>
      </c>
      <c r="E697" s="13" t="inlineStr">
        <is>
          <t>{1}{U}</t>
        </is>
      </c>
      <c r="F697" s="13" t="inlineStr">
        <is>
          <t>Azul</t>
        </is>
      </c>
      <c r="G697" s="8" t="n">
        <v>0.03</v>
      </c>
      <c r="H697" s="13" t="inlineStr">
        <is>
          <t>Kaladesh (KLD)</t>
        </is>
      </c>
      <c r="I697" s="13" t="inlineStr">
        <is>
          <t>Não</t>
        </is>
      </c>
      <c r="J697" s="13" t="n">
        <v>2016</v>
      </c>
      <c r="K697" s="10" t="n">
        <v>46024</v>
      </c>
      <c r="L697" s="13" t="n">
        <v>2</v>
      </c>
      <c r="M697" s="8">
        <f>L697*G697</f>
        <v/>
      </c>
      <c r="P697" s="9" t="n"/>
    </row>
    <row r="698">
      <c r="A698" s="13" t="inlineStr">
        <is>
          <t>Curious Farm Animals</t>
        </is>
      </c>
      <c r="B698" s="13" t="inlineStr">
        <is>
          <t>Creature — Boar Elk Bird Ox</t>
        </is>
      </c>
      <c r="C698" s="13" t="inlineStr">
        <is>
          <t>Common / Comum</t>
        </is>
      </c>
      <c r="D698" s="13" t="inlineStr">
        <is>
          <t>When this creature dies, you gain 3 life. {2}, Sacrifice this creature: Destroy up to one target artifact or enchantment.</t>
        </is>
      </c>
      <c r="E698" s="13" t="inlineStr">
        <is>
          <t>{W}</t>
        </is>
      </c>
      <c r="F698" s="13" t="inlineStr">
        <is>
          <t>Branco</t>
        </is>
      </c>
      <c r="G698" s="8" t="n">
        <v>0.04</v>
      </c>
      <c r="H698" s="13" t="inlineStr">
        <is>
          <t>Avatar: The Last Airbender (TLA)</t>
        </is>
      </c>
      <c r="I698" s="13" t="inlineStr">
        <is>
          <t>Não</t>
        </is>
      </c>
      <c r="J698" s="13" t="n">
        <v>2025</v>
      </c>
      <c r="K698" s="10" t="n">
        <v>46023</v>
      </c>
      <c r="L698" s="13" t="n">
        <v>5</v>
      </c>
      <c r="M698" s="8">
        <f>L698*G698</f>
        <v/>
      </c>
      <c r="P698" s="9" t="n"/>
    </row>
    <row r="699">
      <c r="A699" s="13" t="inlineStr">
        <is>
          <t>Curious Farm Animals</t>
        </is>
      </c>
      <c r="B699" s="13" t="inlineStr">
        <is>
          <t>Creature — Boar Elk Bird Ox</t>
        </is>
      </c>
      <c r="C699" s="13" t="inlineStr">
        <is>
          <t>Common / Comum</t>
        </is>
      </c>
      <c r="D699" s="13" t="inlineStr">
        <is>
          <t>When this creature dies, you gain 3 life. {2}, Sacrifice this creature: Destroy up to one target artifact or enchantment.</t>
        </is>
      </c>
      <c r="E699" s="13" t="inlineStr">
        <is>
          <t>{W}</t>
        </is>
      </c>
      <c r="F699" s="13" t="inlineStr">
        <is>
          <t>Branco</t>
        </is>
      </c>
      <c r="G699" s="8" t="n">
        <v>0.05</v>
      </c>
      <c r="H699" s="13" t="inlineStr">
        <is>
          <t>Avatar: The Last Airbender (TLA)</t>
        </is>
      </c>
      <c r="I699" s="13" t="inlineStr">
        <is>
          <t>Não</t>
        </is>
      </c>
      <c r="J699" s="13" t="n">
        <v>2025</v>
      </c>
      <c r="K699" s="10" t="n">
        <v>46023</v>
      </c>
      <c r="L699" s="13" t="n">
        <v>3</v>
      </c>
      <c r="M699" s="8">
        <f>L699*G699</f>
        <v/>
      </c>
      <c r="P699" s="9" t="n"/>
    </row>
    <row r="700">
      <c r="A700" s="13" t="inlineStr">
        <is>
          <t>Curse of Marit Lage / Maldição de Marit Lage</t>
        </is>
      </c>
      <c r="B700" s="13" t="inlineStr">
        <is>
          <t>Enchantment</t>
        </is>
      </c>
      <c r="C700" s="13" t="inlineStr">
        <is>
          <t>Rare / Rara</t>
        </is>
      </c>
      <c r="D700" s="13" t="inlineStr">
        <is>
          <t>When this enchantment enters, tap all Islands. Islands don't untap during their controllers' untap steps.</t>
        </is>
      </c>
      <c r="E700" s="13" t="inlineStr">
        <is>
          <t>{3}{R}{R}</t>
        </is>
      </c>
      <c r="F700" s="13" t="inlineStr">
        <is>
          <t>Vermelho</t>
        </is>
      </c>
      <c r="G700" s="8" t="n">
        <v>0.95</v>
      </c>
      <c r="H700" s="13" t="inlineStr">
        <is>
          <t>Ice Age (ICE)</t>
        </is>
      </c>
      <c r="I700" s="13" t="inlineStr">
        <is>
          <t>Não</t>
        </is>
      </c>
      <c r="J700" s="13" t="n">
        <v>1995</v>
      </c>
      <c r="L700" s="13" t="n">
        <v>2</v>
      </c>
      <c r="M700" s="8">
        <f>L700*G700</f>
        <v/>
      </c>
      <c r="P700" s="9" t="n"/>
    </row>
    <row r="701">
      <c r="A701" s="13" t="inlineStr">
        <is>
          <t>Cursed Land / Terreno Amaldiçoado</t>
        </is>
      </c>
      <c r="B701" s="13" t="inlineStr">
        <is>
          <t>Enchantment — Aura</t>
        </is>
      </c>
      <c r="C701" s="13" t="inlineStr">
        <is>
          <t>Uncommon / Incomum</t>
        </is>
      </c>
      <c r="D701" s="13" t="inlineStr">
        <is>
          <t>Enchant land At the beginning of the upkeep of enchanted land's controller, this Aura deals 1 damage to that player.</t>
        </is>
      </c>
      <c r="E701" s="13" t="inlineStr">
        <is>
          <t>{2}{B}{B}</t>
        </is>
      </c>
      <c r="F701" s="13" t="inlineStr">
        <is>
          <t>Preto</t>
        </is>
      </c>
      <c r="G701" s="8" t="n">
        <v>0.36</v>
      </c>
      <c r="H701" s="13" t="inlineStr">
        <is>
          <t>Quarta Edição (BB)</t>
        </is>
      </c>
      <c r="I701" s="13" t="inlineStr">
        <is>
          <t>Não</t>
        </is>
      </c>
      <c r="J701" s="13" t="n">
        <v>1995</v>
      </c>
      <c r="L701" s="13" t="n">
        <v>2</v>
      </c>
      <c r="M701" s="8">
        <f>L701*G701</f>
        <v/>
      </c>
      <c r="P701" s="9" t="n"/>
    </row>
    <row r="702">
      <c r="A702" s="13" t="inlineStr">
        <is>
          <t>Cursed Rack / Ecúleo Amaldiçoado</t>
        </is>
      </c>
      <c r="B702" s="13" t="inlineStr">
        <is>
          <t>Artifact / Artefato</t>
        </is>
      </c>
      <c r="C702" s="13" t="inlineStr">
        <is>
          <t>Uncommon / Incomum</t>
        </is>
      </c>
      <c r="D702" s="13" t="inlineStr">
        <is>
          <t>As this artifact enters, choose an opponent. The chosen player's maximum hand size is four.</t>
        </is>
      </c>
      <c r="E702" s="13" t="inlineStr">
        <is>
          <t>{4}</t>
        </is>
      </c>
      <c r="F702" s="13" t="inlineStr">
        <is>
          <t>Incolor</t>
        </is>
      </c>
      <c r="G702" s="8" t="n">
        <v>0.4</v>
      </c>
      <c r="H702" s="13" t="inlineStr">
        <is>
          <t>Fourth Edition</t>
        </is>
      </c>
      <c r="I702" s="13" t="inlineStr">
        <is>
          <t>Não</t>
        </is>
      </c>
      <c r="J702" s="13" t="n">
        <v>1995</v>
      </c>
      <c r="L702" s="13" t="n">
        <v>1</v>
      </c>
      <c r="M702" s="8">
        <f>L702*G702</f>
        <v/>
      </c>
      <c r="P702" s="9" t="n"/>
    </row>
    <row r="703">
      <c r="A703" s="13" t="inlineStr">
        <is>
          <t>Cursed Rack / Ecúleo Amaldiçoado</t>
        </is>
      </c>
      <c r="B703" s="13" t="inlineStr">
        <is>
          <t>Artifact / Artefato</t>
        </is>
      </c>
      <c r="C703" s="13" t="inlineStr">
        <is>
          <t>Uncommon / Incomum</t>
        </is>
      </c>
      <c r="D703" s="13" t="inlineStr">
        <is>
          <t>As this artifact enters, choose an opponent. The chosen player's maximum hand size is four.</t>
        </is>
      </c>
      <c r="E703" s="13" t="inlineStr">
        <is>
          <t>{4}</t>
        </is>
      </c>
      <c r="F703" s="13" t="inlineStr">
        <is>
          <t>Incolor</t>
        </is>
      </c>
      <c r="G703" s="8" t="n">
        <v>0.5</v>
      </c>
      <c r="H703" s="13" t="inlineStr">
        <is>
          <t>Fourth Edition (BB)</t>
        </is>
      </c>
      <c r="I703" s="13" t="inlineStr">
        <is>
          <t>Não</t>
        </is>
      </c>
      <c r="J703" s="13" t="n">
        <v>1995</v>
      </c>
      <c r="L703" s="13" t="n">
        <v>1</v>
      </c>
      <c r="M703" s="8">
        <f>L703*G703</f>
        <v/>
      </c>
      <c r="P703" s="9" t="n"/>
    </row>
    <row r="704">
      <c r="A704" s="13" t="inlineStr">
        <is>
          <t>Cut Short / Encurtar</t>
        </is>
      </c>
      <c r="B704" s="13" t="inlineStr">
        <is>
          <t>Instant / Mágica Instantânea</t>
        </is>
      </c>
      <c r="C704" s="13" t="inlineStr">
        <is>
          <t>Common / Comum</t>
        </is>
      </c>
      <c r="D704" s="13"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704" s="13" t="inlineStr">
        <is>
          <t>{2}{W}</t>
        </is>
      </c>
      <c r="F704" s="13" t="inlineStr">
        <is>
          <t>Branco</t>
        </is>
      </c>
      <c r="G704" s="8" t="n">
        <v>0.04</v>
      </c>
      <c r="H704" s="13" t="inlineStr">
        <is>
          <t>March of the Machine (MOM)</t>
        </is>
      </c>
      <c r="I704" s="13" t="inlineStr">
        <is>
          <t>Não</t>
        </is>
      </c>
      <c r="J704" s="13" t="n">
        <v>2023</v>
      </c>
      <c r="L704" s="13" t="n">
        <v>2</v>
      </c>
      <c r="M704" s="8">
        <f>L704*G704</f>
        <v/>
      </c>
      <c r="P704" s="9" t="n"/>
    </row>
    <row r="705">
      <c r="A705" s="13" t="inlineStr">
        <is>
          <t>Cycle of Renewal</t>
        </is>
      </c>
      <c r="B705" s="13" t="inlineStr">
        <is>
          <t>Instant — Lesson</t>
        </is>
      </c>
      <c r="C705" s="13" t="inlineStr">
        <is>
          <t>Common / Comum</t>
        </is>
      </c>
      <c r="D705" s="13" t="inlineStr">
        <is>
          <t>Sacrifice a land. Search your library for up to two basic land cards, put them onto the battlefield tapped, then shuffle.</t>
        </is>
      </c>
      <c r="E705" s="13" t="inlineStr">
        <is>
          <t>{2}{G}</t>
        </is>
      </c>
      <c r="F705" s="13" t="inlineStr">
        <is>
          <t>Verde</t>
        </is>
      </c>
      <c r="G705" s="8" t="n">
        <v>0.13</v>
      </c>
      <c r="H705" s="13" t="inlineStr">
        <is>
          <t>Avatar: The Last Airbender (TLA)</t>
        </is>
      </c>
      <c r="I705" s="13" t="inlineStr">
        <is>
          <t>Não</t>
        </is>
      </c>
      <c r="J705" s="13" t="n">
        <v>2025</v>
      </c>
      <c r="L705" s="13" t="n">
        <v>1</v>
      </c>
      <c r="M705" s="8">
        <f>L705*G705</f>
        <v/>
      </c>
      <c r="P705" s="9" t="n"/>
    </row>
    <row r="706">
      <c r="A706" s="13" t="inlineStr">
        <is>
          <t>Cyclopean Mummy / Múmia Ciclópica</t>
        </is>
      </c>
      <c r="B706" s="13" t="inlineStr">
        <is>
          <t>Creature — Zombie</t>
        </is>
      </c>
      <c r="C706" s="13" t="inlineStr">
        <is>
          <t>Common / Comum</t>
        </is>
      </c>
      <c r="D706" s="13" t="inlineStr">
        <is>
          <t>When this creature dies, exile it.</t>
        </is>
      </c>
      <c r="E706" s="13" t="inlineStr">
        <is>
          <t>{1}{B}</t>
        </is>
      </c>
      <c r="F706" s="13" t="inlineStr">
        <is>
          <t>Preto</t>
        </is>
      </c>
      <c r="G706" s="8" t="n">
        <v>0.05</v>
      </c>
      <c r="H706" s="13" t="inlineStr">
        <is>
          <t>Fourth Edition</t>
        </is>
      </c>
      <c r="I706" s="13" t="inlineStr">
        <is>
          <t>Não</t>
        </is>
      </c>
      <c r="J706" s="13" t="n">
        <v>1995</v>
      </c>
      <c r="K706" s="10" t="n">
        <v>46024</v>
      </c>
      <c r="L706" s="13" t="n">
        <v>2</v>
      </c>
      <c r="M706" s="8">
        <f>L706*G706</f>
        <v/>
      </c>
      <c r="P706" s="9" t="n"/>
    </row>
    <row r="707">
      <c r="A707" s="13" t="inlineStr">
        <is>
          <t>Cyclopean Mummy / Múmia Ciclópica</t>
        </is>
      </c>
      <c r="B707" s="13" t="inlineStr">
        <is>
          <t>Creature — Zombie</t>
        </is>
      </c>
      <c r="C707" s="13" t="inlineStr">
        <is>
          <t>Common / Comum</t>
        </is>
      </c>
      <c r="D707" s="13" t="inlineStr">
        <is>
          <t>When this creature dies, exile it.</t>
        </is>
      </c>
      <c r="E707" s="13" t="inlineStr">
        <is>
          <t>{1}{B}</t>
        </is>
      </c>
      <c r="F707" s="13" t="inlineStr">
        <is>
          <t>Preto</t>
        </is>
      </c>
      <c r="G707" s="8" t="n">
        <v>0.21</v>
      </c>
      <c r="H707" s="13" t="inlineStr">
        <is>
          <t>Fourth Edition (BB)</t>
        </is>
      </c>
      <c r="I707" s="13" t="inlineStr">
        <is>
          <t>Não</t>
        </is>
      </c>
      <c r="J707" s="13" t="n">
        <v>1995</v>
      </c>
      <c r="K707" s="10" t="n">
        <v>46024</v>
      </c>
      <c r="L707" s="13" t="n">
        <v>3</v>
      </c>
      <c r="M707" s="8">
        <f>L707*G707</f>
        <v/>
      </c>
      <c r="P707" s="9" t="n"/>
    </row>
    <row r="708">
      <c r="A708" s="13" t="inlineStr">
        <is>
          <t>Cyclops Electromancer / Eletromante Ciclope</t>
        </is>
      </c>
      <c r="B708" s="13" t="inlineStr">
        <is>
          <t>Creature — Cyclops Wizard / Criatura — Ciclope Mago</t>
        </is>
      </c>
      <c r="C708" s="13" t="inlineStr">
        <is>
          <t>Common / Comum</t>
        </is>
      </c>
      <c r="D708" s="13"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708" s="13" t="inlineStr">
        <is>
          <t>{4}{R}</t>
        </is>
      </c>
      <c r="F708" s="13" t="inlineStr">
        <is>
          <t>Vermelho</t>
        </is>
      </c>
      <c r="G708" s="8" t="n">
        <v>0.05</v>
      </c>
      <c r="H708" s="13" t="inlineStr">
        <is>
          <t>Commander Masters (CMM)</t>
        </is>
      </c>
      <c r="I708" s="13" t="inlineStr">
        <is>
          <t>Não</t>
        </is>
      </c>
      <c r="J708" s="13" t="n">
        <v>2023</v>
      </c>
      <c r="K708" s="10" t="n">
        <v>46057</v>
      </c>
      <c r="L708" s="13" t="n">
        <v>1</v>
      </c>
      <c r="M708" s="8">
        <f>L708*G708</f>
        <v/>
      </c>
      <c r="P708" s="9" t="n"/>
    </row>
    <row r="709">
      <c r="A709" s="13" t="inlineStr">
        <is>
          <t>Cyclops of One-Eyed Pass / Ciclope da Passagem Caolha</t>
        </is>
      </c>
      <c r="B709" s="13" t="inlineStr">
        <is>
          <t>Creature — Cyclops / Criatura — Ciclope</t>
        </is>
      </c>
      <c r="C709" s="13" t="inlineStr">
        <is>
          <t>Common / Comum</t>
        </is>
      </c>
      <c r="E709" s="13" t="inlineStr">
        <is>
          <t>{2}{R}{R}</t>
        </is>
      </c>
      <c r="F709" s="13" t="inlineStr">
        <is>
          <t>Vermelho</t>
        </is>
      </c>
      <c r="G709" s="8" t="n">
        <v>0.03</v>
      </c>
      <c r="H709" s="13" t="inlineStr">
        <is>
          <t>Born of the Gods (BNG)</t>
        </is>
      </c>
      <c r="I709" s="13" t="inlineStr">
        <is>
          <t>Não</t>
        </is>
      </c>
      <c r="J709" s="13" t="n">
        <v>2014</v>
      </c>
      <c r="K709" s="10" t="n">
        <v>46058</v>
      </c>
      <c r="L709" s="13" t="n">
        <v>1</v>
      </c>
      <c r="M709" s="8">
        <f>L709*G709</f>
        <v/>
      </c>
      <c r="P709" s="9" t="n"/>
    </row>
    <row r="710">
      <c r="A710" s="13" t="inlineStr">
        <is>
          <t>Cyclops Superconductor / Ciclope Supercondutor</t>
        </is>
      </c>
      <c r="B710" s="13" t="inlineStr">
        <is>
          <t>Creature — Cyclops Wizard / Criatura — Ciclope Mago</t>
        </is>
      </c>
      <c r="C710" s="13" t="inlineStr">
        <is>
          <t>Common / Comum</t>
        </is>
      </c>
      <c r="D710" s="13"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710" s="13" t="inlineStr">
        <is>
          <t>{1}{U}{R}</t>
        </is>
      </c>
      <c r="F710" s="13" t="inlineStr">
        <is>
          <t>Vermelho, Azul</t>
        </is>
      </c>
      <c r="G710" s="8" t="n">
        <v>0.06</v>
      </c>
      <c r="H710" s="13" t="inlineStr">
        <is>
          <t>Modern Horizons 3 (MH3)</t>
        </is>
      </c>
      <c r="I710" s="13" t="inlineStr">
        <is>
          <t>Não</t>
        </is>
      </c>
      <c r="J710" s="13" t="n">
        <v>2024</v>
      </c>
      <c r="K710" s="10" t="n">
        <v>46055</v>
      </c>
      <c r="L710" s="13" t="n">
        <v>1</v>
      </c>
      <c r="M710" s="8">
        <f>L710*G710</f>
        <v/>
      </c>
      <c r="P710" s="9" t="n"/>
    </row>
    <row r="711">
      <c r="A711" s="13" t="inlineStr">
        <is>
          <t>Dádiva de Arwen / Arwen's Gift</t>
        </is>
      </c>
      <c r="B711" s="13" t="inlineStr">
        <is>
          <t>Feitiço</t>
        </is>
      </c>
      <c r="C711" s="13" t="inlineStr">
        <is>
          <t>Comum</t>
        </is>
      </c>
      <c r="D711" s="13" t="inlineStr">
        <is>
          <t>Esta mágica custa {1} a menos para ser conjurada se você controla duas ou mais criaturas lendárias. Use vidência 2 e depois compre dois cards.</t>
        </is>
      </c>
      <c r="E711" s="13" t="inlineStr">
        <is>
          <t>3{U}</t>
        </is>
      </c>
      <c r="F711" s="13" t="inlineStr">
        <is>
          <t>Azul</t>
        </is>
      </c>
      <c r="G711" s="8" t="n">
        <v>0.08</v>
      </c>
      <c r="H711" s="13" t="inlineStr">
        <is>
          <t>The Lord of the Rings: Tales of Middle-earth (LTR)</t>
        </is>
      </c>
      <c r="I711" s="13" t="inlineStr">
        <is>
          <t>Não</t>
        </is>
      </c>
      <c r="J711" s="13" t="n">
        <v>2023</v>
      </c>
      <c r="L711" s="13" t="n">
        <v>2</v>
      </c>
      <c r="M711" s="8">
        <f>L711*G711</f>
        <v/>
      </c>
      <c r="P711" s="9" t="n"/>
    </row>
    <row r="712">
      <c r="A712" s="13" t="inlineStr">
        <is>
          <t>Dagger Caster / Lançadora de Adagas</t>
        </is>
      </c>
      <c r="B712" s="13" t="inlineStr">
        <is>
          <t>Creature — Lizard Rogue / Criatura — Viashino Ladino</t>
        </is>
      </c>
      <c r="C712" s="13" t="inlineStr">
        <is>
          <t>Uncommon / Incomum</t>
        </is>
      </c>
      <c r="D712" s="13"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712" s="13" t="inlineStr">
        <is>
          <t>{3}{R}</t>
        </is>
      </c>
      <c r="F712" s="13" t="inlineStr">
        <is>
          <t>Vermelho</t>
        </is>
      </c>
      <c r="G712" s="8" t="n">
        <v>0.03</v>
      </c>
      <c r="H712" s="13" t="inlineStr">
        <is>
          <t>Ravnica Allegiance (RNA)</t>
        </is>
      </c>
      <c r="I712" s="13" t="inlineStr">
        <is>
          <t>Não</t>
        </is>
      </c>
      <c r="J712" s="13" t="n">
        <v>2019</v>
      </c>
      <c r="K712" s="10" t="n">
        <v>46083</v>
      </c>
      <c r="L712" s="13" t="n">
        <v>1</v>
      </c>
      <c r="M712" s="8">
        <f>L712*G712</f>
        <v/>
      </c>
      <c r="N712" s="13" t="inlineStr">
        <is>
          <t>Bulk Shopee</t>
        </is>
      </c>
      <c r="P712" s="9" t="n"/>
    </row>
    <row r="713">
      <c r="A713" s="13" t="inlineStr">
        <is>
          <t>Daghatar the Adamant / Daghatar, o Inflexível</t>
        </is>
      </c>
      <c r="B713" s="13" t="inlineStr">
        <is>
          <t>Legendary Creature — Human Warrior / Criatura Lendária — Humano Guerreiro</t>
        </is>
      </c>
      <c r="C713" s="13" t="inlineStr">
        <is>
          <t>Rare / Rara</t>
        </is>
      </c>
      <c r="D713" s="13"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713" s="13" t="inlineStr">
        <is>
          <t>{3}{W}</t>
        </is>
      </c>
      <c r="F713" s="13" t="inlineStr">
        <is>
          <t>Branco</t>
        </is>
      </c>
      <c r="G713" s="8" t="n">
        <v>0.24</v>
      </c>
      <c r="H713" s="13" t="inlineStr">
        <is>
          <t>Fate Reforged (FRF)</t>
        </is>
      </c>
      <c r="I713" s="13" t="inlineStr">
        <is>
          <t>Não</t>
        </is>
      </c>
      <c r="J713" s="13" t="n">
        <v>2015</v>
      </c>
      <c r="K713" s="13" t="inlineStr">
        <is>
          <t>0/0</t>
        </is>
      </c>
      <c r="L713" s="13" t="n">
        <v>1</v>
      </c>
      <c r="M713" s="8">
        <f>L713*G713</f>
        <v/>
      </c>
      <c r="P713" s="9" t="n"/>
    </row>
    <row r="714">
      <c r="A714" s="13" t="inlineStr">
        <is>
          <t>Dancing Scimitar / Cimitarra Dançante</t>
        </is>
      </c>
      <c r="B714" s="13" t="inlineStr">
        <is>
          <t>Artifact Creature — Spirit / Criatura Artefato — Espírito</t>
        </is>
      </c>
      <c r="C714" s="13" t="inlineStr">
        <is>
          <t>Rare / Rara</t>
        </is>
      </c>
      <c r="D714" s="13" t="inlineStr">
        <is>
          <t>Flying (This creature can't be blocked except by creatures with flying or reach.) / Voar (Esta criatura só pode ser bloqueada por criaturas com a habilidade de voar.)</t>
        </is>
      </c>
      <c r="E714" s="13" t="inlineStr">
        <is>
          <t>{4}</t>
        </is>
      </c>
      <c r="F714" s="13" t="inlineStr">
        <is>
          <t>Incolor</t>
        </is>
      </c>
      <c r="G714" s="8" t="n">
        <v>0.25</v>
      </c>
      <c r="H714" s="13" t="inlineStr">
        <is>
          <t>Fourth Edition</t>
        </is>
      </c>
      <c r="I714" s="13" t="inlineStr">
        <is>
          <t>Não</t>
        </is>
      </c>
      <c r="J714" s="13" t="n">
        <v>1995</v>
      </c>
      <c r="K714" s="10" t="n">
        <v>46143</v>
      </c>
      <c r="L714" s="13" t="n">
        <v>1</v>
      </c>
      <c r="M714" s="8">
        <f>L714*G714</f>
        <v/>
      </c>
      <c r="P714" s="9" t="n"/>
    </row>
    <row r="715">
      <c r="A715" s="13" t="inlineStr">
        <is>
          <t>Dancing Scimitar / Cimitarra Dançante</t>
        </is>
      </c>
      <c r="B715" s="13" t="inlineStr">
        <is>
          <t>Artifact Creature</t>
        </is>
      </c>
      <c r="C715" s="13" t="inlineStr">
        <is>
          <t>Uncommon</t>
        </is>
      </c>
      <c r="D715" s="13" t="inlineStr">
        <is>
          <t>Flying</t>
        </is>
      </c>
      <c r="E715" s="13" t="inlineStr">
        <is>
          <t>{4}</t>
        </is>
      </c>
      <c r="F715" s="13" t="inlineStr">
        <is>
          <t>Incolor</t>
        </is>
      </c>
      <c r="G715" s="8" t="n">
        <v>2.99</v>
      </c>
      <c r="H715" s="13" t="inlineStr">
        <is>
          <t>Mirage (MIR)</t>
        </is>
      </c>
      <c r="I715" s="13" t="inlineStr">
        <is>
          <t>Não</t>
        </is>
      </c>
      <c r="J715" s="13" t="n">
        <v>1996</v>
      </c>
      <c r="K715" s="10" t="n">
        <v>46143</v>
      </c>
      <c r="L715" s="13" t="n">
        <v>3</v>
      </c>
      <c r="M715" s="8">
        <f>L715*G715</f>
        <v/>
      </c>
      <c r="P715" s="9" t="n"/>
    </row>
    <row r="716">
      <c r="A716" s="13" t="inlineStr">
        <is>
          <t>Dancing Scimitar / Cimitarra Dançante</t>
        </is>
      </c>
      <c r="B716" s="13" t="inlineStr">
        <is>
          <t>Artifact Creature — Spirit / Criatura Artefato — Espírito</t>
        </is>
      </c>
      <c r="C716" s="13" t="inlineStr">
        <is>
          <t>Rare / Rara</t>
        </is>
      </c>
      <c r="D716" s="13" t="inlineStr">
        <is>
          <t>Flying (This creature can't be blocked except by creatures with flying or reach.) / Voar (Esta criatura só pode ser bloqueada por criaturas com a habilidade de voar.)</t>
        </is>
      </c>
      <c r="E716" s="13" t="inlineStr">
        <is>
          <t>{4}</t>
        </is>
      </c>
      <c r="F716" s="13" t="inlineStr">
        <is>
          <t>Incolor</t>
        </is>
      </c>
      <c r="G716" s="8" t="n">
        <v>2.99</v>
      </c>
      <c r="H716" s="13" t="inlineStr">
        <is>
          <t>Revised Edition</t>
        </is>
      </c>
      <c r="I716" s="13" t="inlineStr">
        <is>
          <t>Não</t>
        </is>
      </c>
      <c r="J716" s="13" t="n">
        <v>1994</v>
      </c>
      <c r="K716" s="10" t="n">
        <v>46143</v>
      </c>
      <c r="L716" s="13" t="n">
        <v>1</v>
      </c>
      <c r="M716" s="8">
        <f>L716*G716</f>
        <v/>
      </c>
      <c r="P716" s="9" t="n"/>
    </row>
    <row r="717">
      <c r="A717" s="13" t="inlineStr">
        <is>
          <t>Dangerous Wager / Aposta Arriscada</t>
        </is>
      </c>
      <c r="B717" s="13" t="inlineStr">
        <is>
          <t>Instant / Mágica Instantânea</t>
        </is>
      </c>
      <c r="C717" s="13" t="inlineStr">
        <is>
          <t>Common / Comum</t>
        </is>
      </c>
      <c r="D717" s="13" t="inlineStr">
        <is>
          <t>Discard your hand, then draw two cards. / Descarte sua mão e depois compre dois cards.</t>
        </is>
      </c>
      <c r="E717" s="13" t="inlineStr">
        <is>
          <t>{1}{R}</t>
        </is>
      </c>
      <c r="F717" s="13" t="inlineStr">
        <is>
          <t>Vermelho</t>
        </is>
      </c>
      <c r="G717" s="8" t="n">
        <v>0.05</v>
      </c>
      <c r="H717" s="13" t="inlineStr">
        <is>
          <t>Avacyn Restored (AVR)</t>
        </is>
      </c>
      <c r="I717" s="13" t="inlineStr">
        <is>
          <t>Não</t>
        </is>
      </c>
      <c r="J717" s="13" t="n">
        <v>2012</v>
      </c>
      <c r="L717" s="13" t="n">
        <v>1</v>
      </c>
      <c r="M717" s="8">
        <f>L717*G717</f>
        <v/>
      </c>
      <c r="P717" s="9" t="n"/>
    </row>
    <row r="718">
      <c r="A718" s="13" t="inlineStr">
        <is>
          <t>Daring Demolition / Demolição Ousada</t>
        </is>
      </c>
      <c r="B718" s="13" t="inlineStr">
        <is>
          <t>Sorcery / Feitiço</t>
        </is>
      </c>
      <c r="C718" s="13" t="inlineStr">
        <is>
          <t>Common / Comum</t>
        </is>
      </c>
      <c r="D718" s="13" t="inlineStr">
        <is>
          <t>Destroy target creature or Vehicle. / Destrua a criatura ou o Veículo alvo.</t>
        </is>
      </c>
      <c r="E718" s="13" t="inlineStr">
        <is>
          <t>{2}{B}{B}</t>
        </is>
      </c>
      <c r="F718" s="13" t="inlineStr">
        <is>
          <t>Preto</t>
        </is>
      </c>
      <c r="G718" s="8" t="n">
        <v>0.03</v>
      </c>
      <c r="H718" s="13" t="inlineStr">
        <is>
          <t>Aether Revolt (AER)</t>
        </is>
      </c>
      <c r="I718" s="13" t="inlineStr">
        <is>
          <t>Não</t>
        </is>
      </c>
      <c r="J718" s="13" t="n">
        <v>2017</v>
      </c>
      <c r="L718" s="13" t="n">
        <v>1</v>
      </c>
      <c r="M718" s="8">
        <f>L718*G718</f>
        <v/>
      </c>
      <c r="P718" s="9" t="n"/>
    </row>
    <row r="719">
      <c r="A719" s="13" t="inlineStr">
        <is>
          <t>Dark Banishing / Banimento Sombrio</t>
        </is>
      </c>
      <c r="B719" s="13" t="inlineStr">
        <is>
          <t>Instant / Mágica Instantânea</t>
        </is>
      </c>
      <c r="C719" s="13" t="inlineStr">
        <is>
          <t>Common / Comum</t>
        </is>
      </c>
      <c r="D719" s="13" t="inlineStr">
        <is>
          <t>Destroy target nonblack creature. It can't be regenerated. / Destrói a criatura alvo que não seja preta. Ela não pode ser regenerada.</t>
        </is>
      </c>
      <c r="E719" s="13" t="inlineStr">
        <is>
          <t>{2}{B}</t>
        </is>
      </c>
      <c r="F719" s="13" t="inlineStr">
        <is>
          <t>Preto</t>
        </is>
      </c>
      <c r="G719" s="8" t="n">
        <v>0.05</v>
      </c>
      <c r="H719" s="13" t="inlineStr">
        <is>
          <t>Ice Age (ICE)</t>
        </is>
      </c>
      <c r="I719" s="13" t="inlineStr">
        <is>
          <t>Não</t>
        </is>
      </c>
      <c r="J719" s="13" t="n">
        <v>1995</v>
      </c>
      <c r="L719" s="13" t="n">
        <v>3</v>
      </c>
      <c r="M719" s="8">
        <f>L719*G719</f>
        <v/>
      </c>
      <c r="P719" s="9" t="n"/>
    </row>
    <row r="720">
      <c r="A720" s="13" t="inlineStr">
        <is>
          <t>Dark Endurance / Resistência Sombria</t>
        </is>
      </c>
      <c r="B720" s="13" t="inlineStr">
        <is>
          <t>Mágica Instantânea</t>
        </is>
      </c>
      <c r="C720" s="13" t="inlineStr">
        <is>
          <t>Comum</t>
        </is>
      </c>
      <c r="D720" s="13" t="inlineStr">
        <is>
          <t>Esta mágica custa {1} a menos para ser conjurada se tiver como alvo uma criatura bloqueadora. A criatura alvo recebe +2/+0 e ganha indestrutível até o final do turno. (O dano e os efeitos que dizem "destrua" não a destroem.)</t>
        </is>
      </c>
      <c r="E720" s="13" t="inlineStr">
        <is>
          <t>1{B}</t>
        </is>
      </c>
      <c r="F720" s="13" t="inlineStr">
        <is>
          <t>Preto</t>
        </is>
      </c>
      <c r="G720" s="8" t="n">
        <v>0.05</v>
      </c>
      <c r="H720" s="13" t="inlineStr">
        <is>
          <t>Edge of Eternity</t>
        </is>
      </c>
      <c r="I720" s="13" t="inlineStr">
        <is>
          <t>Não</t>
        </is>
      </c>
      <c r="J720" s="13" t="n">
        <v>2025</v>
      </c>
      <c r="L720" s="13" t="n">
        <v>1</v>
      </c>
      <c r="M720" s="8">
        <f>L720*G720</f>
        <v/>
      </c>
      <c r="P720" s="9" t="n"/>
    </row>
    <row r="721">
      <c r="A721" s="13" t="inlineStr">
        <is>
          <t>Dark Inquiry / Interrogatório Sombrio</t>
        </is>
      </c>
      <c r="B721" s="13" t="inlineStr">
        <is>
          <t>Sorcery / Feitiço</t>
        </is>
      </c>
      <c r="C721" s="13" t="inlineStr">
        <is>
          <t>Common / Comum</t>
        </is>
      </c>
      <c r="D721" s="13" t="inlineStr">
        <is>
          <t>Target opponent reveals their hand. You choose a nonland card from it. That player discards that card. / O oponente alvo revela a própria mão. Você escolhe um card que não seja um terreno da mão dele. Aquele jogador descarta aquele card.</t>
        </is>
      </c>
      <c r="E721" s="13" t="inlineStr">
        <is>
          <t>{2}{B}</t>
        </is>
      </c>
      <c r="F721" s="13" t="inlineStr">
        <is>
          <t>Preto</t>
        </is>
      </c>
      <c r="G721" s="8" t="n">
        <v>0.03</v>
      </c>
      <c r="H721" s="13" t="inlineStr">
        <is>
          <t>Rivals of Ixalan (RIX)</t>
        </is>
      </c>
      <c r="I721" s="13" t="inlineStr">
        <is>
          <t>Não</t>
        </is>
      </c>
      <c r="J721" s="13" t="n">
        <v>2018</v>
      </c>
      <c r="L721" s="13" t="n">
        <v>1</v>
      </c>
      <c r="M721" s="8">
        <f>L721*G721</f>
        <v/>
      </c>
      <c r="P721" s="9" t="n"/>
    </row>
    <row r="722">
      <c r="A722" s="13" t="inlineStr">
        <is>
          <t>Darksteel Pendant / Pingente de Aço Negro</t>
        </is>
      </c>
      <c r="B722" s="13" t="inlineStr">
        <is>
          <t>Artifact / Artefato</t>
        </is>
      </c>
      <c r="C722" s="13" t="inlineStr">
        <is>
          <t>Common / Comum</t>
        </is>
      </c>
      <c r="D722" s="13"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722" s="13" t="inlineStr">
        <is>
          <t>{2}</t>
        </is>
      </c>
      <c r="F722" s="13" t="inlineStr">
        <is>
          <t>Incolor</t>
        </is>
      </c>
      <c r="G722" s="8" t="n">
        <v>0.2</v>
      </c>
      <c r="H722" s="13" t="inlineStr">
        <is>
          <t>Darksteel</t>
        </is>
      </c>
      <c r="I722" s="13" t="inlineStr">
        <is>
          <t>No</t>
        </is>
      </c>
      <c r="J722" s="13" t="n">
        <v>2004</v>
      </c>
      <c r="L722" s="13" t="n">
        <v>1</v>
      </c>
      <c r="M722" s="8">
        <f>L722*G722</f>
        <v/>
      </c>
      <c r="P722" s="9" t="n"/>
    </row>
    <row r="723">
      <c r="A723" s="13" t="inlineStr">
        <is>
          <t>Darling of the Masses / Queridinha das Massas</t>
        </is>
      </c>
      <c r="B723" s="13" t="inlineStr">
        <is>
          <t>Creature — Elf Citizen / Criatura — Elfo Cidadão</t>
        </is>
      </c>
      <c r="C723" s="13" t="inlineStr">
        <is>
          <t>Uncommon / Incomum</t>
        </is>
      </c>
      <c r="D723" s="13"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723" s="13" t="inlineStr">
        <is>
          <t>{2}{G}{W}</t>
        </is>
      </c>
      <c r="F723" s="13" t="inlineStr">
        <is>
          <t>Verde, Branco</t>
        </is>
      </c>
      <c r="G723" s="8" t="n">
        <v>0.12</v>
      </c>
      <c r="H723" s="13" t="inlineStr">
        <is>
          <t>Streets of New Capenna (SNC)</t>
        </is>
      </c>
      <c r="I723" s="13" t="inlineStr">
        <is>
          <t>Não</t>
        </is>
      </c>
      <c r="J723" s="13" t="n">
        <v>2022</v>
      </c>
      <c r="K723" s="10" t="n">
        <v>46114</v>
      </c>
      <c r="L723" s="13" t="n">
        <v>1</v>
      </c>
      <c r="M723" s="8">
        <f>L723*G723</f>
        <v/>
      </c>
      <c r="P723" s="9" t="n"/>
    </row>
    <row r="724">
      <c r="A724" s="13" t="inlineStr">
        <is>
          <t>Dauntless Onslaught / Embestida Intrépida</t>
        </is>
      </c>
      <c r="B724" s="13" t="inlineStr">
        <is>
          <t>Mágica Instantânea</t>
        </is>
      </c>
      <c r="C724" s="13" t="inlineStr">
        <is>
          <t>Incomum</t>
        </is>
      </c>
      <c r="D724" s="13" t="inlineStr">
        <is>
          <t>Até duas criaturas alvo recebem +2/+2 até o final do turno.</t>
        </is>
      </c>
      <c r="E724" s="13" t="inlineStr">
        <is>
          <t>2W</t>
        </is>
      </c>
      <c r="F724" s="13" t="inlineStr">
        <is>
          <t>Branco</t>
        </is>
      </c>
      <c r="G724" s="8" t="n">
        <v>0.06</v>
      </c>
      <c r="H724" s="13" t="inlineStr">
        <is>
          <t>Duel Decks: Speed vs. Cunning</t>
        </is>
      </c>
      <c r="I724" s="13" t="inlineStr">
        <is>
          <t>Não</t>
        </is>
      </c>
      <c r="J724" s="13" t="n">
        <v>2014</v>
      </c>
      <c r="L724" s="13" t="n">
        <v>1</v>
      </c>
      <c r="M724" s="8">
        <f>L724*G724</f>
        <v/>
      </c>
      <c r="P724" s="9" t="n"/>
    </row>
    <row r="725">
      <c r="A725" s="13" t="inlineStr">
        <is>
          <t>Dawn Charm / Medalhão da Aurora</t>
        </is>
      </c>
      <c r="B725" s="13" t="inlineStr">
        <is>
          <t>Instant / Mágica Instantânea</t>
        </is>
      </c>
      <c r="C725" s="13" t="inlineStr">
        <is>
          <t>Common / Comum</t>
        </is>
      </c>
      <c r="D725" s="13"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725" s="13" t="inlineStr">
        <is>
          <t>{1}{W}</t>
        </is>
      </c>
      <c r="F725" s="13" t="inlineStr">
        <is>
          <t>Branco</t>
        </is>
      </c>
      <c r="G725" s="8" t="n">
        <v>2.84</v>
      </c>
      <c r="H725" s="13" t="inlineStr">
        <is>
          <t>Planar Chaos (PLC)</t>
        </is>
      </c>
      <c r="I725" s="13" t="inlineStr">
        <is>
          <t>Não</t>
        </is>
      </c>
      <c r="J725" s="13" t="n">
        <v>2007</v>
      </c>
      <c r="L725" s="13" t="n">
        <v>1</v>
      </c>
      <c r="M725" s="8">
        <f>L725*G725</f>
        <v/>
      </c>
      <c r="P725" s="9" t="n"/>
    </row>
    <row r="726">
      <c r="A726" s="13" t="inlineStr">
        <is>
          <t>Dawn-Blessed Pennant</t>
        </is>
      </c>
      <c r="B726" s="13" t="inlineStr">
        <is>
          <t>Artifact</t>
        </is>
      </c>
      <c r="C726" s="13" t="inlineStr">
        <is>
          <t>Uncommon / Incomum</t>
        </is>
      </c>
      <c r="D726" s="13"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726" s="13" t="inlineStr">
        <is>
          <t>{1}</t>
        </is>
      </c>
      <c r="F726" s="13" t="inlineStr">
        <is>
          <t>Incolor</t>
        </is>
      </c>
      <c r="G726" s="8" t="n">
        <v>0.23</v>
      </c>
      <c r="H726" s="13" t="inlineStr">
        <is>
          <t>Lorwyn Eclipsed (ECL)</t>
        </is>
      </c>
      <c r="I726" s="13" t="inlineStr">
        <is>
          <t>Não</t>
        </is>
      </c>
      <c r="J726" s="13" t="n">
        <v>2026</v>
      </c>
      <c r="L726" s="13" t="n">
        <v>1</v>
      </c>
      <c r="M726" s="8">
        <f>L726*G726</f>
        <v/>
      </c>
      <c r="P726" s="9" t="n"/>
    </row>
    <row r="727">
      <c r="A727" s="13" t="inlineStr">
        <is>
          <t>Dawn's Light Archer</t>
        </is>
      </c>
      <c r="B727" s="13" t="inlineStr">
        <is>
          <t>Creature — Elf Archer</t>
        </is>
      </c>
      <c r="C727" s="13" t="inlineStr">
        <is>
          <t>Common</t>
        </is>
      </c>
      <c r="D727" s="13" t="inlineStr">
        <is>
          <t>Flash. Reach.</t>
        </is>
      </c>
      <c r="E727" s="13" t="inlineStr">
        <is>
          <t>{2}{G}</t>
        </is>
      </c>
      <c r="F727" s="13" t="inlineStr">
        <is>
          <t>Verde</t>
        </is>
      </c>
      <c r="G727" s="8" t="n">
        <v>0.1</v>
      </c>
      <c r="H727" s="13" t="inlineStr">
        <is>
          <t>Lorwyn Eclipsed (ECL)</t>
        </is>
      </c>
      <c r="I727" s="13" t="inlineStr">
        <is>
          <t>Não</t>
        </is>
      </c>
      <c r="J727" s="13" t="n">
        <v>2026</v>
      </c>
      <c r="K727" s="10" t="n">
        <v>46057</v>
      </c>
      <c r="L727" s="13" t="n">
        <v>1</v>
      </c>
      <c r="M727" s="8">
        <f>L727*G727</f>
        <v/>
      </c>
      <c r="P727" s="9" t="n"/>
    </row>
    <row r="728">
      <c r="A728" s="13" t="inlineStr">
        <is>
          <t>Dawnbringer Cleric / Clérigo Arauto da Aurora</t>
        </is>
      </c>
      <c r="B728" s="13" t="inlineStr">
        <is>
          <t>Creature — Human Cleric / Criatura — Humano Clérigo</t>
        </is>
      </c>
      <c r="C728" s="13" t="inlineStr">
        <is>
          <t>Common / Comum</t>
        </is>
      </c>
      <c r="D728" s="13"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728" s="13" t="inlineStr">
        <is>
          <t>{1}{W}</t>
        </is>
      </c>
      <c r="F728" s="13" t="inlineStr">
        <is>
          <t>Branco</t>
        </is>
      </c>
      <c r="G728" s="8" t="n">
        <v>0.32</v>
      </c>
      <c r="H728" s="13" t="inlineStr">
        <is>
          <t>Adventures in the Forgotten Realms (AFR)</t>
        </is>
      </c>
      <c r="I728" s="13" t="inlineStr">
        <is>
          <t>Não</t>
        </is>
      </c>
      <c r="J728" s="13" t="n">
        <v>2021</v>
      </c>
      <c r="K728" s="10" t="n">
        <v>46082</v>
      </c>
      <c r="L728" s="13" t="n">
        <v>1</v>
      </c>
      <c r="M728" s="8">
        <f>L728*G728</f>
        <v/>
      </c>
      <c r="P728" s="9" t="n"/>
    </row>
    <row r="729">
      <c r="A729" s="13" t="inlineStr">
        <is>
          <t>Dawnbringer Cleric / Clérigo Arauto da Aurora</t>
        </is>
      </c>
      <c r="B729" s="13" t="inlineStr">
        <is>
          <t>Creature — Human Cleric / Criatura — Humano Clérigo</t>
        </is>
      </c>
      <c r="C729" s="13" t="inlineStr">
        <is>
          <t>Common / Comum</t>
        </is>
      </c>
      <c r="D729" s="13"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729" s="13" t="inlineStr">
        <is>
          <t>{1}{W}</t>
        </is>
      </c>
      <c r="F729" s="13" t="inlineStr">
        <is>
          <t>Branco</t>
        </is>
      </c>
      <c r="G729" s="8" t="n">
        <v>0.49</v>
      </c>
      <c r="H729" s="13" t="inlineStr">
        <is>
          <t>Commander Legends: Battle for Baldur's Gate (CLB)</t>
        </is>
      </c>
      <c r="I729" s="13" t="inlineStr">
        <is>
          <t>Não</t>
        </is>
      </c>
      <c r="J729" s="13" t="n">
        <v>2022</v>
      </c>
      <c r="K729" s="10" t="n">
        <v>46082</v>
      </c>
      <c r="L729" s="13" t="n">
        <v>2</v>
      </c>
      <c r="M729" s="8">
        <f>L729*G729</f>
        <v/>
      </c>
      <c r="P729" s="9" t="n"/>
    </row>
    <row r="730">
      <c r="A730" s="13" t="inlineStr">
        <is>
          <t>Dawnhand Eulogist</t>
        </is>
      </c>
      <c r="B730" s="13" t="inlineStr">
        <is>
          <t>Creature — Elf Warlock</t>
        </is>
      </c>
      <c r="C730" s="13" t="inlineStr">
        <is>
          <t>Common</t>
        </is>
      </c>
      <c r="D730" s="13" t="inlineStr">
        <is>
          <t>Menace. When this creature enters, mill three cards. Then if there is an Elf card in your graveyard, each opponent loses 2 life and you gain 2 life.</t>
        </is>
      </c>
      <c r="E730" s="13" t="inlineStr">
        <is>
          <t>{3}{B}</t>
        </is>
      </c>
      <c r="F730" s="13" t="inlineStr">
        <is>
          <t>Preto</t>
        </is>
      </c>
      <c r="G730" s="8" t="n">
        <v>0.09</v>
      </c>
      <c r="H730" s="13" t="inlineStr">
        <is>
          <t>Lorwyn Eclipsed (ECL)</t>
        </is>
      </c>
      <c r="I730" s="13" t="inlineStr">
        <is>
          <t>Não</t>
        </is>
      </c>
      <c r="J730" s="13" t="n">
        <v>2026</v>
      </c>
      <c r="K730" s="10" t="n">
        <v>46084</v>
      </c>
      <c r="L730" s="13" t="n">
        <v>1</v>
      </c>
      <c r="M730" s="8">
        <f>L730*G730</f>
        <v/>
      </c>
      <c r="P730" s="9" t="n"/>
    </row>
    <row r="731">
      <c r="A731" s="13" t="inlineStr">
        <is>
          <t>Dawnhand Eulogist</t>
        </is>
      </c>
      <c r="B731" s="13" t="inlineStr">
        <is>
          <t>Creature — Elf Warlock</t>
        </is>
      </c>
      <c r="C731" s="13" t="inlineStr">
        <is>
          <t>Common</t>
        </is>
      </c>
      <c r="D731" s="13" t="inlineStr">
        <is>
          <t>Menace. When this creature enters, mill three cards. Then if there is an Elf card in your graveyard, each opponent loses 2 life and you gain 2 life.</t>
        </is>
      </c>
      <c r="E731" s="13" t="inlineStr">
        <is>
          <t>{3}{B}</t>
        </is>
      </c>
      <c r="F731" s="13" t="inlineStr">
        <is>
          <t>Preto</t>
        </is>
      </c>
      <c r="G731" s="8" t="n">
        <v>0.14</v>
      </c>
      <c r="H731" s="13" t="inlineStr">
        <is>
          <t>Lorwyn Eclipsed (ECL)</t>
        </is>
      </c>
      <c r="I731" s="13" t="inlineStr">
        <is>
          <t>Sim</t>
        </is>
      </c>
      <c r="J731" s="13" t="n">
        <v>2026</v>
      </c>
      <c r="K731" s="10" t="n">
        <v>46084</v>
      </c>
      <c r="L731" s="13" t="n">
        <v>2</v>
      </c>
      <c r="M731" s="8">
        <f>L731*G731</f>
        <v/>
      </c>
      <c r="P731" s="9" t="n"/>
    </row>
    <row r="732">
      <c r="A732" s="13" t="inlineStr">
        <is>
          <t>Dawnhart Disciple / Discípula Cervo da Aurora</t>
        </is>
      </c>
      <c r="B732" s="13" t="inlineStr">
        <is>
          <t>Creature — Human Warlock / Criatura — Humano Bruxo</t>
        </is>
      </c>
      <c r="C732" s="13" t="inlineStr">
        <is>
          <t>Common / Comum</t>
        </is>
      </c>
      <c r="D732" s="13" t="inlineStr">
        <is>
          <t>Whenever another Human you control enters, this creature gets +1/+1 until end of turn. / Toda vez que outro Humano entra no campo de batalha sob seu controle, Discípula Cervo da Aurora recebe +1/+1 até o final do turno.</t>
        </is>
      </c>
      <c r="E732" s="13" t="inlineStr">
        <is>
          <t>{1}{G}</t>
        </is>
      </c>
      <c r="F732" s="13" t="inlineStr">
        <is>
          <t>Verde</t>
        </is>
      </c>
      <c r="G732" s="8" t="n">
        <v>0.09</v>
      </c>
      <c r="H732" s="13" t="inlineStr">
        <is>
          <t>Innistrad: Crimson Vow (VOW)</t>
        </is>
      </c>
      <c r="I732" s="13" t="inlineStr">
        <is>
          <t>Não</t>
        </is>
      </c>
      <c r="J732" s="13" t="n">
        <v>2021</v>
      </c>
      <c r="K732" s="10" t="n">
        <v>46055</v>
      </c>
      <c r="L732" s="13" t="n">
        <v>1</v>
      </c>
      <c r="M732" s="8">
        <f>L732*G732</f>
        <v/>
      </c>
      <c r="P732" s="9" t="n"/>
    </row>
    <row r="733">
      <c r="A733" s="13" t="inlineStr">
        <is>
          <t>Dawnhart Rejuvenator / Rejuvenescedora Cervo da Aurora</t>
        </is>
      </c>
      <c r="B733" s="13" t="inlineStr">
        <is>
          <t>Creature — Human Warlock / Criatura — Humano Bruxo</t>
        </is>
      </c>
      <c r="C733" s="13" t="inlineStr">
        <is>
          <t>Common / Comum</t>
        </is>
      </c>
      <c r="D733" s="13" t="inlineStr">
        <is>
          <t>When Dawnhart Rejuvenator enters the battlefield, you gain 3 life. {T}: Add one mana of any color. / Quando Rejuvenescedora Cervo da Aurora entrar no campo de batalha, você ganha 3 pontos de vida. {T}: Adicione um mana de qualquer cor.</t>
        </is>
      </c>
      <c r="E733" s="13" t="inlineStr">
        <is>
          <t>{3}{G}</t>
        </is>
      </c>
      <c r="F733" s="13" t="inlineStr">
        <is>
          <t>Verde</t>
        </is>
      </c>
      <c r="G733" s="8" t="n">
        <v>0.08</v>
      </c>
      <c r="H733" s="13" t="inlineStr">
        <is>
          <t>Innistrad: Midnight Hunt (MID)</t>
        </is>
      </c>
      <c r="I733" s="13" t="inlineStr">
        <is>
          <t>Não</t>
        </is>
      </c>
      <c r="J733" s="13" t="n">
        <v>2021</v>
      </c>
      <c r="K733" s="10" t="n">
        <v>46114</v>
      </c>
      <c r="L733" s="13" t="n">
        <v>1</v>
      </c>
      <c r="M733" s="8">
        <f>L733*G733</f>
        <v/>
      </c>
      <c r="P733" s="9" t="n"/>
    </row>
    <row r="734">
      <c r="A734" s="13" t="inlineStr">
        <is>
          <t>Dawnstrike Paladin / Paladino da Aurora</t>
        </is>
      </c>
      <c r="B734" s="13" t="inlineStr">
        <is>
          <t>Creature — Human Knight / Criatura — Humano Cavaleiro</t>
        </is>
      </c>
      <c r="C734" s="13" t="inlineStr">
        <is>
          <t>Common / Comum</t>
        </is>
      </c>
      <c r="D734" s="13"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734" s="13" t="inlineStr">
        <is>
          <t>{3}{W}{W}</t>
        </is>
      </c>
      <c r="F734" s="13" t="inlineStr">
        <is>
          <t>Branco</t>
        </is>
      </c>
      <c r="G734" s="8" t="n">
        <v>0.06</v>
      </c>
      <c r="H734" s="13" t="inlineStr">
        <is>
          <t>Magic 2014 (M14)</t>
        </is>
      </c>
      <c r="I734" s="13" t="inlineStr">
        <is>
          <t>Não</t>
        </is>
      </c>
      <c r="J734" s="13" t="n">
        <v>2013</v>
      </c>
      <c r="K734" s="10" t="n">
        <v>46114</v>
      </c>
      <c r="L734" s="13" t="n">
        <v>1</v>
      </c>
      <c r="M734" s="8">
        <f>L734*G734</f>
        <v/>
      </c>
      <c r="P734" s="9" t="n"/>
    </row>
    <row r="735">
      <c r="A735" s="13" t="inlineStr">
        <is>
          <t>De Volta da Extinção / Return from Extinction</t>
        </is>
      </c>
      <c r="B735" s="13" t="inlineStr">
        <is>
          <t>Feitiço / Sorcery</t>
        </is>
      </c>
      <c r="C735" s="13" t="inlineStr">
        <is>
          <t>Comum / Common</t>
        </is>
      </c>
      <c r="D735" s="13"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735" s="13" t="inlineStr">
        <is>
          <t>{1}{B}</t>
        </is>
      </c>
      <c r="F735" s="13" t="inlineStr">
        <is>
          <t>Preto / Black</t>
        </is>
      </c>
      <c r="G735" s="8" t="n">
        <v>0.09</v>
      </c>
      <c r="H735" s="13" t="inlineStr">
        <is>
          <t>Modern Horizons (MH1)</t>
        </is>
      </c>
      <c r="I735" s="13" t="inlineStr">
        <is>
          <t>Não</t>
        </is>
      </c>
      <c r="J735" s="13" t="n">
        <v>2019</v>
      </c>
      <c r="L735" s="13" t="n">
        <v>4</v>
      </c>
      <c r="M735" s="8">
        <f>L735*G735</f>
        <v/>
      </c>
      <c r="P735" s="9" t="n"/>
    </row>
    <row r="736">
      <c r="A736" s="13" t="inlineStr">
        <is>
          <t>Dead Weight / Peso Morto</t>
        </is>
      </c>
      <c r="B736" s="13" t="inlineStr">
        <is>
          <t>Enchantment — Aura / Encantamento — Aura</t>
        </is>
      </c>
      <c r="C736" s="13" t="inlineStr">
        <is>
          <t>Common / Comum</t>
        </is>
      </c>
      <c r="D736" s="13" t="inlineStr">
        <is>
          <t>Enchant creature Enchanted creature gets -2/-2. / Encantar criatura A criatura encantada recebe -2/-2.</t>
        </is>
      </c>
      <c r="E736" s="13" t="inlineStr">
        <is>
          <t>{B}</t>
        </is>
      </c>
      <c r="F736" s="13" t="inlineStr">
        <is>
          <t>Preto</t>
        </is>
      </c>
      <c r="G736" s="8" t="n">
        <v>0.09</v>
      </c>
      <c r="H736" s="13" t="inlineStr">
        <is>
          <t>The Lost Caverns of Ixalan (LCI)</t>
        </is>
      </c>
      <c r="I736" s="13" t="inlineStr">
        <is>
          <t>Não</t>
        </is>
      </c>
      <c r="J736" s="13" t="n">
        <v>2023</v>
      </c>
      <c r="L736" s="13" t="n">
        <v>1</v>
      </c>
      <c r="M736" s="8">
        <f>L736*G736</f>
        <v/>
      </c>
      <c r="P736" s="9" t="n"/>
    </row>
    <row r="737">
      <c r="A737" s="13" t="inlineStr">
        <is>
          <t>Deadeye Duelist / Duelista Tirocerto</t>
        </is>
      </c>
      <c r="B737" s="13" t="inlineStr">
        <is>
          <t>Creature — Human Assassin / Criatura — Humano Assassino</t>
        </is>
      </c>
      <c r="C737" s="13" t="inlineStr">
        <is>
          <t>Common / Comum</t>
        </is>
      </c>
      <c r="D737" s="13" t="inlineStr">
        <is>
          <t>Reach {1}, {T}: This creature deals 1 damage to target opponent. / Alcance {1}, {T}: Duelista Tirocerto causa 1 ponto de dano ao oponente alvo.</t>
        </is>
      </c>
      <c r="E737" s="13" t="inlineStr">
        <is>
          <t>{1}{R}</t>
        </is>
      </c>
      <c r="F737" s="13" t="inlineStr">
        <is>
          <t>Vermelho</t>
        </is>
      </c>
      <c r="G737" s="8" t="n">
        <v>0.08</v>
      </c>
      <c r="H737" s="13" t="inlineStr">
        <is>
          <t>Outlaws of Thunder Junction (OTJ)</t>
        </is>
      </c>
      <c r="I737" s="13" t="inlineStr">
        <is>
          <t>Não</t>
        </is>
      </c>
      <c r="J737" s="13" t="n">
        <v>2024</v>
      </c>
      <c r="K737" s="10" t="n">
        <v>46082</v>
      </c>
      <c r="L737" s="13" t="n">
        <v>1</v>
      </c>
      <c r="M737" s="8">
        <f>L737*G737</f>
        <v/>
      </c>
      <c r="P737" s="9" t="n"/>
    </row>
    <row r="738">
      <c r="A738" s="13" t="inlineStr">
        <is>
          <t>Deadhead</t>
        </is>
      </c>
      <c r="B738" s="13" t="inlineStr">
        <is>
          <t>Summon Zombie</t>
        </is>
      </c>
      <c r="C738" s="13" t="inlineStr">
        <is>
          <t>Rare</t>
        </is>
      </c>
      <c r="D738" s="13" t="inlineStr">
        <is>
          <t>Put Deadhead into play. Use this ability only if any opponent loses contact with his or her hand of cards and only if Deadhead is in your graveyard.</t>
        </is>
      </c>
      <c r="E738" s="13" t="inlineStr">
        <is>
          <t>{3}{B}</t>
        </is>
      </c>
      <c r="F738" s="13" t="inlineStr">
        <is>
          <t>Preto</t>
        </is>
      </c>
      <c r="G738" s="8" t="n">
        <v>0.25</v>
      </c>
      <c r="H738" s="13" t="inlineStr">
        <is>
          <t>Unglued (UGL)</t>
        </is>
      </c>
      <c r="I738" s="13" t="inlineStr">
        <is>
          <t>No</t>
        </is>
      </c>
      <c r="J738" s="13" t="n">
        <v>1998</v>
      </c>
      <c r="K738" s="10" t="n">
        <v>46084</v>
      </c>
      <c r="L738" s="13" t="n">
        <v>2</v>
      </c>
      <c r="M738" s="8">
        <f>L738*G738</f>
        <v/>
      </c>
      <c r="P738" s="9" t="n"/>
    </row>
    <row r="739">
      <c r="A739" s="13" t="inlineStr">
        <is>
          <t>Deadly Precision</t>
        </is>
      </c>
      <c r="B739" s="13" t="inlineStr">
        <is>
          <t>Sorcery</t>
        </is>
      </c>
      <c r="C739" s="13" t="inlineStr">
        <is>
          <t>Common / Comum</t>
        </is>
      </c>
      <c r="D739" s="13" t="inlineStr">
        <is>
          <t>As an additional cost to cast this spell, pay {4} or sacrifice an artifact or creature. Destroy target creature.</t>
        </is>
      </c>
      <c r="E739" s="13" t="inlineStr">
        <is>
          <t>{B}</t>
        </is>
      </c>
      <c r="F739" s="13" t="inlineStr">
        <is>
          <t>Preto</t>
        </is>
      </c>
      <c r="G739" s="8" t="n">
        <v>0.06</v>
      </c>
      <c r="H739" s="13" t="inlineStr">
        <is>
          <t>Avatar: The Last Airbender (TLA)</t>
        </is>
      </c>
      <c r="I739" s="13" t="inlineStr">
        <is>
          <t>Não</t>
        </is>
      </c>
      <c r="J739" s="13" t="n">
        <v>2025</v>
      </c>
      <c r="L739" s="13" t="n">
        <v>2</v>
      </c>
      <c r="M739" s="8">
        <f>L739*G739</f>
        <v/>
      </c>
      <c r="P739" s="9" t="n"/>
    </row>
    <row r="740">
      <c r="A740" s="13" t="inlineStr">
        <is>
          <t>Death Grasp / Garras da Morte</t>
        </is>
      </c>
      <c r="B740" s="13" t="inlineStr">
        <is>
          <t>Sorcery</t>
        </is>
      </c>
      <c r="C740" s="13" t="inlineStr">
        <is>
          <t>Rare / Rara</t>
        </is>
      </c>
      <c r="D740" s="13" t="inlineStr">
        <is>
          <t>Death Grasp deals X damage to any target. You gain X life.</t>
        </is>
      </c>
      <c r="E740" s="13" t="inlineStr">
        <is>
          <t>{X}{W}{B}</t>
        </is>
      </c>
      <c r="F740" s="13" t="inlineStr">
        <is>
          <t>Preto, Branco</t>
        </is>
      </c>
      <c r="G740" s="8" t="n">
        <v>0.5</v>
      </c>
      <c r="H740" s="13" t="inlineStr">
        <is>
          <t>Quarta Edição</t>
        </is>
      </c>
      <c r="I740" s="13" t="inlineStr">
        <is>
          <t>Não</t>
        </is>
      </c>
      <c r="J740" s="13" t="n">
        <v>1995</v>
      </c>
      <c r="L740" s="13" t="n">
        <v>3</v>
      </c>
      <c r="M740" s="8">
        <f>L740*G740</f>
        <v/>
      </c>
      <c r="P740" s="9" t="n"/>
    </row>
    <row r="741">
      <c r="A741" s="13" t="inlineStr">
        <is>
          <t>Death Grasp / Garras da Morte</t>
        </is>
      </c>
      <c r="B741" s="13" t="inlineStr">
        <is>
          <t>Sorcery</t>
        </is>
      </c>
      <c r="C741" s="13" t="inlineStr">
        <is>
          <t>Rare / Rara</t>
        </is>
      </c>
      <c r="D741" s="13" t="inlineStr">
        <is>
          <t>Death Grasp deals X damage to any target. You gain X life.</t>
        </is>
      </c>
      <c r="E741" s="13" t="inlineStr">
        <is>
          <t>{X}{W}{B}</t>
        </is>
      </c>
      <c r="F741" s="13" t="inlineStr">
        <is>
          <t>Preto, Branco</t>
        </is>
      </c>
      <c r="G741" s="8" t="n">
        <v>0.99</v>
      </c>
      <c r="H741" s="13" t="inlineStr">
        <is>
          <t>Quarta Edição (BB)</t>
        </is>
      </c>
      <c r="I741" s="13" t="inlineStr">
        <is>
          <t>Não</t>
        </is>
      </c>
      <c r="J741" s="13" t="n">
        <v>1995</v>
      </c>
      <c r="L741" s="13" t="n">
        <v>1</v>
      </c>
      <c r="M741" s="8">
        <f>L741*G741</f>
        <v/>
      </c>
      <c r="P741" s="9" t="n"/>
    </row>
    <row r="742">
      <c r="A742" s="13" t="inlineStr">
        <is>
          <t>Death in the Family</t>
        </is>
      </c>
      <c r="B742" s="13" t="inlineStr">
        <is>
          <t>Instant</t>
        </is>
      </c>
      <c r="C742" s="13" t="inlineStr">
        <is>
          <t>Uncommon / Incomum</t>
        </is>
      </c>
      <c r="D742" s="13" t="inlineStr">
        <is>
          <t>Exile target creature with mana value 3 or less.</t>
        </is>
      </c>
      <c r="E742" s="13" t="inlineStr">
        <is>
          <t>{1}{B}</t>
        </is>
      </c>
      <c r="F742" s="13" t="inlineStr">
        <is>
          <t>Preto</t>
        </is>
      </c>
      <c r="G742" s="8" t="n">
        <v>0.2</v>
      </c>
      <c r="H742" s="13" t="inlineStr">
        <is>
          <t>Teenage Mutant Ninja Turtles (TMT)</t>
        </is>
      </c>
      <c r="I742" s="13" t="inlineStr">
        <is>
          <t>Não</t>
        </is>
      </c>
      <c r="J742" s="13" t="n">
        <v>2026</v>
      </c>
      <c r="L742" s="13" t="n">
        <v>1</v>
      </c>
      <c r="M742" s="8">
        <f>L742*G742</f>
        <v/>
      </c>
      <c r="P742" s="9" t="n"/>
    </row>
    <row r="743">
      <c r="A743" s="13" t="inlineStr">
        <is>
          <t>Death-Rattle Oni / Oni dos Estertores</t>
        </is>
      </c>
      <c r="B743" s="13" t="inlineStr">
        <is>
          <t>Creature — Demon Spirit / Criatura — Demônio Espírito</t>
        </is>
      </c>
      <c r="C743" s="13" t="inlineStr">
        <is>
          <t>Uncommon / Incomum</t>
        </is>
      </c>
      <c r="D743" s="13"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743" s="13" t="inlineStr">
        <is>
          <t>{6}{B}</t>
        </is>
      </c>
      <c r="F743" s="13" t="inlineStr">
        <is>
          <t>Preto</t>
        </is>
      </c>
      <c r="G743" s="8" t="n">
        <v>1.5</v>
      </c>
      <c r="H743" s="13" t="inlineStr">
        <is>
          <t>March of the Machine: The Aftermath (MAT)</t>
        </is>
      </c>
      <c r="I743" s="13" t="inlineStr">
        <is>
          <t>Sim</t>
        </is>
      </c>
      <c r="J743" s="13" t="n">
        <v>2023</v>
      </c>
      <c r="K743" s="10" t="n">
        <v>46117</v>
      </c>
      <c r="L743" s="13" t="n">
        <v>1</v>
      </c>
      <c r="M743" s="8">
        <f>L743*G743</f>
        <v/>
      </c>
      <c r="P743" s="9" t="n"/>
    </row>
    <row r="744">
      <c r="A744" s="13" t="inlineStr">
        <is>
          <t>Death's Caress / Carícia da Morte</t>
        </is>
      </c>
      <c r="B744" s="13" t="inlineStr">
        <is>
          <t>Sorcery / Feitiço</t>
        </is>
      </c>
      <c r="C744" s="13" t="inlineStr">
        <is>
          <t>Common / Comum</t>
        </is>
      </c>
      <c r="D744" s="13" t="inlineStr">
        <is>
          <t>Destroy target creature. If that creature was a Human, you gain life equal to its toughness. / Destrua a criatura alvo. Se aquela criatura era um Humano, você ganha uma quantidade de pontos de vida igual a sua resistência.</t>
        </is>
      </c>
      <c r="E744" s="13" t="inlineStr">
        <is>
          <t>{3}{B}{B}</t>
        </is>
      </c>
      <c r="F744" s="13" t="inlineStr">
        <is>
          <t>Preto</t>
        </is>
      </c>
      <c r="G744" s="8" t="n">
        <v>0.06</v>
      </c>
      <c r="H744" s="13" t="inlineStr">
        <is>
          <t>Dark Ascension (DKA)</t>
        </is>
      </c>
      <c r="I744" s="13" t="inlineStr">
        <is>
          <t>Não</t>
        </is>
      </c>
      <c r="J744" s="13" t="n">
        <v>2012</v>
      </c>
      <c r="L744" s="13" t="n">
        <v>1</v>
      </c>
      <c r="M744" s="8">
        <f>L744*G744</f>
        <v/>
      </c>
      <c r="P744" s="9" t="n"/>
    </row>
    <row r="745">
      <c r="A745" s="13" t="inlineStr">
        <is>
          <t>Deathlace / Enlace Mortal</t>
        </is>
      </c>
      <c r="B745" s="13" t="inlineStr">
        <is>
          <t>Instant</t>
        </is>
      </c>
      <c r="C745" s="13" t="inlineStr">
        <is>
          <t>Rare / Rara</t>
        </is>
      </c>
      <c r="D745" s="13" t="inlineStr">
        <is>
          <t>Target spell or permanent becomes black. (Mana symbols on that permanent remain unchanged.)</t>
        </is>
      </c>
      <c r="E745" s="13" t="inlineStr">
        <is>
          <t>{B}</t>
        </is>
      </c>
      <c r="F745" s="13" t="inlineStr">
        <is>
          <t>Preto</t>
        </is>
      </c>
      <c r="G745" s="8" t="n">
        <v>0.5</v>
      </c>
      <c r="H745" s="13" t="inlineStr">
        <is>
          <t>Fourth Edition (4ED)</t>
        </is>
      </c>
      <c r="I745" s="13" t="inlineStr">
        <is>
          <t>Não</t>
        </is>
      </c>
      <c r="J745" s="13" t="n">
        <v>1995</v>
      </c>
      <c r="L745" s="13" t="n">
        <v>1</v>
      </c>
      <c r="M745" s="8">
        <f>L745*G745</f>
        <v/>
      </c>
      <c r="P745" s="9" t="n"/>
    </row>
    <row r="746">
      <c r="A746" s="13" t="inlineStr">
        <is>
          <t>Debris Beetle</t>
        </is>
      </c>
      <c r="B746" s="13" t="inlineStr">
        <is>
          <t>Artifact — Vehicle</t>
        </is>
      </c>
      <c r="C746" s="13" t="inlineStr">
        <is>
          <t>Rare / Rara</t>
        </is>
      </c>
      <c r="D746" s="13" t="inlineStr">
        <is>
          <t>Trample When this Vehicle enters, each opponent loses 3 life and you gain 3 life. Crew 2</t>
        </is>
      </c>
      <c r="E746" s="13" t="inlineStr">
        <is>
          <t>{2}{B}{G}</t>
        </is>
      </c>
      <c r="F746" s="13" t="inlineStr">
        <is>
          <t>Preto, Verde</t>
        </is>
      </c>
      <c r="G746" s="8" t="n">
        <v>0.25</v>
      </c>
      <c r="H746" s="13" t="inlineStr">
        <is>
          <t>Aetherdrift (DFT)</t>
        </is>
      </c>
      <c r="I746" s="13" t="inlineStr">
        <is>
          <t>Não</t>
        </is>
      </c>
      <c r="J746" s="13" t="n">
        <v>2025</v>
      </c>
      <c r="K746" s="10" t="n">
        <v>46179</v>
      </c>
      <c r="L746" s="13" t="n">
        <v>1</v>
      </c>
      <c r="M746" s="8">
        <f>L746*G746</f>
        <v/>
      </c>
      <c r="P746" s="9" t="n"/>
    </row>
    <row r="747">
      <c r="A747" s="13" t="inlineStr">
        <is>
          <t>Debt to the Kami / Dívida com os Kami</t>
        </is>
      </c>
      <c r="B747" s="13" t="inlineStr">
        <is>
          <t>Instant / Mágica Instantânea</t>
        </is>
      </c>
      <c r="C747" s="13" t="inlineStr">
        <is>
          <t>Common / Comum</t>
        </is>
      </c>
      <c r="D747" s="13" t="inlineStr">
        <is>
          <t>Choose one — • Target opponent exiles a creature they control. • Target opponent exiles an enchantment they control. / Escolha um — • O oponente alvo exila uma criatura que ele controla. • O oponente alvo exila um encantamento que ele controla.</t>
        </is>
      </c>
      <c r="E747" s="13" t="inlineStr">
        <is>
          <t>{2}{B}</t>
        </is>
      </c>
      <c r="F747" s="13" t="inlineStr">
        <is>
          <t>Preto</t>
        </is>
      </c>
      <c r="G747" s="8" t="n">
        <v>0.15</v>
      </c>
      <c r="H747" s="13" t="inlineStr">
        <is>
          <t>Kamigawa: Neon Dynasty (NEO)</t>
        </is>
      </c>
      <c r="I747" s="13" t="inlineStr">
        <is>
          <t>Não</t>
        </is>
      </c>
      <c r="J747" s="13" t="n">
        <v>2022</v>
      </c>
      <c r="L747" s="13" t="n">
        <v>1</v>
      </c>
      <c r="M747" s="8">
        <f>L747*G747</f>
        <v/>
      </c>
      <c r="P747" s="9" t="n"/>
    </row>
    <row r="748">
      <c r="A748" s="13" t="inlineStr">
        <is>
          <t>Deduce / Deduzir</t>
        </is>
      </c>
      <c r="B748" s="13" t="inlineStr">
        <is>
          <t>Instant / Mágica Instantânea</t>
        </is>
      </c>
      <c r="C748" s="13" t="inlineStr">
        <is>
          <t>Common / Comum</t>
        </is>
      </c>
      <c r="D748" s="13" t="inlineStr">
        <is>
          <t>Draw a card. Investigate. (Create a Clue token. It's an artifact with "{2}, Sacrifice this token: Draw a card.") / Compre um card. Investigue. (Crie uma ficha de Pista. Ela é um artefato com "{2}, sacrifique este artefato: Compre um card".)</t>
        </is>
      </c>
      <c r="E748" s="13" t="inlineStr">
        <is>
          <t>{1}{U}</t>
        </is>
      </c>
      <c r="F748" s="13" t="inlineStr">
        <is>
          <t>Azul</t>
        </is>
      </c>
      <c r="G748" s="8" t="n">
        <v>0.25</v>
      </c>
      <c r="H748" s="13" t="inlineStr">
        <is>
          <t>Murders at Karlov Manor (MKM)</t>
        </is>
      </c>
      <c r="I748" s="13" t="inlineStr">
        <is>
          <t>Não</t>
        </is>
      </c>
      <c r="J748" s="13" t="n">
        <v>2024</v>
      </c>
      <c r="L748" s="13" t="n">
        <v>1</v>
      </c>
      <c r="M748" s="8">
        <f>L748*G748</f>
        <v/>
      </c>
      <c r="P748" s="9" t="n"/>
    </row>
    <row r="749">
      <c r="A749" s="13" t="inlineStr">
        <is>
          <t>Deem Inferior / Julgar Inferior</t>
        </is>
      </c>
      <c r="B749" s="13" t="inlineStr">
        <is>
          <t>Sorcery / Feitiço</t>
        </is>
      </c>
      <c r="C749" s="13" t="inlineStr">
        <is>
          <t>Common / Comum</t>
        </is>
      </c>
      <c r="D749" s="13"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749" s="13" t="inlineStr">
        <is>
          <t>{3}{U}</t>
        </is>
      </c>
      <c r="F749" s="13" t="inlineStr">
        <is>
          <t>Azul</t>
        </is>
      </c>
      <c r="G749" s="8" t="n">
        <v>0.25</v>
      </c>
      <c r="H749" s="13" t="inlineStr">
        <is>
          <t>Modern Horizons 3 (MH3)</t>
        </is>
      </c>
      <c r="I749" s="13" t="inlineStr">
        <is>
          <t>Sim</t>
        </is>
      </c>
      <c r="J749" s="13" t="n">
        <v>2024</v>
      </c>
      <c r="L749" s="13" t="n">
        <v>1</v>
      </c>
      <c r="M749" s="8">
        <f>L749*G749</f>
        <v/>
      </c>
      <c r="P749" s="9" t="n"/>
    </row>
    <row r="750">
      <c r="A750" s="13" t="inlineStr">
        <is>
          <t>Deem Inferior / Julgar Inferior</t>
        </is>
      </c>
      <c r="B750" s="13" t="inlineStr">
        <is>
          <t>Sorcery / Feitiço</t>
        </is>
      </c>
      <c r="C750" s="13" t="inlineStr">
        <is>
          <t>Common / Comum</t>
        </is>
      </c>
      <c r="D750" s="13"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750" s="13" t="inlineStr">
        <is>
          <t>{3}{U}</t>
        </is>
      </c>
      <c r="F750" s="13" t="inlineStr">
        <is>
          <t>Azul</t>
        </is>
      </c>
      <c r="G750" s="8" t="n">
        <v>0.08</v>
      </c>
      <c r="H750" s="13" t="inlineStr">
        <is>
          <t>Modern Horizons 3 (MH3)</t>
        </is>
      </c>
      <c r="I750" s="13" t="inlineStr">
        <is>
          <t>Não</t>
        </is>
      </c>
      <c r="J750" s="13" t="n">
        <v>2024</v>
      </c>
      <c r="L750" s="13" t="n">
        <v>1</v>
      </c>
      <c r="M750" s="8">
        <f>L750*G750</f>
        <v/>
      </c>
      <c r="P750" s="9" t="n"/>
    </row>
    <row r="751">
      <c r="A751" s="13" t="inlineStr">
        <is>
          <t>Deep Analysis / Análise Profunda</t>
        </is>
      </c>
      <c r="B751" s="13" t="inlineStr">
        <is>
          <t>Sorcery / Feitiço</t>
        </is>
      </c>
      <c r="C751" s="13" t="inlineStr">
        <is>
          <t>Common / Comum</t>
        </is>
      </c>
      <c r="D751" s="13"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751" s="13" t="inlineStr">
        <is>
          <t>{3}{U}</t>
        </is>
      </c>
      <c r="F751" s="13" t="inlineStr">
        <is>
          <t>Azul</t>
        </is>
      </c>
      <c r="G751" s="8" t="n">
        <v>0.43</v>
      </c>
      <c r="H751" s="13" t="inlineStr">
        <is>
          <t>Double Masters 2022 (2X2)</t>
        </is>
      </c>
      <c r="I751" s="13" t="inlineStr">
        <is>
          <t>Não</t>
        </is>
      </c>
      <c r="J751" s="13" t="n">
        <v>2022</v>
      </c>
      <c r="L751" s="13" t="n">
        <v>1</v>
      </c>
      <c r="M751" s="8">
        <f>L751*G751</f>
        <v/>
      </c>
      <c r="P751" s="9" t="n"/>
    </row>
    <row r="752">
      <c r="A752" s="13" t="inlineStr">
        <is>
          <t>Deep Analysis / Análise Profunda</t>
        </is>
      </c>
      <c r="B752" s="13" t="inlineStr">
        <is>
          <t>Sorcery / Feitiço</t>
        </is>
      </c>
      <c r="C752" s="13" t="inlineStr">
        <is>
          <t>Uncommon / Incomum</t>
        </is>
      </c>
      <c r="D752" s="13"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752" s="13" t="inlineStr">
        <is>
          <t>{3}{U}</t>
        </is>
      </c>
      <c r="F752" s="13" t="inlineStr">
        <is>
          <t>Azul</t>
        </is>
      </c>
      <c r="G752" s="8" t="n">
        <v>0.4</v>
      </c>
      <c r="H752" s="13" t="inlineStr">
        <is>
          <t>Modern Horizons 3 (MH3)</t>
        </is>
      </c>
      <c r="I752" s="13" t="inlineStr">
        <is>
          <t>Não</t>
        </is>
      </c>
      <c r="J752" s="13" t="n">
        <v>2024</v>
      </c>
      <c r="L752" s="13" t="n">
        <v>1</v>
      </c>
      <c r="M752" s="8">
        <f>L752*G752</f>
        <v/>
      </c>
      <c r="P752" s="9" t="n"/>
    </row>
    <row r="753">
      <c r="A753" s="13" t="inlineStr">
        <is>
          <t>Deep-Sea Terror / Terror das Profundezas</t>
        </is>
      </c>
      <c r="B753" s="13" t="inlineStr">
        <is>
          <t>Creature — Serpent / Criatura — Serpente</t>
        </is>
      </c>
      <c r="C753" s="13" t="inlineStr">
        <is>
          <t>Common / Comum</t>
        </is>
      </c>
      <c r="D753" s="13" t="inlineStr">
        <is>
          <t>This creature can't attack unless there are seven or more cards in your graveyard. / Terror das Profundezas não pode atacar a menos que haja sete cards ou mais em seu cemitério.</t>
        </is>
      </c>
      <c r="E753" s="13" t="inlineStr">
        <is>
          <t>{4}{U}{U}</t>
        </is>
      </c>
      <c r="F753" s="13" t="inlineStr">
        <is>
          <t>Azul</t>
        </is>
      </c>
      <c r="G753" s="8" t="n">
        <v>0.05</v>
      </c>
      <c r="H753" s="13" t="inlineStr">
        <is>
          <t>Magic Origins (ORI)</t>
        </is>
      </c>
      <c r="I753" s="13" t="inlineStr">
        <is>
          <t>Não</t>
        </is>
      </c>
      <c r="J753" s="13" t="n">
        <v>2015</v>
      </c>
      <c r="K753" s="10" t="n">
        <v>46179</v>
      </c>
      <c r="L753" s="13" t="n">
        <v>1</v>
      </c>
      <c r="M753" s="8">
        <f>L753*G753</f>
        <v/>
      </c>
      <c r="P753" s="9" t="n"/>
    </row>
    <row r="754">
      <c r="A754" s="13" t="inlineStr">
        <is>
          <t>Deepcavern Imp / Diabrete de Gruta Profunda</t>
        </is>
      </c>
      <c r="B754" s="13" t="inlineStr">
        <is>
          <t>Creature — Imp Rebel / Criatura — Diabrete Rebelde</t>
        </is>
      </c>
      <c r="C754" s="13" t="inlineStr">
        <is>
          <t>Common / Comum</t>
        </is>
      </c>
      <c r="D754" s="13"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754" s="13" t="inlineStr">
        <is>
          <t>{2}{B}</t>
        </is>
      </c>
      <c r="F754" s="13" t="inlineStr">
        <is>
          <t>Preto</t>
        </is>
      </c>
      <c r="G754" s="8" t="n">
        <v>0.06</v>
      </c>
      <c r="H754" s="13" t="inlineStr">
        <is>
          <t>Time Spiral Remastered (TSR)</t>
        </is>
      </c>
      <c r="I754" s="13" t="inlineStr">
        <is>
          <t>Não</t>
        </is>
      </c>
      <c r="J754" s="13" t="n">
        <v>2021</v>
      </c>
      <c r="K754" s="10" t="n">
        <v>46055</v>
      </c>
      <c r="L754" s="13" t="n">
        <v>1</v>
      </c>
      <c r="M754" s="8">
        <f>L754*G754</f>
        <v/>
      </c>
      <c r="N754" s="13" t="inlineStr">
        <is>
          <t>Bulk Shopee</t>
        </is>
      </c>
      <c r="P754" s="9" t="n"/>
    </row>
    <row r="755">
      <c r="A755" s="13" t="inlineStr">
        <is>
          <t>Deepmuck Desperado / Desperado de Lamafunda</t>
        </is>
      </c>
      <c r="B755" s="13" t="inlineStr">
        <is>
          <t>Creature — Homarid Mercenary / Criatura — Homárida Mercenário</t>
        </is>
      </c>
      <c r="C755" s="13" t="inlineStr">
        <is>
          <t>Uncommon / Incomum</t>
        </is>
      </c>
      <c r="D755" s="13"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755" s="13" t="inlineStr">
        <is>
          <t>{2}{U}</t>
        </is>
      </c>
      <c r="F755" s="13" t="inlineStr">
        <is>
          <t>Azul</t>
        </is>
      </c>
      <c r="G755" s="8" t="n">
        <v>0.09</v>
      </c>
      <c r="H755" s="13" t="inlineStr">
        <is>
          <t>Outlaws of Thunder Junction (OTJ)</t>
        </is>
      </c>
      <c r="I755" s="13" t="inlineStr">
        <is>
          <t>Não</t>
        </is>
      </c>
      <c r="J755" s="13" t="n">
        <v>2024</v>
      </c>
      <c r="K755" s="10" t="n">
        <v>46114</v>
      </c>
      <c r="L755" s="13" t="n">
        <v>1</v>
      </c>
      <c r="M755" s="8">
        <f>L755*G755</f>
        <v/>
      </c>
      <c r="P755" s="9" t="n"/>
    </row>
    <row r="756">
      <c r="A756" s="13" t="inlineStr">
        <is>
          <t>Deeproot Warrior / Guerreiro de Raiz Profunda</t>
        </is>
      </c>
      <c r="B756" s="13" t="inlineStr">
        <is>
          <t>Creature — Merfolk Warrior / Criatura — Tritão Guerreiro</t>
        </is>
      </c>
      <c r="C756" s="13" t="inlineStr">
        <is>
          <t>Common / Comum</t>
        </is>
      </c>
      <c r="D756" s="13" t="inlineStr">
        <is>
          <t>Whenever Deeproot Warrior becomes blocked, it gets +1/+1 until end of turn. / Toda vez que Guerreiro de Raiz Profunda é bloqueado, ele recebe +1/+1 até o final do turno.</t>
        </is>
      </c>
      <c r="E756" s="13" t="inlineStr">
        <is>
          <t>{1}{G}</t>
        </is>
      </c>
      <c r="F756" s="13" t="inlineStr">
        <is>
          <t>Verde</t>
        </is>
      </c>
      <c r="G756" s="8" t="n">
        <v>0.03</v>
      </c>
      <c r="H756" s="13" t="inlineStr">
        <is>
          <t>Ixalan (XLN)</t>
        </is>
      </c>
      <c r="I756" s="13" t="inlineStr">
        <is>
          <t>Não</t>
        </is>
      </c>
      <c r="J756" s="13" t="n">
        <v>2017</v>
      </c>
      <c r="K756" s="10" t="n">
        <v>46055</v>
      </c>
      <c r="L756" s="13" t="n">
        <v>1</v>
      </c>
      <c r="M756" s="8">
        <f>L756*G756</f>
        <v/>
      </c>
      <c r="P756" s="9" t="n"/>
    </row>
    <row r="757">
      <c r="A757" s="13" t="inlineStr">
        <is>
          <t>Defenestrated Phantom / Fantasma Defenestrado</t>
        </is>
      </c>
      <c r="B757" s="13" t="inlineStr">
        <is>
          <t>Creature — Spirit / Criatura — Espírito</t>
        </is>
      </c>
      <c r="C757" s="13" t="inlineStr">
        <is>
          <t>Common / Comum</t>
        </is>
      </c>
      <c r="D757" s="13"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757" s="13" t="inlineStr">
        <is>
          <t>{4}{W}{W}</t>
        </is>
      </c>
      <c r="F757" s="13" t="inlineStr">
        <is>
          <t>Branco</t>
        </is>
      </c>
      <c r="G757" s="8" t="n">
        <v>0.05</v>
      </c>
      <c r="H757" s="13" t="inlineStr">
        <is>
          <t>Murders at Karlov Manor (MKM)</t>
        </is>
      </c>
      <c r="I757" s="13" t="inlineStr">
        <is>
          <t>Não</t>
        </is>
      </c>
      <c r="J757" s="13" t="n">
        <v>2024</v>
      </c>
      <c r="K757" s="10" t="n">
        <v>46085</v>
      </c>
      <c r="L757" s="13" t="n">
        <v>1</v>
      </c>
      <c r="M757" s="8">
        <f>L757*G757</f>
        <v/>
      </c>
      <c r="P757" s="9" t="n"/>
    </row>
    <row r="758">
      <c r="A758" s="13" t="inlineStr">
        <is>
          <t>Defiant Khenra / Khenra Audaz</t>
        </is>
      </c>
      <c r="B758" s="13" t="inlineStr">
        <is>
          <t>Creature — Jackal Warrior / Criatura — Chacal Guerreiro</t>
        </is>
      </c>
      <c r="C758" s="13" t="inlineStr">
        <is>
          <t>Common / Comum</t>
        </is>
      </c>
      <c r="E758" s="13" t="inlineStr">
        <is>
          <t>{1}{R}</t>
        </is>
      </c>
      <c r="F758" s="13" t="inlineStr">
        <is>
          <t>Vermelho</t>
        </is>
      </c>
      <c r="G758" s="8" t="n">
        <v>0.03</v>
      </c>
      <c r="H758" s="13" t="inlineStr">
        <is>
          <t>Hour of Devastation (HOU)</t>
        </is>
      </c>
      <c r="I758" s="13" t="inlineStr">
        <is>
          <t>Não</t>
        </is>
      </c>
      <c r="J758" s="13" t="n">
        <v>2017</v>
      </c>
      <c r="K758" s="10" t="n">
        <v>46055</v>
      </c>
      <c r="L758" s="13" t="n">
        <v>3</v>
      </c>
      <c r="M758" s="8">
        <f>L758*G758</f>
        <v/>
      </c>
      <c r="P758" s="9" t="n"/>
    </row>
    <row r="759">
      <c r="A759" s="13" t="inlineStr">
        <is>
          <t>Defiant Vanguard / Vanguarda Desafiadora</t>
        </is>
      </c>
      <c r="B759" s="13" t="inlineStr">
        <is>
          <t>Creature — Rebel / Criatura — Rebelde</t>
        </is>
      </c>
      <c r="C759" s="13" t="inlineStr">
        <is>
          <t>Uncommon / Incomum</t>
        </is>
      </c>
      <c r="D759" s="13"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759" s="13" t="inlineStr">
        <is>
          <t>{2}{W}</t>
        </is>
      </c>
      <c r="F759" s="13" t="inlineStr">
        <is>
          <t>Branco</t>
        </is>
      </c>
      <c r="G759" s="8" t="n">
        <v>0.2</v>
      </c>
      <c r="H759" s="13" t="inlineStr">
        <is>
          <t>Nemesis (NMS)</t>
        </is>
      </c>
      <c r="I759" s="13" t="inlineStr">
        <is>
          <t>No</t>
        </is>
      </c>
      <c r="J759" s="13" t="n">
        <v>2000</v>
      </c>
      <c r="K759" s="10" t="n">
        <v>46055</v>
      </c>
      <c r="L759" s="13" t="n">
        <v>1</v>
      </c>
      <c r="M759" s="8">
        <f>L759*G759</f>
        <v/>
      </c>
      <c r="P759" s="9" t="n"/>
    </row>
    <row r="760">
      <c r="A760" s="13" t="inlineStr">
        <is>
          <t>Defiled Crypt // Cadaver Lab</t>
        </is>
      </c>
      <c r="B760" s="13" t="inlineStr">
        <is>
          <t>Enchantment — Room // Enchantment — Room</t>
        </is>
      </c>
      <c r="C760" s="13" t="inlineStr">
        <is>
          <t>Uncommon / Incomum</t>
        </is>
      </c>
      <c r="D760" s="13"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760" s="13" t="inlineStr">
        <is>
          <t>{3}{B} // {B}</t>
        </is>
      </c>
      <c r="F760" s="13" t="inlineStr">
        <is>
          <t>Preto</t>
        </is>
      </c>
      <c r="G760" s="8" t="n">
        <v>0.15</v>
      </c>
      <c r="H760" s="13" t="inlineStr">
        <is>
          <t>Duskmourn: House of Horror (DSK)</t>
        </is>
      </c>
      <c r="I760" s="13" t="inlineStr">
        <is>
          <t>Não</t>
        </is>
      </c>
      <c r="J760" s="13" t="n">
        <v>2024</v>
      </c>
      <c r="L760" s="13" t="n">
        <v>2</v>
      </c>
      <c r="M760" s="8">
        <f>L760*G760</f>
        <v/>
      </c>
      <c r="P760" s="9" t="n"/>
    </row>
    <row r="761">
      <c r="A761" s="13" t="inlineStr">
        <is>
          <t>Deliberação do Conselho / Council's Deliberation</t>
        </is>
      </c>
      <c r="B761" s="13" t="inlineStr">
        <is>
          <t>Mágica Instantânea</t>
        </is>
      </c>
      <c r="C761" s="13" t="inlineStr">
        <is>
          <t>Incomum</t>
        </is>
      </c>
      <c r="D761" s="13" t="inlineStr">
        <is>
          <t>Comre um card. Toda vez que usa vidência, se você controla uma Ilha, você pode exilar Deliberação do Conselho de seu cemitério. Se fizer isso, compre um card.</t>
        </is>
      </c>
      <c r="E761" s="13" t="inlineStr">
        <is>
          <t>1{U}</t>
        </is>
      </c>
      <c r="F761" s="13" t="inlineStr">
        <is>
          <t>Azul</t>
        </is>
      </c>
      <c r="G761" s="8" t="n">
        <v>0.21</v>
      </c>
      <c r="H761" s="13" t="inlineStr">
        <is>
          <t>The Lord of the Rings: Tales of Middle-earth (LTR)</t>
        </is>
      </c>
      <c r="I761" s="13" t="inlineStr">
        <is>
          <t>Não</t>
        </is>
      </c>
      <c r="J761" s="13" t="n">
        <v>2023</v>
      </c>
      <c r="L761" s="13" t="n">
        <v>1</v>
      </c>
      <c r="M761" s="8">
        <f>L761*G761</f>
        <v/>
      </c>
      <c r="P761" s="9" t="n"/>
    </row>
    <row r="762">
      <c r="A762" s="13" t="inlineStr">
        <is>
          <t>Deliberate / Deliberar</t>
        </is>
      </c>
      <c r="B762" s="13" t="inlineStr">
        <is>
          <t>Instant / Mágica Instantânea</t>
        </is>
      </c>
      <c r="C762" s="13" t="inlineStr">
        <is>
          <t>Common / Comum</t>
        </is>
      </c>
      <c r="D762" s="13" t="inlineStr">
        <is>
          <t>Scry 2, then draw a card. / Use vidência 2, depois compre um card.</t>
        </is>
      </c>
      <c r="E762" s="13" t="inlineStr">
        <is>
          <t>{1}{U}</t>
        </is>
      </c>
      <c r="F762" s="13" t="inlineStr">
        <is>
          <t>Azul</t>
        </is>
      </c>
      <c r="G762" s="8" t="n">
        <v>0.43</v>
      </c>
      <c r="H762" s="13" t="inlineStr">
        <is>
          <t>Zendikar Rising (ZNR)</t>
        </is>
      </c>
      <c r="I762" s="13" t="inlineStr">
        <is>
          <t>Sim</t>
        </is>
      </c>
      <c r="J762" s="13" t="n">
        <v>2020</v>
      </c>
      <c r="L762" s="13" t="n">
        <v>1</v>
      </c>
      <c r="M762" s="8">
        <f>L762*G762</f>
        <v/>
      </c>
      <c r="N762" s="13" t="inlineStr">
        <is>
          <t>Bulk Shopee</t>
        </is>
      </c>
      <c r="P762" s="9" t="n"/>
    </row>
    <row r="763">
      <c r="A763" s="13" t="inlineStr">
        <is>
          <t>Delivery Moogle / Moogle das Entregas</t>
        </is>
      </c>
      <c r="B763" s="13" t="inlineStr">
        <is>
          <t>Criatura — Moogle</t>
        </is>
      </c>
      <c r="C763" s="13" t="inlineStr">
        <is>
          <t>Incomum</t>
        </is>
      </c>
      <c r="D763" s="13" t="inlineStr">
        <is>
          <t>Voar. Quando esta criatura entrar, procure em seu grimório e/ou cemitério por um card de artefato com valor de mana igual ou inferior a 2, revele-o e coloque-o em sua mão. Se procurar em seu grimório deste modo, embaralhe.</t>
        </is>
      </c>
      <c r="E763" s="13" t="inlineStr">
        <is>
          <t>3{W}</t>
        </is>
      </c>
      <c r="F763" s="13" t="inlineStr">
        <is>
          <t>Branco</t>
        </is>
      </c>
      <c r="G763" s="8" t="n">
        <v>0.24</v>
      </c>
      <c r="H763" s="13" t="inlineStr">
        <is>
          <t>Final Fantasy</t>
        </is>
      </c>
      <c r="I763" s="13" t="inlineStr">
        <is>
          <t>Não</t>
        </is>
      </c>
      <c r="J763" s="13" t="n">
        <v>2025</v>
      </c>
      <c r="K763" s="10" t="n">
        <v>46056</v>
      </c>
      <c r="L763" s="13" t="n">
        <v>4</v>
      </c>
      <c r="M763" s="8">
        <f>L763*G763</f>
        <v/>
      </c>
      <c r="P763" s="9" t="n"/>
    </row>
    <row r="764">
      <c r="A764" s="13" t="inlineStr">
        <is>
          <t>Demon Wall / Parede Demoníaca</t>
        </is>
      </c>
      <c r="B764" s="13" t="inlineStr">
        <is>
          <t>Criatura Artefato — Demônio Parede</t>
        </is>
      </c>
      <c r="C764" s="13" t="inlineStr">
        <is>
          <t>Incomum</t>
        </is>
      </c>
      <c r="D764" s="13" t="inlineStr">
        <is>
          <t>Defensor. Ameaça (Esta criatura não pode ser bloqueada a não ser por duas ou mais criaturas.) Enquanto esta criatura tiver um marcador nela, ela poderá atacar como se não tivesse defensor. {5}{B}: Coloque dois marcadores +1/+1 nesta criatura.</t>
        </is>
      </c>
      <c r="E764" s="13" t="inlineStr">
        <is>
          <t>1{B}</t>
        </is>
      </c>
      <c r="F764" s="13" t="inlineStr">
        <is>
          <t>Preto</t>
        </is>
      </c>
      <c r="G764" s="8" t="n">
        <v>0.25</v>
      </c>
      <c r="H764" s="13" t="inlineStr">
        <is>
          <t>Final Fantasy</t>
        </is>
      </c>
      <c r="I764" s="13" t="inlineStr">
        <is>
          <t>Não</t>
        </is>
      </c>
      <c r="J764" s="13" t="n">
        <v>2025</v>
      </c>
      <c r="K764" s="10" t="n">
        <v>46084</v>
      </c>
      <c r="L764" s="13" t="n">
        <v>1</v>
      </c>
      <c r="M764" s="8">
        <f>L764*G764</f>
        <v/>
      </c>
      <c r="P764" s="9" t="n"/>
    </row>
    <row r="765">
      <c r="A765" s="13" t="inlineStr">
        <is>
          <t>Demonic Gifts / Dons Demoníacos</t>
        </is>
      </c>
      <c r="B765" s="13" t="inlineStr">
        <is>
          <t>Instant / Mágica Instantânea</t>
        </is>
      </c>
      <c r="C765" s="13" t="inlineStr">
        <is>
          <t>Common / Comum</t>
        </is>
      </c>
      <c r="D765" s="13"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765" s="13" t="inlineStr">
        <is>
          <t>{1}{B}</t>
        </is>
      </c>
      <c r="F765" s="13" t="inlineStr">
        <is>
          <t>Preto</t>
        </is>
      </c>
      <c r="G765" s="8" t="n">
        <v>0.06</v>
      </c>
      <c r="H765" s="13" t="inlineStr">
        <is>
          <t>Kaldheim (KHM)</t>
        </is>
      </c>
      <c r="I765" s="13" t="inlineStr">
        <is>
          <t>Não</t>
        </is>
      </c>
      <c r="J765" s="13" t="n">
        <v>2021</v>
      </c>
      <c r="L765" s="13" t="n">
        <v>1</v>
      </c>
      <c r="M765" s="8">
        <f>L765*G765</f>
        <v/>
      </c>
      <c r="P765" s="9" t="n"/>
    </row>
    <row r="766">
      <c r="A766" s="13" t="inlineStr">
        <is>
          <t>Demonic Junker</t>
        </is>
      </c>
      <c r="B766" s="13" t="inlineStr">
        <is>
          <t>Artifact — Vehicle</t>
        </is>
      </c>
      <c r="C766" s="13" t="inlineStr">
        <is>
          <t>Rare / Rara</t>
        </is>
      </c>
      <c r="D766" s="13"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766" s="13" t="inlineStr">
        <is>
          <t>{6}{B}</t>
        </is>
      </c>
      <c r="F766" s="13" t="inlineStr">
        <is>
          <t>Preto</t>
        </is>
      </c>
      <c r="G766" s="8" t="n">
        <v>1.8</v>
      </c>
      <c r="H766" s="13" t="inlineStr">
        <is>
          <t>Aetherdrift (DFT)</t>
        </is>
      </c>
      <c r="I766" s="13" t="inlineStr">
        <is>
          <t>Não</t>
        </is>
      </c>
      <c r="J766" s="13" t="n">
        <v>2025</v>
      </c>
      <c r="K766" s="10" t="n">
        <v>46085</v>
      </c>
      <c r="L766" s="13" t="n">
        <v>1</v>
      </c>
      <c r="M766" s="8">
        <f>L766*G766</f>
        <v/>
      </c>
      <c r="N766" s="13" t="inlineStr">
        <is>
          <t>Pasta</t>
        </is>
      </c>
      <c r="P766" s="9" t="n"/>
    </row>
    <row r="767">
      <c r="A767" s="13" t="inlineStr">
        <is>
          <t>Demonic Ruckus / Tumulto Demoníaco</t>
        </is>
      </c>
      <c r="B767" s="13" t="inlineStr">
        <is>
          <t>Enchantment — Aura / Encantamento — Aura</t>
        </is>
      </c>
      <c r="C767" s="13" t="inlineStr">
        <is>
          <t>Uncommon / Incomum</t>
        </is>
      </c>
      <c r="D767" s="13"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767" s="13" t="inlineStr">
        <is>
          <t>{1}{R}</t>
        </is>
      </c>
      <c r="F767" s="13" t="inlineStr">
        <is>
          <t>Vermelho</t>
        </is>
      </c>
      <c r="G767" s="8" t="n">
        <v>0.25</v>
      </c>
      <c r="H767" s="13" t="inlineStr">
        <is>
          <t>Outlaws of Thunder Junction (OTJ)</t>
        </is>
      </c>
      <c r="I767" s="13" t="inlineStr">
        <is>
          <t>Não</t>
        </is>
      </c>
      <c r="J767" s="13" t="n">
        <v>2024</v>
      </c>
      <c r="L767" s="13" t="n">
        <v>1</v>
      </c>
      <c r="M767" s="8">
        <f>L767*G767</f>
        <v/>
      </c>
      <c r="P767" s="9" t="n"/>
    </row>
    <row r="768">
      <c r="A768" s="13" t="inlineStr">
        <is>
          <t>Demônio das Profundezas Ancião / Elder Deep-Fiend</t>
        </is>
      </c>
      <c r="B768" s="13" t="inlineStr">
        <is>
          <t>Creature — Eldrazi Octopus / Criatura — Eldrazi Polvo</t>
        </is>
      </c>
      <c r="C768" s="13" t="inlineStr">
        <is>
          <t>Rare / Rara</t>
        </is>
      </c>
      <c r="D768" s="13"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768" s="13" t="inlineStr">
        <is>
          <t>{8}</t>
        </is>
      </c>
      <c r="F768" s="13" t="inlineStr">
        <is>
          <t>Incolor</t>
        </is>
      </c>
      <c r="G768" s="8" t="n">
        <v>0.35</v>
      </c>
      <c r="H768" s="13" t="inlineStr">
        <is>
          <t>Eldritch Moon (EMN)</t>
        </is>
      </c>
      <c r="I768" s="13" t="inlineStr">
        <is>
          <t>No</t>
        </is>
      </c>
      <c r="J768" s="13" t="n">
        <v>2016</v>
      </c>
      <c r="K768" s="10" t="n">
        <v>46178</v>
      </c>
      <c r="L768" s="13" t="n">
        <v>1</v>
      </c>
      <c r="M768" s="8">
        <f>L768*G768</f>
        <v/>
      </c>
      <c r="P768" s="9" t="n"/>
    </row>
    <row r="769">
      <c r="A769" s="13" t="inlineStr">
        <is>
          <t>Denethor, Regente Governante / Denethor, Ruling Steward</t>
        </is>
      </c>
      <c r="B769" s="13" t="inlineStr">
        <is>
          <t>Criatura Lendária — Humano Nobre</t>
        </is>
      </c>
      <c r="C769" s="13" t="inlineStr">
        <is>
          <t>Incomum</t>
        </is>
      </c>
      <c r="D769" s="13" t="inlineStr">
        <is>
          <t>No início de sua etapa final, se uma criatura tiver morrido sob seu controle neste turno, crie uma ficha de criatura Humano Soldado branca 1/1. {2}, sacrifique outra criatura: Cada oponente perde 1 ponto de vida e você ganha 1 ponto de vida.</t>
        </is>
      </c>
      <c r="E769" s="13" t="inlineStr">
        <is>
          <t>1{W}{B}</t>
        </is>
      </c>
      <c r="F769" s="13" t="inlineStr">
        <is>
          <t>Multicolorido (Branco e Preto)</t>
        </is>
      </c>
      <c r="G769" s="8" t="n">
        <v>0.25</v>
      </c>
      <c r="H769" s="13" t="inlineStr">
        <is>
          <t>The Lord of the Rings: Tales of Middle-earth (LTR)</t>
        </is>
      </c>
      <c r="I769" s="13" t="inlineStr">
        <is>
          <t>Não</t>
        </is>
      </c>
      <c r="J769" s="13" t="n">
        <v>2023</v>
      </c>
      <c r="K769" s="10" t="n">
        <v>46114</v>
      </c>
      <c r="L769" s="13" t="n">
        <v>2</v>
      </c>
      <c r="M769" s="8">
        <f>L769*G769</f>
        <v/>
      </c>
      <c r="P769" s="9" t="n"/>
    </row>
    <row r="770">
      <c r="A770" s="13" t="inlineStr">
        <is>
          <t>Denethor, Regente Governante / Denethor, Ruling Steward</t>
        </is>
      </c>
      <c r="B770" s="13" t="inlineStr">
        <is>
          <t>Criatura Lendária — Humano Nobre</t>
        </is>
      </c>
      <c r="C770" s="13" t="inlineStr">
        <is>
          <t>Incomum</t>
        </is>
      </c>
      <c r="D770" s="13" t="inlineStr">
        <is>
          <t>No início de sua etapa final, se uma criatura tiver morrido sob seu controle neste turno, crie uma ficha de criatura Humano Soldado branca 1/1. {2}, sacrifique outra criatura: Cada oponente perde 1 ponto de vida e você ganha 1 ponto de vida.</t>
        </is>
      </c>
      <c r="E770" s="13" t="inlineStr">
        <is>
          <t>1{W}{B}</t>
        </is>
      </c>
      <c r="F770" s="13" t="inlineStr">
        <is>
          <t>Multicolorido (Branco e Preto)</t>
        </is>
      </c>
      <c r="G770" s="8" t="n">
        <v>0.28</v>
      </c>
      <c r="H770" s="13" t="inlineStr">
        <is>
          <t>The Lord of the Rings: Tales of Middle-earth (LTR)</t>
        </is>
      </c>
      <c r="I770" s="13" t="inlineStr">
        <is>
          <t>Não</t>
        </is>
      </c>
      <c r="J770" s="13" t="n">
        <v>2023</v>
      </c>
      <c r="K770" s="10" t="n">
        <v>46114</v>
      </c>
      <c r="L770" s="13" t="n">
        <v>3</v>
      </c>
      <c r="M770" s="8">
        <f>L770*G770</f>
        <v/>
      </c>
      <c r="P770" s="9" t="n"/>
    </row>
    <row r="771">
      <c r="A771" s="13" t="inlineStr">
        <is>
          <t>Dependable Quinjet / Quinjet Confiável</t>
        </is>
      </c>
      <c r="B771" s="13" t="inlineStr">
        <is>
          <t>Artefato — Veículo</t>
        </is>
      </c>
      <c r="C771" s="13" t="inlineStr">
        <is>
          <t>Comum</t>
        </is>
      </c>
      <c r="D771" s="13" t="inlineStr">
        <is>
          <t>Voar. {T}: Adicione um mana de qualquer cor. Tripular 4 (Vire qualquer número de criaturas que você controla com poder total igual ou superior a 4: Este Veículo torna-se uma criatura artefato até o final do turno.)</t>
        </is>
      </c>
      <c r="E771" s="13" t="inlineStr">
        <is>
          <t>{3}</t>
        </is>
      </c>
      <c r="F771" s="13" t="inlineStr">
        <is>
          <t>Incolor</t>
        </is>
      </c>
      <c r="G771" s="8" t="n">
        <v>0.13</v>
      </c>
      <c r="H771" s="13" t="inlineStr">
        <is>
          <t>Marvel</t>
        </is>
      </c>
      <c r="I771" s="13" t="inlineStr">
        <is>
          <t>Não</t>
        </is>
      </c>
      <c r="J771" s="13" t="n">
        <v>2026</v>
      </c>
      <c r="K771" s="10" t="n">
        <v>46084</v>
      </c>
      <c r="L771" s="13" t="n">
        <v>1</v>
      </c>
      <c r="M771" s="8">
        <f>L771*G771</f>
        <v/>
      </c>
      <c r="P771" s="9" t="n"/>
    </row>
    <row r="772">
      <c r="A772" s="13" t="inlineStr">
        <is>
          <t>Depressurize / Despressurizar</t>
        </is>
      </c>
      <c r="B772" s="13" t="inlineStr">
        <is>
          <t>Mágica Instantânea</t>
        </is>
      </c>
      <c r="C772" s="13" t="inlineStr">
        <is>
          <t>Comum</t>
        </is>
      </c>
      <c r="D772" s="13" t="inlineStr">
        <is>
          <t>A criatura alvo recebe -3/-0 até o final do turno. Depois, se o poder daquela criatura for 0 ou menos, destrua-a.</t>
        </is>
      </c>
      <c r="E772" s="13" t="inlineStr">
        <is>
          <t>1{B}</t>
        </is>
      </c>
      <c r="F772" s="13" t="inlineStr">
        <is>
          <t>Preto</t>
        </is>
      </c>
      <c r="G772" s="8" t="n">
        <v>0.05</v>
      </c>
      <c r="H772" s="13" t="inlineStr">
        <is>
          <t>Edge of Eternity</t>
        </is>
      </c>
      <c r="I772" s="13" t="inlineStr">
        <is>
          <t>Não</t>
        </is>
      </c>
      <c r="J772" s="13" t="n">
        <v>2025</v>
      </c>
      <c r="L772" s="13" t="n">
        <v>1</v>
      </c>
      <c r="M772" s="8">
        <f>L772*G772</f>
        <v/>
      </c>
      <c r="P772" s="9" t="n"/>
    </row>
    <row r="773">
      <c r="A773" s="13" t="inlineStr">
        <is>
          <t>Deranged Assistant / Assistente Insano</t>
        </is>
      </c>
      <c r="B773" s="13" t="inlineStr">
        <is>
          <t>Creature — Human Wizard / Criatura — Humano Mago</t>
        </is>
      </c>
      <c r="C773" s="13" t="inlineStr">
        <is>
          <t>Common / Comum</t>
        </is>
      </c>
      <c r="D773" s="13" t="inlineStr">
        <is>
          <t>{T}, Mill a card: Add {C}. (To mill a card, put the top card of your library into your graveyard.) / {T}, Coloque o card do topo de seu grimório no seu cemitério: Adicione {1} à sua reserva de mana.</t>
        </is>
      </c>
      <c r="E773" s="13" t="inlineStr">
        <is>
          <t>{1}{U}</t>
        </is>
      </c>
      <c r="F773" s="13" t="inlineStr">
        <is>
          <t>Azul</t>
        </is>
      </c>
      <c r="G773" s="8" t="n">
        <v>0.06</v>
      </c>
      <c r="H773" s="13" t="inlineStr">
        <is>
          <t>Innistrad (ISD)</t>
        </is>
      </c>
      <c r="I773" s="13" t="inlineStr">
        <is>
          <t>Não</t>
        </is>
      </c>
      <c r="J773" s="13" t="n">
        <v>2011</v>
      </c>
      <c r="K773" s="10" t="n">
        <v>46023</v>
      </c>
      <c r="L773" s="13" t="n">
        <v>1</v>
      </c>
      <c r="M773" s="8">
        <f>L773*G773</f>
        <v/>
      </c>
      <c r="P773" s="9" t="n"/>
    </row>
    <row r="774">
      <c r="A774" s="13" t="inlineStr">
        <is>
          <t>Derelict Attic // Widow's Walk</t>
        </is>
      </c>
      <c r="B774" s="13" t="inlineStr">
        <is>
          <t>Enchantment — Room // Enchantment — Room</t>
        </is>
      </c>
      <c r="C774" s="13" t="inlineStr">
        <is>
          <t>Common / Comum</t>
        </is>
      </c>
      <c r="D774" s="13"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774" s="13" t="inlineStr">
        <is>
          <t>{2}{B} // {3}{B}</t>
        </is>
      </c>
      <c r="F774" s="13" t="inlineStr">
        <is>
          <t>Preto</t>
        </is>
      </c>
      <c r="G774" s="8" t="n">
        <v>0.05</v>
      </c>
      <c r="H774" s="13" t="inlineStr">
        <is>
          <t>Duskmourn: House of Horror (DSK)</t>
        </is>
      </c>
      <c r="I774" s="13" t="inlineStr">
        <is>
          <t>Não</t>
        </is>
      </c>
      <c r="J774" s="13" t="n">
        <v>2024</v>
      </c>
      <c r="L774" s="13" t="n">
        <v>1</v>
      </c>
      <c r="M774" s="8">
        <f>L774*G774</f>
        <v/>
      </c>
      <c r="P774" s="9" t="n"/>
    </row>
    <row r="775">
      <c r="A775" s="13" t="inlineStr">
        <is>
          <t>Desarticulação / Connive // Descoberta / Discovery</t>
        </is>
      </c>
      <c r="B775" s="13" t="inlineStr">
        <is>
          <t>Mágica Instantânea / Instant // Feitiço / Sorcery</t>
        </is>
      </c>
      <c r="C775" s="13" t="inlineStr">
        <is>
          <t>Incomum / Uncommon</t>
        </is>
      </c>
      <c r="D775" s="13"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775" s="13" t="inlineStr">
        <is>
          <t>{3}{U}{B} // {1}{U/B}</t>
        </is>
      </c>
      <c r="F775" s="13" t="inlineStr">
        <is>
          <t>Azul e Preto / Blue and Black</t>
        </is>
      </c>
      <c r="G775" s="8" t="n">
        <v>0.04</v>
      </c>
      <c r="H775" s="13" t="inlineStr">
        <is>
          <t>Guilds of Ravnica (GRN)</t>
        </is>
      </c>
      <c r="I775" s="13" t="inlineStr">
        <is>
          <t>Não</t>
        </is>
      </c>
      <c r="J775" s="13" t="n">
        <v>2018</v>
      </c>
      <c r="L775" s="13" t="n">
        <v>4</v>
      </c>
      <c r="M775" s="8">
        <f>L775*G775</f>
        <v/>
      </c>
      <c r="P775" s="9" t="n"/>
    </row>
    <row r="776">
      <c r="A776" s="13" t="inlineStr">
        <is>
          <t>Desculpting Blast / Explosão Desescultora</t>
        </is>
      </c>
      <c r="B776" s="13" t="inlineStr">
        <is>
          <t>Mágica Instantânea</t>
        </is>
      </c>
      <c r="C776" s="13" t="inlineStr">
        <is>
          <t>Incomum</t>
        </is>
      </c>
      <c r="D776" s="13" t="inlineStr">
        <is>
          <t>Devolva a permanente não de terreno alvo para a mão de seu dono. Se ela estava atacando, crie uma ficha de criatura artefato Drone incolor 1/1 com voar e "Esta ficha só pode bloquear criaturas com voar."</t>
        </is>
      </c>
      <c r="E776" s="13" t="inlineStr">
        <is>
          <t>1{U}</t>
        </is>
      </c>
      <c r="F776" s="13" t="inlineStr">
        <is>
          <t>Azul</t>
        </is>
      </c>
      <c r="G776" s="8" t="n">
        <v>0.13</v>
      </c>
      <c r="H776" s="13" t="inlineStr">
        <is>
          <t>Edge of Eternity</t>
        </is>
      </c>
      <c r="I776" s="13" t="inlineStr">
        <is>
          <t>Não</t>
        </is>
      </c>
      <c r="J776" s="13" t="n">
        <v>2025</v>
      </c>
      <c r="L776" s="13" t="n">
        <v>1</v>
      </c>
      <c r="M776" s="8">
        <f>L776*G776</f>
        <v/>
      </c>
      <c r="P776" s="9" t="n"/>
    </row>
    <row r="777">
      <c r="A777" s="13" t="inlineStr">
        <is>
          <t>Desecration Plague / Praga da Profanação</t>
        </is>
      </c>
      <c r="B777" s="13" t="inlineStr">
        <is>
          <t>Sorcery / Feitiço</t>
        </is>
      </c>
      <c r="C777" s="13" t="inlineStr">
        <is>
          <t>Common / Comum</t>
        </is>
      </c>
      <c r="D777" s="13" t="inlineStr">
        <is>
          <t>Destroy target enchantment or land. / Destrua o encantamento ou terreno alvo.</t>
        </is>
      </c>
      <c r="E777" s="13" t="inlineStr">
        <is>
          <t>{3}{G}</t>
        </is>
      </c>
      <c r="F777" s="13" t="inlineStr">
        <is>
          <t>Verde</t>
        </is>
      </c>
      <c r="G777" s="8" t="n">
        <v>0.03</v>
      </c>
      <c r="H777" s="13" t="inlineStr">
        <is>
          <t>Journey into Nyx (JOU)</t>
        </is>
      </c>
      <c r="I777" s="13" t="inlineStr">
        <is>
          <t>Não</t>
        </is>
      </c>
      <c r="J777" s="13" t="n">
        <v>2014</v>
      </c>
      <c r="L777" s="13" t="n">
        <v>4</v>
      </c>
      <c r="M777" s="8">
        <f>L777*G777</f>
        <v/>
      </c>
      <c r="P777" s="9" t="n"/>
    </row>
    <row r="778">
      <c r="A778" s="13" t="inlineStr">
        <is>
          <t>Deserter's Disciple</t>
        </is>
      </c>
      <c r="B778" s="13" t="inlineStr">
        <is>
          <t>Creature — Human Rebel Ally</t>
        </is>
      </c>
      <c r="C778" s="13" t="inlineStr">
        <is>
          <t>Common / Comum</t>
        </is>
      </c>
      <c r="D778" s="13" t="inlineStr">
        <is>
          <t>{T}: Another target creature you control with power 2 or less can't be blocked this turn.</t>
        </is>
      </c>
      <c r="E778" s="13" t="inlineStr">
        <is>
          <t>{1}{R}</t>
        </is>
      </c>
      <c r="F778" s="13" t="inlineStr">
        <is>
          <t>Vermelho</t>
        </is>
      </c>
      <c r="G778" s="8" t="n">
        <v>0.06</v>
      </c>
      <c r="H778" s="13" t="inlineStr">
        <is>
          <t>Avatar: The Last Airbender (TLA)</t>
        </is>
      </c>
      <c r="I778" s="13" t="inlineStr">
        <is>
          <t>Não</t>
        </is>
      </c>
      <c r="J778" s="13" t="n">
        <v>2025</v>
      </c>
      <c r="K778" s="10" t="n">
        <v>46055</v>
      </c>
      <c r="L778" s="13" t="n">
        <v>1</v>
      </c>
      <c r="M778" s="8">
        <f>L778*G778</f>
        <v/>
      </c>
      <c r="P778" s="9" t="n"/>
    </row>
    <row r="779">
      <c r="A779" s="13" t="inlineStr">
        <is>
          <t>Desperate Stand / Resistência Desesperada</t>
        </is>
      </c>
      <c r="B779" s="13" t="inlineStr">
        <is>
          <t>Sorcery / Feitiço</t>
        </is>
      </c>
      <c r="C779" s="13" t="inlineStr">
        <is>
          <t>Uncommon / Incomum</t>
        </is>
      </c>
      <c r="D779" s="13"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779" s="13" t="inlineStr">
        <is>
          <t>{R}{W}</t>
        </is>
      </c>
      <c r="F779" s="13" t="inlineStr">
        <is>
          <t>Vermelho, Branco</t>
        </is>
      </c>
      <c r="G779" s="8" t="n">
        <v>0.05</v>
      </c>
      <c r="H779" s="13" t="inlineStr">
        <is>
          <t>Journey into Nyx (JOU)</t>
        </is>
      </c>
      <c r="I779" s="13" t="inlineStr">
        <is>
          <t>Não</t>
        </is>
      </c>
      <c r="J779" s="13" t="n">
        <v>2014</v>
      </c>
      <c r="L779" s="13" t="n">
        <v>4</v>
      </c>
      <c r="M779" s="8">
        <f>L779*G779</f>
        <v/>
      </c>
      <c r="P779" s="9" t="n"/>
    </row>
    <row r="780">
      <c r="A780" s="13" t="inlineStr">
        <is>
          <t>Despojar Alma / Ultimate Price</t>
        </is>
      </c>
      <c r="B780" s="13" t="inlineStr">
        <is>
          <t>Feitiço / Sorcery</t>
        </is>
      </c>
      <c r="C780" s="13" t="inlineStr">
        <is>
          <t>Comum / Common</t>
        </is>
      </c>
      <c r="D780" s="13" t="inlineStr">
        <is>
          <t>Destrua a criatura alvo com poder igual ou inferior a 3. / Destroy target creature with power 3 or less.</t>
        </is>
      </c>
      <c r="E780" s="13" t="inlineStr">
        <is>
          <t>{1}{B}</t>
        </is>
      </c>
      <c r="F780" s="13" t="inlineStr">
        <is>
          <t>Preto</t>
        </is>
      </c>
      <c r="G780" s="8" t="n">
        <v>0.05</v>
      </c>
      <c r="H780" s="13" t="inlineStr">
        <is>
          <t>Magic Origins (ORI)</t>
        </is>
      </c>
      <c r="I780" s="13" t="inlineStr">
        <is>
          <t>Não</t>
        </is>
      </c>
      <c r="J780" s="13" t="n">
        <v>2015</v>
      </c>
      <c r="L780" s="13" t="n">
        <v>3</v>
      </c>
      <c r="M780" s="8">
        <f>L780*G780</f>
        <v/>
      </c>
      <c r="P780" s="9" t="n"/>
    </row>
    <row r="781">
      <c r="A781" s="13" t="inlineStr">
        <is>
          <t>Destroy Evil / Destruir o Mal</t>
        </is>
      </c>
      <c r="B781" s="13" t="inlineStr">
        <is>
          <t>Instant / Mágica Instantânea</t>
        </is>
      </c>
      <c r="C781" s="13" t="inlineStr">
        <is>
          <t>Common / Comum</t>
        </is>
      </c>
      <c r="D781" s="13" t="inlineStr">
        <is>
          <t>Choose one — • Destroy target creature with toughness 4 or greater. • Destroy target enchantment. / Escolha um — • Destrua a criatura alvo com resistência igual ou superior a 4. • Destrua o encantamento alvo.</t>
        </is>
      </c>
      <c r="E781" s="13" t="inlineStr">
        <is>
          <t>{1}{W}</t>
        </is>
      </c>
      <c r="F781" s="13" t="inlineStr">
        <is>
          <t>Branco</t>
        </is>
      </c>
      <c r="G781" s="8" t="n">
        <v>1.08</v>
      </c>
      <c r="H781" s="13" t="inlineStr">
        <is>
          <t>Dominaria United (DMU)</t>
        </is>
      </c>
      <c r="I781" s="13" t="inlineStr">
        <is>
          <t>Não</t>
        </is>
      </c>
      <c r="J781" s="13" t="n">
        <v>2022</v>
      </c>
      <c r="L781" s="13" t="n">
        <v>1</v>
      </c>
      <c r="M781" s="8">
        <f>L781*G781</f>
        <v/>
      </c>
      <c r="P781" s="9" t="n"/>
    </row>
    <row r="782">
      <c r="A782" s="13" t="inlineStr">
        <is>
          <t>Destructive Tampering / Modificação Destrutiva</t>
        </is>
      </c>
      <c r="B782" s="13" t="inlineStr">
        <is>
          <t>Sorcery / Feitiço</t>
        </is>
      </c>
      <c r="C782" s="13" t="inlineStr">
        <is>
          <t>Common / Comum</t>
        </is>
      </c>
      <c r="D782" s="13" t="inlineStr">
        <is>
          <t>Choose one — • Destroy target artifact. • Creatures without flying can't block this turn. / Escolha um — • Destrua o artefato alvo. • As criaturas sem voar não podem bloquear neste turno.</t>
        </is>
      </c>
      <c r="E782" s="13" t="inlineStr">
        <is>
          <t>{2}{R}</t>
        </is>
      </c>
      <c r="F782" s="13" t="inlineStr">
        <is>
          <t>Vermelho</t>
        </is>
      </c>
      <c r="G782" s="8" t="n">
        <v>0.03</v>
      </c>
      <c r="H782" s="13" t="inlineStr">
        <is>
          <t>Aether Revolt (AER)</t>
        </is>
      </c>
      <c r="I782" s="13" t="inlineStr">
        <is>
          <t>Não</t>
        </is>
      </c>
      <c r="J782" s="13" t="n">
        <v>2017</v>
      </c>
      <c r="L782" s="13" t="n">
        <v>1</v>
      </c>
      <c r="M782" s="8">
        <f>L782*G782</f>
        <v/>
      </c>
      <c r="P782" s="9" t="n"/>
    </row>
    <row r="783">
      <c r="A783" s="13" t="inlineStr">
        <is>
          <t>Detonate / Explodir</t>
        </is>
      </c>
      <c r="B783" s="13" t="inlineStr">
        <is>
          <t>Sorcery / Feitiço</t>
        </is>
      </c>
      <c r="C783" s="13" t="inlineStr">
        <is>
          <t>Uncommon / Incomum</t>
        </is>
      </c>
      <c r="D783" s="13"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783" s="13" t="inlineStr">
        <is>
          <t>{X}{R}</t>
        </is>
      </c>
      <c r="F783" s="13" t="inlineStr">
        <is>
          <t>Vermelho</t>
        </is>
      </c>
      <c r="G783" s="8" t="n">
        <v>0.06</v>
      </c>
      <c r="H783" s="13" t="inlineStr">
        <is>
          <t>Quarta Edição</t>
        </is>
      </c>
      <c r="I783" s="13" t="inlineStr">
        <is>
          <t>Não</t>
        </is>
      </c>
      <c r="J783" s="13" t="n">
        <v>1995</v>
      </c>
      <c r="L783" s="13" t="n">
        <v>1</v>
      </c>
      <c r="M783" s="8">
        <f>L783*G783</f>
        <v/>
      </c>
      <c r="P783" s="9" t="n"/>
    </row>
    <row r="784">
      <c r="A784" s="13" t="inlineStr">
        <is>
          <t>Devastador de Lambholt / Lambholt Ravager</t>
        </is>
      </c>
      <c r="B784" s="13" t="inlineStr">
        <is>
          <t>Criatura — Lobo / Creature — Wolf</t>
        </is>
      </c>
      <c r="C784" s="13" t="inlineStr">
        <is>
          <t>Comum / Common</t>
        </is>
      </c>
      <c r="D784" s="13" t="inlineStr">
        <is>
          <t>{3}{R}: A criatura alvo não pode bloquear neste turno. / {3}{R}: Target creature can't block this turn.</t>
        </is>
      </c>
      <c r="E784" s="13" t="inlineStr">
        <is>
          <t>{1}{R}</t>
        </is>
      </c>
      <c r="F784" s="13" t="inlineStr">
        <is>
          <t>Vermelho / Red</t>
        </is>
      </c>
      <c r="G784" s="8" t="n">
        <v>0.04</v>
      </c>
      <c r="H784" s="13" t="inlineStr">
        <is>
          <t>Innistrad: Midnight Hunt (MID)</t>
        </is>
      </c>
      <c r="I784" s="13" t="inlineStr">
        <is>
          <t>Não</t>
        </is>
      </c>
      <c r="J784" s="13" t="n">
        <v>2021</v>
      </c>
      <c r="K784" s="10" t="n">
        <v>46055</v>
      </c>
      <c r="L784" s="13" t="n">
        <v>3</v>
      </c>
      <c r="M784" s="8">
        <f>L784*G784</f>
        <v/>
      </c>
      <c r="P784" s="9" t="n"/>
    </row>
    <row r="785">
      <c r="A785" s="13" t="inlineStr">
        <is>
          <t>Devilthorn Fox / Raposa de Espinho do Diabo</t>
        </is>
      </c>
      <c r="B785" s="13" t="inlineStr">
        <is>
          <t>Creature — Fox / Criatura — Raposa</t>
        </is>
      </c>
      <c r="C785" s="13" t="inlineStr">
        <is>
          <t>Common / Comum</t>
        </is>
      </c>
      <c r="E785" s="13" t="inlineStr">
        <is>
          <t>{1}{W}</t>
        </is>
      </c>
      <c r="F785" s="13" t="inlineStr">
        <is>
          <t>Branco</t>
        </is>
      </c>
      <c r="G785" s="8" t="n">
        <v>0.05</v>
      </c>
      <c r="H785" s="13" t="inlineStr">
        <is>
          <t>Shadows over Innistrad (SOI)</t>
        </is>
      </c>
      <c r="I785" s="13" t="inlineStr">
        <is>
          <t>Não</t>
        </is>
      </c>
      <c r="J785" s="13" t="n">
        <v>2016</v>
      </c>
      <c r="K785" s="10" t="n">
        <v>46025</v>
      </c>
      <c r="L785" s="13" t="n">
        <v>3</v>
      </c>
      <c r="M785" s="8">
        <f>L785*G785</f>
        <v/>
      </c>
      <c r="P785" s="9" t="n"/>
    </row>
    <row r="786">
      <c r="A786" s="13" t="inlineStr">
        <is>
          <t>Devoradora de Tassa</t>
        </is>
      </c>
      <c r="B786" s="13" t="inlineStr">
        <is>
          <t>Criatura Encantamento — Elemental</t>
        </is>
      </c>
      <c r="C786" s="13" t="inlineStr">
        <is>
          <t>Comum</t>
        </is>
      </c>
      <c r="D786" s="13" t="inlineStr">
        <is>
          <t>Constelação — Toda vez que Devoradora de Tassa ou outro encantamento entra no campo de batalha sob o seu controle, o jogador alvo coloca os dois cards do topo do grimório dele no próprio cemitério.</t>
        </is>
      </c>
      <c r="E786" s="13" t="inlineStr">
        <is>
          <t>4U</t>
        </is>
      </c>
      <c r="F786" s="13" t="inlineStr">
        <is>
          <t>Azul</t>
        </is>
      </c>
      <c r="G786" s="8" t="n">
        <v>0.03</v>
      </c>
      <c r="H786" s="13" t="inlineStr">
        <is>
          <t>Journey into Nyx</t>
        </is>
      </c>
      <c r="I786" s="13" t="inlineStr">
        <is>
          <t>Não</t>
        </is>
      </c>
      <c r="J786" s="13" t="n">
        <v>2014</v>
      </c>
      <c r="K786" s="10" t="n">
        <v>46175</v>
      </c>
      <c r="L786" s="13" t="n">
        <v>2</v>
      </c>
      <c r="M786" s="8">
        <f>L786*G786</f>
        <v/>
      </c>
      <c r="P786" s="9" t="n"/>
    </row>
    <row r="787">
      <c r="A787" s="13" t="inlineStr">
        <is>
          <t>Dewdrop Spy / Espiã da Gota de Orvalho</t>
        </is>
      </c>
      <c r="B787" s="13" t="inlineStr">
        <is>
          <t>Creature — Faerie Rogue / Criatura — Fada Ladino</t>
        </is>
      </c>
      <c r="C787" s="13" t="inlineStr">
        <is>
          <t>Common / Comum</t>
        </is>
      </c>
      <c r="D787" s="13" t="inlineStr">
        <is>
          <t>Flash Flying When this creature enters, look at the top card of target player's library. / Lampejo Voar Quando Espiã da Gota de Orvalho entrar em jogo, olhe o card do topo do grimório do jogador alvo.</t>
        </is>
      </c>
      <c r="E787" s="13" t="inlineStr">
        <is>
          <t>{1}{U}{U}</t>
        </is>
      </c>
      <c r="F787" s="13" t="inlineStr">
        <is>
          <t>Azul</t>
        </is>
      </c>
      <c r="G787" s="8" t="n">
        <v>0.05</v>
      </c>
      <c r="H787" s="13" t="inlineStr">
        <is>
          <t>Morningtide (MOR)</t>
        </is>
      </c>
      <c r="I787" s="13" t="inlineStr">
        <is>
          <t>Não</t>
        </is>
      </c>
      <c r="J787" s="13" t="n">
        <v>2008</v>
      </c>
      <c r="K787" s="10" t="n">
        <v>46055</v>
      </c>
      <c r="L787" s="13" t="n">
        <v>1</v>
      </c>
      <c r="M787" s="8">
        <f>L787*G787</f>
        <v/>
      </c>
      <c r="P787" s="9" t="n"/>
    </row>
    <row r="788">
      <c r="A788" s="13" t="inlineStr">
        <is>
          <t>Diabolic Machine / Máquina Diabólica</t>
        </is>
      </c>
      <c r="B788" s="13" t="inlineStr">
        <is>
          <t>Artifact Creature — Construct</t>
        </is>
      </c>
      <c r="C788" s="13" t="inlineStr">
        <is>
          <t>Uncommon / Incomum</t>
        </is>
      </c>
      <c r="D788" s="13" t="inlineStr">
        <is>
          <t>{3}: Regenerate this creature.</t>
        </is>
      </c>
      <c r="E788" s="13" t="inlineStr">
        <is>
          <t>{7}</t>
        </is>
      </c>
      <c r="F788" s="13" t="inlineStr">
        <is>
          <t>Incolor</t>
        </is>
      </c>
      <c r="G788" s="8" t="n">
        <v>0.09</v>
      </c>
      <c r="H788" s="13" t="inlineStr">
        <is>
          <t>Fourth Edition</t>
        </is>
      </c>
      <c r="I788" s="13" t="inlineStr">
        <is>
          <t>Não</t>
        </is>
      </c>
      <c r="J788" s="13" t="n">
        <v>1995</v>
      </c>
      <c r="K788" s="10" t="n">
        <v>46116</v>
      </c>
      <c r="L788" s="13" t="n">
        <v>1</v>
      </c>
      <c r="M788" s="8">
        <f>L788*G788</f>
        <v/>
      </c>
      <c r="P788" s="9" t="n"/>
    </row>
    <row r="789">
      <c r="A789" s="13" t="inlineStr">
        <is>
          <t>Diabolic Machine / Máquina Diabólica</t>
        </is>
      </c>
      <c r="B789" s="13" t="inlineStr">
        <is>
          <t>Artifact Creature — Construct</t>
        </is>
      </c>
      <c r="C789" s="13" t="inlineStr">
        <is>
          <t>Uncommon / Incomum</t>
        </is>
      </c>
      <c r="D789" s="13" t="inlineStr">
        <is>
          <t>{3}: Regenerate this creature.</t>
        </is>
      </c>
      <c r="E789" s="13" t="inlineStr">
        <is>
          <t>{7}</t>
        </is>
      </c>
      <c r="F789" s="13" t="inlineStr">
        <is>
          <t>Incolor</t>
        </is>
      </c>
      <c r="G789" s="8" t="n">
        <v>0.2</v>
      </c>
      <c r="H789" s="13" t="inlineStr">
        <is>
          <t>Fourth Edition (BB)</t>
        </is>
      </c>
      <c r="I789" s="13" t="inlineStr">
        <is>
          <t>Não</t>
        </is>
      </c>
      <c r="J789" s="13" t="n">
        <v>1995</v>
      </c>
      <c r="K789" s="10" t="n">
        <v>46116</v>
      </c>
      <c r="L789" s="13" t="n">
        <v>1</v>
      </c>
      <c r="M789" s="8">
        <f>L789*G789</f>
        <v/>
      </c>
      <c r="P789" s="9" t="n"/>
    </row>
    <row r="790">
      <c r="A790" s="13" t="inlineStr">
        <is>
          <t>Diadema de Raios</t>
        </is>
      </c>
      <c r="B790" s="13" t="inlineStr">
        <is>
          <t>Encantamento — Aura</t>
        </is>
      </c>
      <c r="C790" s="13" t="inlineStr">
        <is>
          <t>Comum</t>
        </is>
      </c>
      <c r="D790" s="13" t="inlineStr">
        <is>
          <t>Encantar criatura Quando Diadema de Raios entra no campo de batalha, ele causa 2 pontos de dano à criatura ou jogador alvo. A criatura encantada recebe +2/+2.</t>
        </is>
      </c>
      <c r="E790" s="13" t="inlineStr">
        <is>
          <t>5R</t>
        </is>
      </c>
      <c r="F790" s="13" t="inlineStr">
        <is>
          <t>Vermelha</t>
        </is>
      </c>
      <c r="G790" s="8" t="n">
        <v>0.03</v>
      </c>
      <c r="H790" s="13" t="inlineStr">
        <is>
          <t>Journey into Nyx</t>
        </is>
      </c>
      <c r="I790" s="13" t="inlineStr">
        <is>
          <t>Não</t>
        </is>
      </c>
      <c r="J790" s="13" t="n">
        <v>2014</v>
      </c>
      <c r="L790" s="13" t="n">
        <v>2</v>
      </c>
      <c r="M790" s="8">
        <f>L790*G790</f>
        <v/>
      </c>
      <c r="P790" s="9" t="n"/>
    </row>
    <row r="791">
      <c r="A791" s="13" t="inlineStr">
        <is>
          <t>Diamond Weapon / Arma de Diamante</t>
        </is>
      </c>
      <c r="B791" s="13" t="inlineStr">
        <is>
          <t>Criatura Artefato Lendária — Elemental</t>
        </is>
      </c>
      <c r="C791" s="13" t="inlineStr">
        <is>
          <t>Incomum</t>
        </is>
      </c>
      <c r="D791" s="13" t="inlineStr">
        <is>
          <t>Esta mágica custa {1} a menos para ser conjurada para cada card de permanente em seu cemitério. Alcance. Imune — Previna todo o dano de combate que seria causado a Arma de Diamante.</t>
        </is>
      </c>
      <c r="E791" s="13" t="inlineStr">
        <is>
          <t>7{G}{G}</t>
        </is>
      </c>
      <c r="F791" s="13" t="inlineStr">
        <is>
          <t>Verde</t>
        </is>
      </c>
      <c r="G791" s="8" t="n">
        <v>0.25</v>
      </c>
      <c r="H791" s="13" t="inlineStr">
        <is>
          <t>Final Fantasy</t>
        </is>
      </c>
      <c r="I791" s="13" t="inlineStr">
        <is>
          <t>Não</t>
        </is>
      </c>
      <c r="J791" s="13" t="n">
        <v>2025</v>
      </c>
      <c r="K791" s="10" t="n">
        <v>46242</v>
      </c>
      <c r="L791" s="13" t="n">
        <v>1</v>
      </c>
      <c r="M791" s="8">
        <f>L791*G791</f>
        <v/>
      </c>
      <c r="P791" s="9" t="n"/>
    </row>
    <row r="792">
      <c r="A792" s="13" t="inlineStr">
        <is>
          <t>Dictate of Heliod / Decreto de Heliode</t>
        </is>
      </c>
      <c r="B792" s="13" t="inlineStr">
        <is>
          <t>Enchantment / Encantamento</t>
        </is>
      </c>
      <c r="C792" s="13" t="inlineStr">
        <is>
          <t>Rare / Rara</t>
        </is>
      </c>
      <c r="D792" s="13" t="inlineStr">
        <is>
          <t>Flash Creatures you control get +2/+2. / Lampejo As criaturas que você controla recebem +2/+2.</t>
        </is>
      </c>
      <c r="E792" s="13" t="inlineStr">
        <is>
          <t>{3}{W}{W}</t>
        </is>
      </c>
      <c r="F792" s="13" t="inlineStr">
        <is>
          <t>Branco</t>
        </is>
      </c>
      <c r="G792" s="8" t="n">
        <v>0.68</v>
      </c>
      <c r="H792" s="13" t="inlineStr">
        <is>
          <t>The List (PLST)</t>
        </is>
      </c>
      <c r="I792" s="13" t="inlineStr">
        <is>
          <t>Não</t>
        </is>
      </c>
      <c r="J792" s="13" t="n">
        <v>2019</v>
      </c>
      <c r="L792" s="13" t="n">
        <v>2</v>
      </c>
      <c r="M792" s="8">
        <f>L792*G792</f>
        <v/>
      </c>
      <c r="P792" s="9" t="n"/>
    </row>
    <row r="793">
      <c r="A793" s="13" t="inlineStr">
        <is>
          <t>Dictate of Kruphix / Decreto de Crufix</t>
        </is>
      </c>
      <c r="B793" s="13" t="inlineStr">
        <is>
          <t>Enchantment / Encantamento</t>
        </is>
      </c>
      <c r="C793" s="13" t="inlineStr">
        <is>
          <t>Rare / Rara</t>
        </is>
      </c>
      <c r="D793" s="13" t="inlineStr">
        <is>
          <t>Flash (You may cast this spell any time you could cast an instant.) At the beginning of each player's draw step, that player draws an additional card. / Lampejo No início da etapa de compra de cada jogador, aquele jogador compra um card adicional.</t>
        </is>
      </c>
      <c r="E793" s="13" t="inlineStr">
        <is>
          <t>{1}{U}{U}</t>
        </is>
      </c>
      <c r="F793" s="13" t="inlineStr">
        <is>
          <t>Azul</t>
        </is>
      </c>
      <c r="G793" s="8" t="n">
        <v>0.5600000000000001</v>
      </c>
      <c r="H793" s="13" t="inlineStr">
        <is>
          <t>Journey into Nyx Promos (PJOU)</t>
        </is>
      </c>
      <c r="I793" s="13" t="inlineStr">
        <is>
          <t>Não</t>
        </is>
      </c>
      <c r="J793" s="13" t="n">
        <v>2014</v>
      </c>
      <c r="L793" s="13" t="n">
        <v>1</v>
      </c>
      <c r="M793" s="8">
        <f>L793*G793</f>
        <v/>
      </c>
      <c r="P793" s="9" t="n"/>
    </row>
    <row r="794">
      <c r="A794" s="13" t="inlineStr">
        <is>
          <t>Dig Site Inventory / Inventário do Sítio de Escavação</t>
        </is>
      </c>
      <c r="B794" s="13" t="inlineStr">
        <is>
          <t>Feitiço</t>
        </is>
      </c>
      <c r="C794" s="13" t="inlineStr">
        <is>
          <t>Comum</t>
        </is>
      </c>
      <c r="D794" s="13" t="inlineStr">
        <is>
          <t>Coloque um marcador +1/+1 na criatura alvo que você controla. Ela ganha vigilância até o final do turno. Recapitular {W} (Você pode conjurar este card de seu cemitério por seu custo de recapitular. Depois, exile-o.)</t>
        </is>
      </c>
      <c r="E794" s="13" t="inlineStr">
        <is>
          <t>{W}</t>
        </is>
      </c>
      <c r="F794" s="13" t="inlineStr">
        <is>
          <t>Branco</t>
        </is>
      </c>
      <c r="G794" s="8" t="n">
        <v>0.15</v>
      </c>
      <c r="H794" s="13" t="inlineStr">
        <is>
          <t>Strixhaven: School of Mages (SOS)</t>
        </is>
      </c>
      <c r="I794" s="13" t="inlineStr">
        <is>
          <t>Não</t>
        </is>
      </c>
      <c r="J794" s="13" t="n">
        <v>2026</v>
      </c>
      <c r="L794" s="13" t="n">
        <v>3</v>
      </c>
      <c r="M794" s="8">
        <f>L794*G794</f>
        <v/>
      </c>
      <c r="P794" s="9" t="n"/>
    </row>
    <row r="795">
      <c r="A795" s="13" t="inlineStr">
        <is>
          <t>Diligent Zookeeper</t>
        </is>
      </c>
      <c r="B795" s="13" t="inlineStr">
        <is>
          <t>Creature — Human Citizen Ally</t>
        </is>
      </c>
      <c r="C795" s="13" t="inlineStr">
        <is>
          <t>Rare / Rara</t>
        </is>
      </c>
      <c r="D795" s="13" t="inlineStr">
        <is>
          <t>Each non-Human creature you control gets +1/+1 for each of its creature types, to a maximum of 10.</t>
        </is>
      </c>
      <c r="E795" s="13" t="inlineStr">
        <is>
          <t>{3}{G}</t>
        </is>
      </c>
      <c r="F795" s="13" t="inlineStr">
        <is>
          <t>Verde</t>
        </is>
      </c>
      <c r="G795" s="8" t="n">
        <v>0.95</v>
      </c>
      <c r="H795" s="13" t="inlineStr">
        <is>
          <t>Avatar: The Last Airbender (TLA)</t>
        </is>
      </c>
      <c r="I795" s="13" t="inlineStr">
        <is>
          <t>Não</t>
        </is>
      </c>
      <c r="J795" s="13" t="n">
        <v>2025</v>
      </c>
      <c r="K795" s="10" t="n">
        <v>46116</v>
      </c>
      <c r="L795" s="13" t="n">
        <v>1</v>
      </c>
      <c r="M795" s="8">
        <f>L795*G795</f>
        <v/>
      </c>
      <c r="P795" s="9" t="n"/>
    </row>
    <row r="796">
      <c r="A796" s="13" t="inlineStr">
        <is>
          <t>Dimensional Exile</t>
        </is>
      </c>
      <c r="B796" s="13" t="inlineStr">
        <is>
          <t>Enchantment — Aura</t>
        </is>
      </c>
      <c r="C796" s="13" t="inlineStr">
        <is>
          <t>Uncommon / Incomum</t>
        </is>
      </c>
      <c r="D796" s="13" t="inlineStr">
        <is>
          <t>Enchant basic land you control When this Aura enters, exile target creature an opponent controls until this Aura leaves the battlefield.</t>
        </is>
      </c>
      <c r="E796" s="13" t="inlineStr">
        <is>
          <t>{1}{W}</t>
        </is>
      </c>
      <c r="F796" s="13" t="inlineStr">
        <is>
          <t>Branco</t>
        </is>
      </c>
      <c r="G796" s="8" t="n">
        <v>0.18</v>
      </c>
      <c r="H796" s="13" t="inlineStr">
        <is>
          <t>Teenage Mutant Ninja Turtles (TMT)</t>
        </is>
      </c>
      <c r="I796" s="13" t="inlineStr">
        <is>
          <t>Não</t>
        </is>
      </c>
      <c r="J796" s="13" t="n">
        <v>2026</v>
      </c>
      <c r="L796" s="13" t="n">
        <v>1</v>
      </c>
      <c r="M796" s="8">
        <f>L796*G796</f>
        <v/>
      </c>
      <c r="P796" s="9" t="n"/>
    </row>
    <row r="797">
      <c r="A797" s="13" t="inlineStr">
        <is>
          <t>Dimensional Exile</t>
        </is>
      </c>
      <c r="B797" s="13" t="inlineStr">
        <is>
          <t>Enchantment — Aura</t>
        </is>
      </c>
      <c r="C797" s="13" t="inlineStr">
        <is>
          <t>Uncommon / Incomum</t>
        </is>
      </c>
      <c r="D797" s="13" t="inlineStr">
        <is>
          <t>Enchant basic land you control When this Aura enters, exile target creature an opponent controls until this Aura leaves the battlefield.</t>
        </is>
      </c>
      <c r="E797" s="13" t="inlineStr">
        <is>
          <t>{1}{W}</t>
        </is>
      </c>
      <c r="F797" s="13" t="inlineStr">
        <is>
          <t>Branco</t>
        </is>
      </c>
      <c r="G797" s="8" t="n">
        <v>0.25</v>
      </c>
      <c r="H797" s="13" t="inlineStr">
        <is>
          <t>Teenage Mutant Ninja Turtles (TMT)</t>
        </is>
      </c>
      <c r="I797" s="13" t="inlineStr">
        <is>
          <t>Sim</t>
        </is>
      </c>
      <c r="J797" s="13" t="n">
        <v>2026</v>
      </c>
      <c r="L797" s="13" t="n">
        <v>1</v>
      </c>
      <c r="M797" s="8">
        <f>L797*G797</f>
        <v/>
      </c>
      <c r="P797" s="9" t="n"/>
    </row>
    <row r="798">
      <c r="A798" s="13" t="inlineStr">
        <is>
          <t>Dimir Keyrune / Chave Rúnica Dimir</t>
        </is>
      </c>
      <c r="B798" s="13" t="inlineStr">
        <is>
          <t>Artifact / Artefato</t>
        </is>
      </c>
      <c r="C798" s="13" t="inlineStr">
        <is>
          <t>Uncommon / Incomum</t>
        </is>
      </c>
      <c r="D798" s="13" t="inlineStr">
        <is>
          <t>{T}: Add {U} or {B}. {U}{B}: Dimir Keyrune becomes a 2/2 blue and Preto Horror artifact creature until end of turn and can't be blocked this turn.</t>
        </is>
      </c>
      <c r="E798" s="13" t="inlineStr">
        <is>
          <t>{3}</t>
        </is>
      </c>
      <c r="F798" s="13" t="inlineStr">
        <is>
          <t>Incolor</t>
        </is>
      </c>
      <c r="G798" s="8" t="n">
        <v>0.21</v>
      </c>
      <c r="H798" s="13" t="inlineStr">
        <is>
          <t>Gatecrash (GTC)</t>
        </is>
      </c>
      <c r="I798" s="13" t="inlineStr">
        <is>
          <t>No</t>
        </is>
      </c>
      <c r="J798" s="13" t="n">
        <v>2013</v>
      </c>
      <c r="L798" s="13" t="n">
        <v>1</v>
      </c>
      <c r="M798" s="8">
        <f>L798*G798</f>
        <v/>
      </c>
      <c r="P798" s="9" t="n"/>
    </row>
    <row r="799">
      <c r="A799" s="13" t="inlineStr">
        <is>
          <t>Diplomacia ao Fio da Espada / Razaketh's Rite</t>
        </is>
      </c>
      <c r="B799" s="13" t="inlineStr">
        <is>
          <t>Feitiço / Sorcery</t>
        </is>
      </c>
      <c r="C799" s="13" t="inlineStr">
        <is>
          <t>Rara / Rare</t>
        </is>
      </c>
      <c r="D799" s="13"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799" s="13" t="inlineStr">
        <is>
          <t>{2}{B}</t>
        </is>
      </c>
      <c r="F799" s="13" t="inlineStr">
        <is>
          <t>Preto</t>
        </is>
      </c>
      <c r="G799" s="8" t="n">
        <v>0.37</v>
      </c>
      <c r="H799" s="13" t="inlineStr">
        <is>
          <t>Ixalan (XLN)</t>
        </is>
      </c>
      <c r="I799" s="13" t="inlineStr">
        <is>
          <t>Não</t>
        </is>
      </c>
      <c r="J799" s="13" t="n">
        <v>2017</v>
      </c>
      <c r="L799" s="13" t="n">
        <v>1</v>
      </c>
      <c r="M799" s="8">
        <f>L799*G799</f>
        <v/>
      </c>
      <c r="P799" s="9" t="n"/>
    </row>
    <row r="800">
      <c r="A800" s="13" t="inlineStr">
        <is>
          <t>Diplomacia ao Fio da Espada / Sword-Point Diplomacy</t>
        </is>
      </c>
      <c r="B800" s="13" t="inlineStr">
        <is>
          <t>Feitiço / Sorcery</t>
        </is>
      </c>
      <c r="C800" s="13" t="inlineStr">
        <is>
          <t>Rara / Rare</t>
        </is>
      </c>
      <c r="D800" s="13"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800" s="13" t="inlineStr">
        <is>
          <t>{2}{B}</t>
        </is>
      </c>
      <c r="F800" s="13" t="inlineStr">
        <is>
          <t>Preto / Black</t>
        </is>
      </c>
      <c r="G800" s="8" t="n">
        <v>0.37</v>
      </c>
      <c r="H800" s="13" t="inlineStr">
        <is>
          <t>Ixalan (XLN)</t>
        </is>
      </c>
      <c r="I800" s="13" t="inlineStr">
        <is>
          <t>Não</t>
        </is>
      </c>
      <c r="J800" s="13" t="n">
        <v>2017</v>
      </c>
      <c r="L800" s="13" t="n">
        <v>1</v>
      </c>
      <c r="M800" s="8">
        <f>L800*G800</f>
        <v/>
      </c>
      <c r="P800" s="9" t="n"/>
    </row>
    <row r="801">
      <c r="A801" s="13" t="inlineStr">
        <is>
          <t>Diplomacy of the Wastes / Diplomacia dos Ermos</t>
        </is>
      </c>
      <c r="B801" s="13" t="inlineStr">
        <is>
          <t>Sorcery / Feitiço</t>
        </is>
      </c>
      <c r="C801" s="13" t="inlineStr">
        <is>
          <t>Uncommon / Incomum</t>
        </is>
      </c>
      <c r="D801" s="13"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801" s="13" t="inlineStr">
        <is>
          <t>{2}{B}</t>
        </is>
      </c>
      <c r="F801" s="13" t="inlineStr">
        <is>
          <t>Preto</t>
        </is>
      </c>
      <c r="G801" s="8" t="n">
        <v>0.08</v>
      </c>
      <c r="H801" s="13" t="inlineStr">
        <is>
          <t>Fate Reforged (FRF)</t>
        </is>
      </c>
      <c r="I801" s="13" t="inlineStr">
        <is>
          <t>Não</t>
        </is>
      </c>
      <c r="J801" s="13" t="n">
        <v>2015</v>
      </c>
      <c r="L801" s="13" t="n">
        <v>1</v>
      </c>
      <c r="M801" s="8">
        <f>L801*G801</f>
        <v/>
      </c>
      <c r="N801" s="13" t="inlineStr">
        <is>
          <t>Bulk Shopee</t>
        </is>
      </c>
      <c r="P801" s="9" t="n"/>
    </row>
    <row r="802">
      <c r="A802" s="13" t="inlineStr">
        <is>
          <t>Diplomatic Relations / Relações Diplomáticas</t>
        </is>
      </c>
      <c r="B802" s="13" t="inlineStr">
        <is>
          <t>Mágica Instantânea</t>
        </is>
      </c>
      <c r="C802" s="13" t="inlineStr">
        <is>
          <t>Comum</t>
        </is>
      </c>
      <c r="D802" s="13" t="inlineStr">
        <is>
          <t>A criatura alvo recebe +1/+0 e ganha vigilância até o final do turno. Ela causa dano igual ao seu poder à criatura alvo que um oponente controla.</t>
        </is>
      </c>
      <c r="E802" s="13" t="inlineStr">
        <is>
          <t>2{G}</t>
        </is>
      </c>
      <c r="F802" s="13" t="inlineStr">
        <is>
          <t>Verde</t>
        </is>
      </c>
      <c r="G802" s="8" t="n">
        <v>0.06</v>
      </c>
      <c r="H802" s="13" t="inlineStr">
        <is>
          <t>Edge of Eternity</t>
        </is>
      </c>
      <c r="I802" s="13" t="inlineStr">
        <is>
          <t>Não</t>
        </is>
      </c>
      <c r="J802" s="13" t="n">
        <v>2025</v>
      </c>
      <c r="L802" s="13" t="n">
        <v>1</v>
      </c>
      <c r="M802" s="8">
        <f>L802*G802</f>
        <v/>
      </c>
      <c r="P802" s="9" t="n"/>
    </row>
    <row r="803">
      <c r="A803" s="13" t="inlineStr">
        <is>
          <t>Dire Downdraft</t>
        </is>
      </c>
      <c r="B803" s="13" t="inlineStr">
        <is>
          <t>Instant</t>
        </is>
      </c>
      <c r="C803" s="13" t="inlineStr">
        <is>
          <t>Common / Comum</t>
        </is>
      </c>
      <c r="D803" s="13" t="inlineStr">
        <is>
          <t>This spell costs {1} less to cast if it targets an attacking or tapped creature. Target creature's owner puts it on their choice of the top or bottom of their library.</t>
        </is>
      </c>
      <c r="E803" s="13" t="inlineStr">
        <is>
          <t>{3}{U}</t>
        </is>
      </c>
      <c r="F803" s="13" t="inlineStr">
        <is>
          <t>Azul</t>
        </is>
      </c>
      <c r="G803" s="8" t="n">
        <v>0.04</v>
      </c>
      <c r="H803" s="13" t="inlineStr">
        <is>
          <t>Bloomburrow (BLB)</t>
        </is>
      </c>
      <c r="I803" s="13" t="inlineStr">
        <is>
          <t>Não</t>
        </is>
      </c>
      <c r="J803" s="13" t="n">
        <v>2024</v>
      </c>
      <c r="L803" s="13" t="n">
        <v>1</v>
      </c>
      <c r="M803" s="8">
        <f>L803*G803</f>
        <v/>
      </c>
      <c r="P803" s="9" t="n"/>
    </row>
    <row r="804">
      <c r="A804" s="13" t="inlineStr">
        <is>
          <t>Diregraf Ghoul / Carniçal do Cemitério do Terror</t>
        </is>
      </c>
      <c r="B804" s="13" t="inlineStr">
        <is>
          <t>Creature — Zombie / Criatura — Zumbi</t>
        </is>
      </c>
      <c r="C804" s="13" t="inlineStr">
        <is>
          <t>Uncommon / Incomum</t>
        </is>
      </c>
      <c r="D804" s="13" t="inlineStr">
        <is>
          <t>This creature enters tapped. / Carniçal do Cemitério do Terror entra no campo de batalha virado.</t>
        </is>
      </c>
      <c r="E804" s="13" t="inlineStr">
        <is>
          <t>{B}</t>
        </is>
      </c>
      <c r="F804" s="13" t="inlineStr">
        <is>
          <t>Preto</t>
        </is>
      </c>
      <c r="G804" s="8" t="n">
        <v>0.1</v>
      </c>
      <c r="H804" s="13" t="inlineStr">
        <is>
          <t>Innistrad (ISD)</t>
        </is>
      </c>
      <c r="I804" s="13" t="inlineStr">
        <is>
          <t>Não</t>
        </is>
      </c>
      <c r="J804" s="13" t="n">
        <v>2011</v>
      </c>
      <c r="K804" s="10" t="n">
        <v>46055</v>
      </c>
      <c r="L804" s="13" t="n">
        <v>1</v>
      </c>
      <c r="M804" s="8">
        <f>L804*G804</f>
        <v/>
      </c>
      <c r="P804" s="9" t="n"/>
    </row>
    <row r="805">
      <c r="A805" s="13" t="inlineStr">
        <is>
          <t>Diresight</t>
        </is>
      </c>
      <c r="B805" s="13" t="inlineStr">
        <is>
          <t>Sorcery</t>
        </is>
      </c>
      <c r="C805" s="13" t="inlineStr">
        <is>
          <t>Common / Comum</t>
        </is>
      </c>
      <c r="D805" s="13" t="inlineStr">
        <is>
          <t>Surveil 2, then draw two cards. You lose 2 life. (To surveil 2, look at the top two cards of your library, then put any number of them into your graveyard and the rest on top of your library in any order.)</t>
        </is>
      </c>
      <c r="E805" s="13" t="inlineStr">
        <is>
          <t>{2}{B}</t>
        </is>
      </c>
      <c r="F805" s="13" t="inlineStr">
        <is>
          <t>Preto</t>
        </is>
      </c>
      <c r="G805" s="8" t="n">
        <v>0.25</v>
      </c>
      <c r="H805" s="13" t="inlineStr">
        <is>
          <t>Bloomburrow (BLB)</t>
        </is>
      </c>
      <c r="I805" s="13" t="inlineStr">
        <is>
          <t>Sim</t>
        </is>
      </c>
      <c r="J805" s="13" t="n">
        <v>2024</v>
      </c>
      <c r="L805" s="13" t="n">
        <v>1</v>
      </c>
      <c r="M805" s="8">
        <f>L805*G805</f>
        <v/>
      </c>
      <c r="P805" s="9" t="n"/>
    </row>
    <row r="806">
      <c r="A806" s="13" t="inlineStr">
        <is>
          <t>Dirtwater Wraith / Aparição do Palude</t>
        </is>
      </c>
      <c r="B806" s="13" t="inlineStr">
        <is>
          <t>Creature — Wraith</t>
        </is>
      </c>
      <c r="C806" s="13" t="inlineStr">
        <is>
          <t>Common / Comum</t>
        </is>
      </c>
      <c r="D806" s="13" t="inlineStr">
        <is>
          <t>Swampwalk (This creature can't be blocked as long as defending player controls a Swamp.) {B}: This creature gets +1/+0 until end of turn.</t>
        </is>
      </c>
      <c r="E806" s="13" t="inlineStr">
        <is>
          <t>{3}{B}</t>
        </is>
      </c>
      <c r="F806" s="13" t="inlineStr">
        <is>
          <t>Preto</t>
        </is>
      </c>
      <c r="G806" s="8" t="n">
        <v>0.05</v>
      </c>
      <c r="H806" s="13" t="inlineStr">
        <is>
          <t>Mirage (MIR)</t>
        </is>
      </c>
      <c r="I806" s="13" t="inlineStr">
        <is>
          <t>Não</t>
        </is>
      </c>
      <c r="J806" s="13" t="n">
        <v>1996</v>
      </c>
      <c r="K806" s="10" t="n">
        <v>46082</v>
      </c>
      <c r="L806" s="13" t="n">
        <v>1</v>
      </c>
      <c r="M806" s="8">
        <f>L806*G806</f>
        <v/>
      </c>
      <c r="P806" s="9" t="n"/>
    </row>
    <row r="807">
      <c r="A807" s="13" t="inlineStr">
        <is>
          <t>Disciple of Deceit / Discípulo da Enganação</t>
        </is>
      </c>
      <c r="B807" s="13" t="inlineStr">
        <is>
          <t>Creature — Human Rogue / Criatura — Humano Ladino</t>
        </is>
      </c>
      <c r="C807" s="13" t="inlineStr">
        <is>
          <t>Uncommon / Incomum</t>
        </is>
      </c>
      <c r="D807" s="13"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807" s="13" t="inlineStr">
        <is>
          <t>{U}{B}</t>
        </is>
      </c>
      <c r="F807" s="13" t="inlineStr">
        <is>
          <t>Preto, Azul</t>
        </is>
      </c>
      <c r="G807" s="8" t="n">
        <v>0.11</v>
      </c>
      <c r="H807" s="13" t="inlineStr">
        <is>
          <t>Journey into Nyx (JOU)</t>
        </is>
      </c>
      <c r="I807" s="13" t="inlineStr">
        <is>
          <t>Não</t>
        </is>
      </c>
      <c r="J807" s="13" t="n">
        <v>2014</v>
      </c>
      <c r="K807" s="10" t="n">
        <v>46082</v>
      </c>
      <c r="L807" s="13" t="n">
        <v>1</v>
      </c>
      <c r="M807" s="8">
        <f>L807*G807</f>
        <v/>
      </c>
      <c r="P807" s="9" t="n"/>
    </row>
    <row r="808">
      <c r="A808" s="13" t="inlineStr">
        <is>
          <t>Discover the Impossible / Descobrir o Impossível</t>
        </is>
      </c>
      <c r="B808" s="13" t="inlineStr">
        <is>
          <t>Instant / Mágica Instantânea</t>
        </is>
      </c>
      <c r="C808" s="13" t="inlineStr">
        <is>
          <t>Uncommon / Incomum</t>
        </is>
      </c>
      <c r="D808" s="13"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808" s="13" t="inlineStr">
        <is>
          <t>{2}{U}</t>
        </is>
      </c>
      <c r="F808" s="13" t="inlineStr">
        <is>
          <t>Azul</t>
        </is>
      </c>
      <c r="G808" s="8" t="n">
        <v>0.13</v>
      </c>
      <c r="H808" s="13" t="inlineStr">
        <is>
          <t>Kamigawa: Neon Dynasty (NEO)</t>
        </is>
      </c>
      <c r="I808" s="13" t="inlineStr">
        <is>
          <t>Não</t>
        </is>
      </c>
      <c r="J808" s="13" t="n">
        <v>2022</v>
      </c>
      <c r="L808" s="13" t="n">
        <v>1</v>
      </c>
      <c r="M808" s="8">
        <f>L808*G808</f>
        <v/>
      </c>
      <c r="P808" s="9" t="n"/>
    </row>
    <row r="809">
      <c r="A809" s="13" t="inlineStr">
        <is>
          <t>Disempower</t>
        </is>
      </c>
      <c r="B809" s="13" t="inlineStr">
        <is>
          <t>Instant</t>
        </is>
      </c>
      <c r="C809" s="13" t="inlineStr">
        <is>
          <t>Common</t>
        </is>
      </c>
      <c r="D809" s="13" t="inlineStr">
        <is>
          <t>Put target artifact or enchantment on top of owner's library.</t>
        </is>
      </c>
      <c r="E809" s="13" t="inlineStr">
        <is>
          <t>{1}{W}</t>
        </is>
      </c>
      <c r="F809" s="13" t="inlineStr">
        <is>
          <t>White</t>
        </is>
      </c>
      <c r="G809" s="8" t="n">
        <v>0.05</v>
      </c>
      <c r="H809" s="13" t="inlineStr">
        <is>
          <t>Mirage (MIR)</t>
        </is>
      </c>
      <c r="I809" s="13" t="inlineStr">
        <is>
          <t>No</t>
        </is>
      </c>
      <c r="J809" s="13" t="n">
        <v>1996</v>
      </c>
      <c r="L809" s="13" t="n">
        <v>1</v>
      </c>
      <c r="M809" s="8">
        <f>L809*G809</f>
        <v/>
      </c>
      <c r="P809" s="9" t="n"/>
    </row>
    <row r="810">
      <c r="A810" s="13" t="inlineStr">
        <is>
          <t>Disenchant / Desencantar</t>
        </is>
      </c>
      <c r="B810" s="13" t="inlineStr">
        <is>
          <t>Instant / Instântanea</t>
        </is>
      </c>
      <c r="C810" s="13" t="inlineStr">
        <is>
          <t>Common / Comum</t>
        </is>
      </c>
      <c r="D810" s="13" t="inlineStr">
        <is>
          <t>Target enchantment or artifact is destroyed. / Destrua o encantamento ou artefato alvo.</t>
        </is>
      </c>
      <c r="E810" s="13" t="inlineStr">
        <is>
          <t>{1}{W}</t>
        </is>
      </c>
      <c r="F810" s="13" t="inlineStr">
        <is>
          <t>Branco</t>
        </is>
      </c>
      <c r="G810" s="8" t="n">
        <v>0.43</v>
      </c>
      <c r="H810" s="13" t="inlineStr">
        <is>
          <t>Alpha (LEA)</t>
        </is>
      </c>
      <c r="I810" s="13" t="inlineStr">
        <is>
          <t>No</t>
        </is>
      </c>
      <c r="J810" s="13" t="n">
        <v>1993</v>
      </c>
      <c r="L810" s="13" t="n">
        <v>1</v>
      </c>
      <c r="M810" s="8">
        <f>L810*G810</f>
        <v/>
      </c>
      <c r="P810" s="9" t="n"/>
    </row>
    <row r="811">
      <c r="A811" s="13" t="inlineStr">
        <is>
          <t>Disenchant / Desencantar</t>
        </is>
      </c>
      <c r="B811" s="13" t="inlineStr">
        <is>
          <t>Instant</t>
        </is>
      </c>
      <c r="C811" s="13" t="inlineStr">
        <is>
          <t>Common</t>
        </is>
      </c>
      <c r="D811" s="13" t="inlineStr">
        <is>
          <t>Destroy target artifact or enchantment.</t>
        </is>
      </c>
      <c r="E811" s="13" t="inlineStr">
        <is>
          <t>{1}{W}</t>
        </is>
      </c>
      <c r="F811" s="13" t="inlineStr">
        <is>
          <t>White</t>
        </is>
      </c>
      <c r="G811" s="8" t="n">
        <v>0.09</v>
      </c>
      <c r="H811" s="13" t="inlineStr">
        <is>
          <t>Classic Sixth Edition (6ED)</t>
        </is>
      </c>
      <c r="I811" s="13" t="inlineStr">
        <is>
          <t>No</t>
        </is>
      </c>
      <c r="J811" s="13" t="n">
        <v>1999</v>
      </c>
      <c r="L811" s="13" t="n">
        <v>1</v>
      </c>
      <c r="M811" s="8">
        <f>L811*G811</f>
        <v/>
      </c>
      <c r="P811" s="9" t="n"/>
    </row>
    <row r="812">
      <c r="A812" s="13" t="inlineStr">
        <is>
          <t>Disfigure / Desfigurar</t>
        </is>
      </c>
      <c r="B812" s="13" t="inlineStr">
        <is>
          <t>Instant</t>
        </is>
      </c>
      <c r="C812" s="13" t="inlineStr">
        <is>
          <t>Common</t>
        </is>
      </c>
      <c r="D812" s="13" t="inlineStr">
        <is>
          <t>Target creature gets -2/-2 until end of turn.</t>
        </is>
      </c>
      <c r="E812" s="13" t="inlineStr">
        <is>
          <t>{B}</t>
        </is>
      </c>
      <c r="F812" s="13" t="inlineStr">
        <is>
          <t>Preto</t>
        </is>
      </c>
      <c r="G812" s="8" t="n">
        <v>0.1</v>
      </c>
      <c r="H812" s="13" t="inlineStr">
        <is>
          <t>Masters 25 (A25)</t>
        </is>
      </c>
      <c r="I812" s="13" t="inlineStr">
        <is>
          <t>No</t>
        </is>
      </c>
      <c r="J812" s="13" t="n">
        <v>2018</v>
      </c>
      <c r="L812" s="13" t="n">
        <v>4</v>
      </c>
      <c r="M812" s="8">
        <f>L812*G812</f>
        <v/>
      </c>
      <c r="P812" s="9" t="n"/>
    </row>
    <row r="813">
      <c r="A813" s="13" t="inlineStr">
        <is>
          <t>Disintegrate / Desintegrar</t>
        </is>
      </c>
      <c r="B813" s="13" t="inlineStr">
        <is>
          <t>Sorcery / Feitiço</t>
        </is>
      </c>
      <c r="C813" s="13" t="inlineStr">
        <is>
          <t>Common / Comum</t>
        </is>
      </c>
      <c r="D813" s="13"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813" s="13" t="inlineStr">
        <is>
          <t>{X}{R}</t>
        </is>
      </c>
      <c r="F813" s="13" t="inlineStr">
        <is>
          <t>Vermelho</t>
        </is>
      </c>
      <c r="G813" s="8" t="n">
        <v>0.06</v>
      </c>
      <c r="H813" s="13" t="inlineStr">
        <is>
          <t>Quarta Edição</t>
        </is>
      </c>
      <c r="I813" s="13" t="inlineStr">
        <is>
          <t>Não</t>
        </is>
      </c>
      <c r="J813" s="13" t="n">
        <v>1995</v>
      </c>
      <c r="L813" s="13" t="n">
        <v>5</v>
      </c>
      <c r="M813" s="8">
        <f>L813*G813</f>
        <v/>
      </c>
      <c r="P813" s="9" t="n"/>
    </row>
    <row r="814">
      <c r="A814" s="13" t="inlineStr">
        <is>
          <t>Disintegrate / Desintegrar</t>
        </is>
      </c>
      <c r="B814" s="13" t="inlineStr">
        <is>
          <t>Sorcery / Feitiço</t>
        </is>
      </c>
      <c r="C814" s="13" t="inlineStr">
        <is>
          <t>Common / Comum</t>
        </is>
      </c>
      <c r="D814" s="13"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814" s="13" t="inlineStr">
        <is>
          <t>{X}{R}</t>
        </is>
      </c>
      <c r="F814" s="13" t="inlineStr">
        <is>
          <t>Vermelho</t>
        </is>
      </c>
      <c r="G814" s="8" t="n">
        <v>0.23</v>
      </c>
      <c r="H814" s="13" t="inlineStr">
        <is>
          <t>Quarta Edição (BB)</t>
        </is>
      </c>
      <c r="I814" s="13" t="inlineStr">
        <is>
          <t>Não</t>
        </is>
      </c>
      <c r="J814" s="13" t="n">
        <v>1995</v>
      </c>
      <c r="L814" s="13" t="n">
        <v>1</v>
      </c>
      <c r="M814" s="8">
        <f>L814*G814</f>
        <v/>
      </c>
      <c r="P814" s="9" t="n"/>
    </row>
    <row r="815">
      <c r="A815" s="13" t="inlineStr">
        <is>
          <t>Dismantling Blow / Golpe Desmantelador</t>
        </is>
      </c>
      <c r="B815" s="13" t="inlineStr">
        <is>
          <t>Instant / Mágica Instantânea</t>
        </is>
      </c>
      <c r="C815" s="13" t="inlineStr">
        <is>
          <t>Uncommon / Incomum</t>
        </is>
      </c>
      <c r="D815" s="13"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815" s="13" t="inlineStr">
        <is>
          <t>{2}{W}</t>
        </is>
      </c>
      <c r="F815" s="13" t="inlineStr">
        <is>
          <t>Branco</t>
        </is>
      </c>
      <c r="G815" s="8" t="n">
        <v>0.05</v>
      </c>
      <c r="H815" s="13" t="inlineStr">
        <is>
          <t>Modern Horizons (MH1)</t>
        </is>
      </c>
      <c r="I815" s="13" t="inlineStr">
        <is>
          <t>Não</t>
        </is>
      </c>
      <c r="J815" s="13" t="n">
        <v>2019</v>
      </c>
      <c r="L815" s="13" t="n">
        <v>1</v>
      </c>
      <c r="M815" s="8">
        <f>L815*G815</f>
        <v/>
      </c>
      <c r="P815" s="9" t="n"/>
    </row>
    <row r="816">
      <c r="A816" s="13" t="inlineStr">
        <is>
          <t>Displacement Wave / Onda de Deslocamento</t>
        </is>
      </c>
      <c r="B816" s="13" t="inlineStr">
        <is>
          <t>Sorcery / Feitiço</t>
        </is>
      </c>
      <c r="C816" s="13" t="inlineStr">
        <is>
          <t>Rare / Rara</t>
        </is>
      </c>
      <c r="D816" s="13" t="inlineStr">
        <is>
          <t>Return all nonland permanents with mana value X or less to their owners' hands. / Devolva todas as permanentes que não sejam terreno com custo de mana convertido igual a X ou menos para as mãos de seus donos.</t>
        </is>
      </c>
      <c r="E816" s="13" t="inlineStr">
        <is>
          <t>{X}{U}{U}</t>
        </is>
      </c>
      <c r="F816" s="13" t="inlineStr">
        <is>
          <t>Azul</t>
        </is>
      </c>
      <c r="G816" s="8" t="n">
        <v>0.73</v>
      </c>
      <c r="H816" s="13" t="inlineStr">
        <is>
          <t>Magic Origins (ORI)</t>
        </is>
      </c>
      <c r="I816" s="13" t="inlineStr">
        <is>
          <t>Não</t>
        </is>
      </c>
      <c r="J816" s="13" t="n">
        <v>2015</v>
      </c>
      <c r="L816" s="13" t="n">
        <v>1</v>
      </c>
      <c r="M816" s="8">
        <f>L816*G816</f>
        <v/>
      </c>
      <c r="P816" s="9" t="n"/>
    </row>
    <row r="817">
      <c r="A817" s="13" t="inlineStr">
        <is>
          <t>Disrupting Scepter / Cetro Desintegrador</t>
        </is>
      </c>
      <c r="B817" s="13" t="inlineStr">
        <is>
          <t>Artifact</t>
        </is>
      </c>
      <c r="C817" s="13" t="inlineStr">
        <is>
          <t>Rare</t>
        </is>
      </c>
      <c r="D817" s="13" t="inlineStr">
        <is>
          <t>{3}, {T}: Target player chooses and discards one card from his or her hand. Use this ability only during your turn.</t>
        </is>
      </c>
      <c r="E817" s="13" t="inlineStr">
        <is>
          <t>{3}</t>
        </is>
      </c>
      <c r="F817" s="13" t="inlineStr">
        <is>
          <t>Colorless</t>
        </is>
      </c>
      <c r="G817" s="8" t="n">
        <v>0.75</v>
      </c>
      <c r="H817" s="13" t="inlineStr">
        <is>
          <t>Fourth Edition</t>
        </is>
      </c>
      <c r="I817" s="13" t="inlineStr">
        <is>
          <t>No</t>
        </is>
      </c>
      <c r="J817" s="13" t="n">
        <v>1995</v>
      </c>
      <c r="L817" s="13" t="n">
        <v>4</v>
      </c>
      <c r="M817" s="8">
        <f>L817*G817</f>
        <v/>
      </c>
      <c r="P817" s="9" t="n"/>
    </row>
    <row r="818">
      <c r="A818" s="13" t="inlineStr">
        <is>
          <t>Disruptor of Currents</t>
        </is>
      </c>
      <c r="B818" s="13" t="inlineStr">
        <is>
          <t>Creature — Merfolk Wizard</t>
        </is>
      </c>
      <c r="C818" s="13" t="inlineStr">
        <is>
          <t>Rare</t>
        </is>
      </c>
      <c r="D818" s="13" t="inlineStr">
        <is>
          <t>Flash. Convoke (Your creatures can help cast this spell. Each creature you tap while casting this spell pays for {1} or one mana of that creature's color.) When this creature enters, return up to one other target nonland permanent to its owner's hand.</t>
        </is>
      </c>
      <c r="E818" s="13" t="inlineStr">
        <is>
          <t>{3}{U}{U}</t>
        </is>
      </c>
      <c r="F818" s="13" t="inlineStr">
        <is>
          <t>Azul</t>
        </is>
      </c>
      <c r="G818" s="8" t="n">
        <v>0.5</v>
      </c>
      <c r="H818" s="13" t="inlineStr">
        <is>
          <t>Lorwyn Eclipsed (ECL)</t>
        </is>
      </c>
      <c r="I818" s="13" t="inlineStr">
        <is>
          <t>Não</t>
        </is>
      </c>
      <c r="J818" s="13" t="n">
        <v>2026</v>
      </c>
      <c r="K818" s="10" t="n">
        <v>46084</v>
      </c>
      <c r="L818" s="13" t="n">
        <v>1</v>
      </c>
      <c r="M818" s="8">
        <f>L818*G818</f>
        <v/>
      </c>
      <c r="P818" s="9" t="n"/>
    </row>
    <row r="819">
      <c r="A819" s="13" t="inlineStr">
        <is>
          <t>Distração Efêmera / Fleeting Distraction</t>
        </is>
      </c>
      <c r="B819" s="13" t="inlineStr">
        <is>
          <t>Mágica Instantânea / Instant</t>
        </is>
      </c>
      <c r="C819" s="13" t="inlineStr">
        <is>
          <t>Comum / Common</t>
        </is>
      </c>
      <c r="D819" s="13" t="inlineStr">
        <is>
          <t>A criatura alvo recebe -1/-0 até o final do turno. Compre um card. / Target creature gets -1/-0 until end of turn. Draw a card.</t>
        </is>
      </c>
      <c r="E819" s="13" t="inlineStr">
        <is>
          <t>{U}</t>
        </is>
      </c>
      <c r="F819" s="13" t="inlineStr">
        <is>
          <t>Azul</t>
        </is>
      </c>
      <c r="G819" s="8" t="n">
        <v>0.05</v>
      </c>
      <c r="H819" s="13" t="inlineStr">
        <is>
          <t>Avacyn Restored (AVR)</t>
        </is>
      </c>
      <c r="I819" s="13" t="inlineStr">
        <is>
          <t>Não</t>
        </is>
      </c>
      <c r="J819" s="13" t="n">
        <v>2012</v>
      </c>
      <c r="L819" s="13" t="n">
        <v>1</v>
      </c>
      <c r="M819" s="8">
        <f>L819*G819</f>
        <v/>
      </c>
      <c r="P819" s="9" t="n"/>
    </row>
    <row r="820">
      <c r="A820" s="13" t="inlineStr">
        <is>
          <t>Distracting Geist / Geist da Distração</t>
        </is>
      </c>
      <c r="B820" s="13" t="inlineStr">
        <is>
          <t>Creature — Spirit / Criatura — Espírito</t>
        </is>
      </c>
      <c r="C820" s="13" t="inlineStr">
        <is>
          <t>Uncommon / Incomum</t>
        </is>
      </c>
      <c r="D820" s="13"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820" s="13" t="inlineStr">
        <is>
          <t>{2}{W}</t>
        </is>
      </c>
      <c r="F820" s="13" t="inlineStr">
        <is>
          <t>Branco</t>
        </is>
      </c>
      <c r="G820" s="8" t="n">
        <v>0.07000000000000001</v>
      </c>
      <c r="H820" s="13" t="inlineStr">
        <is>
          <t>Innistrad: Crimson Vow (VOW)</t>
        </is>
      </c>
      <c r="I820" s="13" t="inlineStr">
        <is>
          <t>Não</t>
        </is>
      </c>
      <c r="J820" s="13" t="n">
        <v>2021</v>
      </c>
      <c r="K820" s="10" t="n">
        <v>46024</v>
      </c>
      <c r="L820" s="13" t="n">
        <v>1</v>
      </c>
      <c r="M820" s="8">
        <f>L820*G820</f>
        <v/>
      </c>
      <c r="P820" s="9" t="n"/>
    </row>
    <row r="821">
      <c r="A821" s="13" t="inlineStr">
        <is>
          <t>Distress</t>
        </is>
      </c>
      <c r="B821" s="13" t="inlineStr">
        <is>
          <t>Sorcery</t>
        </is>
      </c>
      <c r="C821" s="13" t="inlineStr">
        <is>
          <t>Common</t>
        </is>
      </c>
      <c r="D821" s="13" t="inlineStr">
        <is>
          <t>Target player reveals his or her hand. You choose a nonland card from it. That player discards that card.</t>
        </is>
      </c>
      <c r="E821" s="13" t="inlineStr">
        <is>
          <t>{B}{B}</t>
        </is>
      </c>
      <c r="F821" s="13" t="inlineStr">
        <is>
          <t>Black</t>
        </is>
      </c>
      <c r="G821" s="8" t="n">
        <v>0.1</v>
      </c>
      <c r="H821" s="8" t="inlineStr">
        <is>
          <t>Champions of Kamigawa (CHK)</t>
        </is>
      </c>
      <c r="I821" s="13" t="inlineStr">
        <is>
          <t>Não</t>
        </is>
      </c>
      <c r="J821" s="13" t="n">
        <v>2004</v>
      </c>
      <c r="L821" s="13" t="n">
        <v>4</v>
      </c>
      <c r="M821" s="8">
        <f>L821*G821</f>
        <v/>
      </c>
      <c r="P821" s="9" t="n"/>
    </row>
    <row r="822">
      <c r="A822" s="13" t="inlineStr">
        <is>
          <t>District Guide / Guia do Distrito</t>
        </is>
      </c>
      <c r="B822" s="13" t="inlineStr">
        <is>
          <t>Creature — Elf Scout / Criatura — Elfo Batedor</t>
        </is>
      </c>
      <c r="C822" s="13" t="inlineStr">
        <is>
          <t>Uncommon / Incomum</t>
        </is>
      </c>
      <c r="D822" s="13"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822" s="13" t="inlineStr">
        <is>
          <t>{2}{G}</t>
        </is>
      </c>
      <c r="F822" s="13" t="inlineStr">
        <is>
          <t>Verde</t>
        </is>
      </c>
      <c r="G822" s="8" t="n">
        <v>0.08</v>
      </c>
      <c r="H822" s="13" t="inlineStr">
        <is>
          <t>Guilds of Ravnica (GRN)</t>
        </is>
      </c>
      <c r="I822" s="13" t="inlineStr">
        <is>
          <t>Não</t>
        </is>
      </c>
      <c r="J822" s="13" t="n">
        <v>2018</v>
      </c>
      <c r="K822" s="10" t="n">
        <v>46055</v>
      </c>
      <c r="L822" s="13" t="n">
        <v>1</v>
      </c>
      <c r="M822" s="8">
        <f>L822*G822</f>
        <v/>
      </c>
      <c r="P822" s="9" t="n"/>
    </row>
    <row r="823">
      <c r="A823" s="13" t="inlineStr">
        <is>
          <t>Dive Down / Mergulhar</t>
        </is>
      </c>
      <c r="B823" s="13" t="inlineStr">
        <is>
          <t>Instant / Mágica Instantânea</t>
        </is>
      </c>
      <c r="C823" s="13" t="inlineStr">
        <is>
          <t>Common / Comum</t>
        </is>
      </c>
      <c r="D823" s="13"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823" s="13" t="inlineStr">
        <is>
          <t>{U}</t>
        </is>
      </c>
      <c r="F823" s="13" t="inlineStr">
        <is>
          <t>Azul</t>
        </is>
      </c>
      <c r="G823" s="8" t="n">
        <v>0.2</v>
      </c>
      <c r="H823" s="13" t="inlineStr">
        <is>
          <t>Ixalan (XLN)</t>
        </is>
      </c>
      <c r="I823" s="13" t="inlineStr">
        <is>
          <t>Não</t>
        </is>
      </c>
      <c r="J823" s="13" t="n">
        <v>2017</v>
      </c>
      <c r="L823" s="13" t="n">
        <v>4</v>
      </c>
      <c r="M823" s="8">
        <f>L823*G823</f>
        <v/>
      </c>
      <c r="P823" s="9" t="n"/>
    </row>
    <row r="824">
      <c r="A824" s="13" t="inlineStr">
        <is>
          <t>Divert Disaster / Desviar Desastre</t>
        </is>
      </c>
      <c r="B824" s="13" t="inlineStr">
        <is>
          <t>Mágica Instantânea</t>
        </is>
      </c>
      <c r="C824" s="13" t="inlineStr">
        <is>
          <t>Comum</t>
        </is>
      </c>
      <c r="D824" s="13"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824" s="13" t="inlineStr">
        <is>
          <t>1{U}</t>
        </is>
      </c>
      <c r="F824" s="13" t="inlineStr">
        <is>
          <t>Azul</t>
        </is>
      </c>
      <c r="G824" s="8" t="n">
        <v>0.07000000000000001</v>
      </c>
      <c r="H824" s="13" t="inlineStr">
        <is>
          <t>Edge of Eternity</t>
        </is>
      </c>
      <c r="I824" s="13" t="inlineStr">
        <is>
          <t>Não</t>
        </is>
      </c>
      <c r="J824" s="13" t="n">
        <v>2025</v>
      </c>
      <c r="L824" s="13" t="n">
        <v>1</v>
      </c>
      <c r="M824" s="8">
        <f>L824*G824</f>
        <v/>
      </c>
      <c r="P824" s="9" t="n"/>
    </row>
    <row r="825">
      <c r="A825" s="13" t="inlineStr">
        <is>
          <t>Divination / Divinação</t>
        </is>
      </c>
      <c r="B825" s="13" t="inlineStr">
        <is>
          <t>Sorcery / Feitiço</t>
        </is>
      </c>
      <c r="C825" s="13" t="inlineStr">
        <is>
          <t>Common / Comum</t>
        </is>
      </c>
      <c r="D825" s="13" t="inlineStr">
        <is>
          <t>Draw two cards. / Compre dois cards.</t>
        </is>
      </c>
      <c r="E825" s="13" t="inlineStr">
        <is>
          <t>{2}{U}</t>
        </is>
      </c>
      <c r="F825" s="13" t="inlineStr">
        <is>
          <t>Azul</t>
        </is>
      </c>
      <c r="G825" s="8" t="n">
        <v>0.29</v>
      </c>
      <c r="H825" s="13" t="inlineStr">
        <is>
          <t>Magic 2013 (M13)</t>
        </is>
      </c>
      <c r="I825" s="13" t="inlineStr">
        <is>
          <t>Sim</t>
        </is>
      </c>
      <c r="J825" s="13" t="n">
        <v>2012</v>
      </c>
      <c r="L825" s="13" t="n">
        <v>1</v>
      </c>
      <c r="M825" s="8">
        <f>L825*G825</f>
        <v/>
      </c>
      <c r="P825" s="9" t="n"/>
    </row>
    <row r="826">
      <c r="A826" s="13" t="inlineStr">
        <is>
          <t>Divine Arrow / Flecha Divina</t>
        </is>
      </c>
      <c r="B826" s="13" t="inlineStr">
        <is>
          <t>Instant / Mágica Instantânea</t>
        </is>
      </c>
      <c r="C826" s="13" t="inlineStr">
        <is>
          <t>Common / Comum</t>
        </is>
      </c>
      <c r="D826" s="13" t="inlineStr">
        <is>
          <t>Divine Arrow deals 4 damage to target attacking or blocking creature. / Flecha Divina causa 4 pontos de dano à criatura alvo atacante ou bloqueadora.</t>
        </is>
      </c>
      <c r="E826" s="13" t="inlineStr">
        <is>
          <t>{1}{W}</t>
        </is>
      </c>
      <c r="F826" s="13" t="inlineStr">
        <is>
          <t>Branco</t>
        </is>
      </c>
      <c r="G826" s="8" t="n">
        <v>0.03</v>
      </c>
      <c r="H826" s="13" t="inlineStr">
        <is>
          <t>War of the Spark (WAR)</t>
        </is>
      </c>
      <c r="I826" s="13" t="inlineStr">
        <is>
          <t>Sim</t>
        </is>
      </c>
      <c r="J826" s="13" t="n">
        <v>2019</v>
      </c>
      <c r="L826" s="13" t="n">
        <v>4</v>
      </c>
      <c r="M826" s="8">
        <f>L826*G826</f>
        <v/>
      </c>
      <c r="P826" s="9" t="n"/>
    </row>
    <row r="827">
      <c r="A827" s="13" t="inlineStr">
        <is>
          <t>Divine Favor / Proteção Divina</t>
        </is>
      </c>
      <c r="B827" s="13" t="inlineStr">
        <is>
          <t>Enchantment — Aura / Encantamento — Aura</t>
        </is>
      </c>
      <c r="C827" s="13" t="inlineStr">
        <is>
          <t>Common / Comum</t>
        </is>
      </c>
      <c r="D827" s="13" t="inlineStr">
        <is>
          <t>Enchant creature When this Aura enters, you gain 3 life. Enchanted creature gets +1/+3. / Encantar criatura Quando Proteção Divina entra no campo de batalha, você ganha 3 pontos de vida. A criatura encantada recebe +1/+3.</t>
        </is>
      </c>
      <c r="E827" s="13" t="inlineStr">
        <is>
          <t>{1}{W}</t>
        </is>
      </c>
      <c r="F827" s="13" t="inlineStr">
        <is>
          <t>Branco</t>
        </is>
      </c>
      <c r="G827" s="8" t="n">
        <v>0.06</v>
      </c>
      <c r="H827" s="13" t="inlineStr">
        <is>
          <t>Magic 2014 (M14)</t>
        </is>
      </c>
      <c r="I827" s="13" t="inlineStr">
        <is>
          <t>Não</t>
        </is>
      </c>
      <c r="J827" s="13" t="n">
        <v>2013</v>
      </c>
      <c r="L827" s="13" t="n">
        <v>4</v>
      </c>
      <c r="M827" s="8">
        <f>L827*G827</f>
        <v/>
      </c>
      <c r="P827" s="9" t="n"/>
    </row>
    <row r="828">
      <c r="A828" s="13" t="inlineStr">
        <is>
          <t>Divine Offering</t>
        </is>
      </c>
      <c r="B828" s="13" t="inlineStr">
        <is>
          <t>Mágica Instantânea / Instant</t>
        </is>
      </c>
      <c r="C828" s="13" t="inlineStr">
        <is>
          <t>Comum / Common</t>
        </is>
      </c>
      <c r="D828" s="13" t="inlineStr">
        <is>
          <t>Destroy target artifact. Gain life equal to the artifact's casting cost.</t>
        </is>
      </c>
      <c r="E828" s="13" t="inlineStr">
        <is>
          <t>{1}{W}</t>
        </is>
      </c>
      <c r="F828" s="13" t="inlineStr">
        <is>
          <t>Branco</t>
        </is>
      </c>
      <c r="G828" s="8" t="n">
        <v>0.08</v>
      </c>
      <c r="H828" s="13" t="inlineStr">
        <is>
          <t>Chronicles (CHR)</t>
        </is>
      </c>
      <c r="I828" s="13" t="inlineStr">
        <is>
          <t>Não</t>
        </is>
      </c>
      <c r="J828" s="13" t="n">
        <v>1995</v>
      </c>
      <c r="L828" s="13" t="n">
        <v>3</v>
      </c>
      <c r="M828" s="8">
        <f>L828*G828</f>
        <v/>
      </c>
      <c r="P828" s="9" t="n"/>
    </row>
    <row r="829">
      <c r="A829" s="13" t="inlineStr">
        <is>
          <t>Divine Offering</t>
        </is>
      </c>
      <c r="B829" s="13" t="inlineStr">
        <is>
          <t>Mágica Instantânea / Instant</t>
        </is>
      </c>
      <c r="C829" s="13" t="inlineStr">
        <is>
          <t>Comum / Common</t>
        </is>
      </c>
      <c r="D829" s="13" t="inlineStr">
        <is>
          <t>Destroy target artifact. Gain an amount of life equal to that artifact's casting cost.</t>
        </is>
      </c>
      <c r="E829" s="13" t="inlineStr">
        <is>
          <t>{1}{W}</t>
        </is>
      </c>
      <c r="F829" s="13" t="inlineStr">
        <is>
          <t>Branco</t>
        </is>
      </c>
      <c r="G829" s="8" t="n">
        <v>0.08</v>
      </c>
      <c r="H829" s="13" t="inlineStr">
        <is>
          <t>Mirage (MIR)</t>
        </is>
      </c>
      <c r="I829" s="13" t="inlineStr">
        <is>
          <t>Não</t>
        </is>
      </c>
      <c r="J829" s="13" t="n">
        <v>1996</v>
      </c>
      <c r="L829" s="13" t="n">
        <v>1</v>
      </c>
      <c r="M829" s="8">
        <f>L829*G829</f>
        <v/>
      </c>
      <c r="P829" s="9" t="n"/>
    </row>
    <row r="830">
      <c r="A830" s="13" t="inlineStr">
        <is>
          <t>Diving Griffin / Grifo Mergulhador</t>
        </is>
      </c>
      <c r="B830" s="13" t="inlineStr">
        <is>
          <t>Creature — Griffin / Criatura — Grifo</t>
        </is>
      </c>
      <c r="C830" s="13" t="inlineStr">
        <is>
          <t>Common / Comum</t>
        </is>
      </c>
      <c r="D830" s="13" t="inlineStr">
        <is>
          <t>Flying. Attacking doesn't cause Diving Griffin to tap. / Voar. Atacar não faz com que Grifo Mergulhador vire.</t>
        </is>
      </c>
      <c r="E830" s="13" t="inlineStr">
        <is>
          <t>{1}{W}{W}</t>
        </is>
      </c>
      <c r="F830" s="13" t="inlineStr">
        <is>
          <t>Branco</t>
        </is>
      </c>
      <c r="G830" s="8" t="n">
        <v>0.06</v>
      </c>
      <c r="H830" s="13" t="inlineStr">
        <is>
          <t>Nemesis (NMS)</t>
        </is>
      </c>
      <c r="I830" s="13" t="inlineStr">
        <is>
          <t>No</t>
        </is>
      </c>
      <c r="J830" s="13" t="n">
        <v>2000</v>
      </c>
      <c r="K830" s="10" t="n">
        <v>46055</v>
      </c>
      <c r="L830" s="13" t="n">
        <v>1</v>
      </c>
      <c r="M830" s="8">
        <f>L830*G830</f>
        <v/>
      </c>
      <c r="P830" s="9" t="n"/>
    </row>
    <row r="831">
      <c r="A831" s="13" t="inlineStr">
        <is>
          <t>Dizimador das Províncias / Decimator of the Provinces</t>
        </is>
      </c>
      <c r="B831" s="13" t="inlineStr">
        <is>
          <t>Creature — Eldrazi Boar / Criatura — Eldrazi Javali</t>
        </is>
      </c>
      <c r="C831" s="13" t="inlineStr">
        <is>
          <t>Mythic / Mítica</t>
        </is>
      </c>
      <c r="D831" s="13"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31" s="13" t="inlineStr">
        <is>
          <t>{10}</t>
        </is>
      </c>
      <c r="F831" s="13" t="inlineStr">
        <is>
          <t>Incolor</t>
        </is>
      </c>
      <c r="G831" s="8" t="n">
        <v>0.89</v>
      </c>
      <c r="H831" s="13" t="inlineStr">
        <is>
          <t>Eldritch Moon (EMN)</t>
        </is>
      </c>
      <c r="I831" s="13" t="inlineStr">
        <is>
          <t>No</t>
        </is>
      </c>
      <c r="J831" s="13" t="n">
        <v>2016</v>
      </c>
      <c r="K831" s="10" t="n">
        <v>46210</v>
      </c>
      <c r="L831" s="13" t="n">
        <v>1</v>
      </c>
      <c r="M831" s="8">
        <f>L831*G831</f>
        <v/>
      </c>
      <c r="P831" s="9" t="n"/>
    </row>
    <row r="832">
      <c r="A832" s="13" t="inlineStr">
        <is>
          <t>Dockworker Drone / Drone Estivador</t>
        </is>
      </c>
      <c r="B832" s="13" t="inlineStr">
        <is>
          <t>Criatura Artefato — Robô</t>
        </is>
      </c>
      <c r="C832" s="13" t="inlineStr">
        <is>
          <t>Comum</t>
        </is>
      </c>
      <c r="D832" s="13" t="inlineStr">
        <is>
          <t>Esta criatura entra com um marcador +1/+1 nela. Quando esta criatura morrer, coloque os marcadores dela na criatura alvo que você controla.</t>
        </is>
      </c>
      <c r="E832" s="13" t="inlineStr">
        <is>
          <t>1{W}</t>
        </is>
      </c>
      <c r="F832" s="13" t="inlineStr">
        <is>
          <t>Branco</t>
        </is>
      </c>
      <c r="G832" s="8" t="n">
        <v>0.1</v>
      </c>
      <c r="H832" s="13" t="inlineStr">
        <is>
          <t>Edge of Eternity</t>
        </is>
      </c>
      <c r="I832" s="13" t="inlineStr">
        <is>
          <t>Não</t>
        </is>
      </c>
      <c r="J832" s="13" t="n">
        <v>2025</v>
      </c>
      <c r="K832" s="10" t="n">
        <v>46023</v>
      </c>
      <c r="L832" s="13" t="n">
        <v>1</v>
      </c>
      <c r="M832" s="8">
        <f>L832*G832</f>
        <v/>
      </c>
      <c r="P832" s="9" t="n"/>
    </row>
    <row r="833">
      <c r="A833" s="13" t="inlineStr">
        <is>
          <t>Dokuchi Shadow-Walker / Trilha-sombras Dokuchi</t>
        </is>
      </c>
      <c r="B833" s="13" t="inlineStr">
        <is>
          <t>Creature — Ogre Ninja / Criatura — Ogro Ninja</t>
        </is>
      </c>
      <c r="C833" s="13" t="inlineStr">
        <is>
          <t>Common / Comum</t>
        </is>
      </c>
      <c r="D833" s="13"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833" s="13" t="inlineStr">
        <is>
          <t>{4}{B}{B}</t>
        </is>
      </c>
      <c r="F833" s="13" t="inlineStr">
        <is>
          <t>Preto</t>
        </is>
      </c>
      <c r="G833" s="8" t="n">
        <v>0.1</v>
      </c>
      <c r="H833" s="13" t="inlineStr">
        <is>
          <t>Kamigawa: Neon Dynasty (NEO)</t>
        </is>
      </c>
      <c r="I833" s="13" t="inlineStr">
        <is>
          <t>Não</t>
        </is>
      </c>
      <c r="J833" s="13" t="n">
        <v>2022</v>
      </c>
      <c r="K833" s="10" t="n">
        <v>46147</v>
      </c>
      <c r="L833" s="13" t="n">
        <v>1</v>
      </c>
      <c r="M833" s="8">
        <f>L833*G833</f>
        <v/>
      </c>
      <c r="P833" s="9" t="n"/>
    </row>
    <row r="834">
      <c r="A834" s="13" t="inlineStr">
        <is>
          <t>Dokuchi Shadow-Walker / Trilha-sombras Dokuchi</t>
        </is>
      </c>
      <c r="B834" s="13" t="inlineStr">
        <is>
          <t>Creature — Ogre Ninja / Criatura — Ogro Ninja</t>
        </is>
      </c>
      <c r="C834" s="13" t="inlineStr">
        <is>
          <t>Common / Comum</t>
        </is>
      </c>
      <c r="D834" s="13"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834" s="13" t="inlineStr">
        <is>
          <t>{4}{B}{B}</t>
        </is>
      </c>
      <c r="F834" s="13" t="inlineStr">
        <is>
          <t>Preto</t>
        </is>
      </c>
      <c r="G834" s="8" t="n">
        <v>0.1</v>
      </c>
      <c r="H834" s="13" t="inlineStr">
        <is>
          <t>Kamigawa: Neon Dynasty (NEO)</t>
        </is>
      </c>
      <c r="I834" s="13" t="inlineStr">
        <is>
          <t>Não</t>
        </is>
      </c>
      <c r="J834" s="13" t="n">
        <v>2022</v>
      </c>
      <c r="K834" s="10" t="n">
        <v>46147</v>
      </c>
      <c r="L834" s="13" t="n">
        <v>1</v>
      </c>
      <c r="M834" s="8">
        <f>L834*G834</f>
        <v/>
      </c>
      <c r="P834" s="9" t="n"/>
    </row>
    <row r="835">
      <c r="A835" s="13" t="inlineStr">
        <is>
          <t>Dokuchi Silencer / Silenciador Dokuchi</t>
        </is>
      </c>
      <c r="B835" s="13" t="inlineStr">
        <is>
          <t>Creature — Human Ninja / Criatura — Humano Ninja</t>
        </is>
      </c>
      <c r="C835" s="13" t="inlineStr">
        <is>
          <t>Uncommon / Incomum</t>
        </is>
      </c>
      <c r="D835" s="13"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835" s="13" t="inlineStr">
        <is>
          <t>{1}{B}</t>
        </is>
      </c>
      <c r="F835" s="13" t="inlineStr">
        <is>
          <t>Preto</t>
        </is>
      </c>
      <c r="G835" s="8" t="n">
        <v>0.15</v>
      </c>
      <c r="H835" s="13" t="inlineStr">
        <is>
          <t>Kamigawa: Neon Dynasty (NEO)</t>
        </is>
      </c>
      <c r="I835" s="13" t="inlineStr">
        <is>
          <t>Não</t>
        </is>
      </c>
      <c r="J835" s="13" t="n">
        <v>2022</v>
      </c>
      <c r="K835" s="10" t="n">
        <v>46024</v>
      </c>
      <c r="L835" s="13" t="n">
        <v>1</v>
      </c>
      <c r="M835" s="8">
        <f>L835*G835</f>
        <v/>
      </c>
      <c r="P835" s="9" t="n"/>
    </row>
    <row r="836">
      <c r="A836" s="13" t="inlineStr">
        <is>
          <t>Domesticated Hydra</t>
        </is>
      </c>
      <c r="B836" s="13" t="inlineStr">
        <is>
          <t>Creature — Hydra</t>
        </is>
      </c>
      <c r="C836" s="13" t="inlineStr">
        <is>
          <t>Uncommon / Incomum</t>
        </is>
      </c>
      <c r="D836" s="13" t="inlineStr">
        <is>
          <t>{X}{G}{G}{G}: Monstrosity X. (If this creature isn't monstrous, put X +1/+1 counters on it and it becomes monstrous.) As long as this creature is monstrous, it has trample.</t>
        </is>
      </c>
      <c r="E836" s="13" t="inlineStr">
        <is>
          <t>{2}{G}{G}</t>
        </is>
      </c>
      <c r="F836" s="13" t="inlineStr">
        <is>
          <t>Verde</t>
        </is>
      </c>
      <c r="G836" s="8" t="n">
        <v>0.2</v>
      </c>
      <c r="H836" s="13" t="inlineStr">
        <is>
          <t>Jumpstart 2022 (J22)</t>
        </is>
      </c>
      <c r="I836" s="13" t="inlineStr">
        <is>
          <t>Não</t>
        </is>
      </c>
      <c r="J836" s="13" t="n">
        <v>2022</v>
      </c>
      <c r="K836" s="10" t="n">
        <v>46084</v>
      </c>
      <c r="L836" s="13" t="n">
        <v>1</v>
      </c>
      <c r="M836" s="8">
        <f>L836*G836</f>
        <v/>
      </c>
      <c r="P836" s="9" t="n"/>
    </row>
    <row r="837">
      <c r="A837" s="13" t="inlineStr">
        <is>
          <t>Domestication / Domesticação</t>
        </is>
      </c>
      <c r="B837" s="13" t="inlineStr">
        <is>
          <t>Enchantment — Aura / Encantamento — Aura</t>
        </is>
      </c>
      <c r="C837" s="13" t="inlineStr">
        <is>
          <t>Uncommon / Incomum</t>
        </is>
      </c>
      <c r="D837" s="13"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837" s="13" t="inlineStr">
        <is>
          <t>{2}{U}{U}</t>
        </is>
      </c>
      <c r="F837" s="13" t="inlineStr">
        <is>
          <t>Azul</t>
        </is>
      </c>
      <c r="G837" s="8" t="n">
        <v>0.1</v>
      </c>
      <c r="H837" s="13" t="inlineStr">
        <is>
          <t>Double Masters 2022 (2X2)</t>
        </is>
      </c>
      <c r="I837" s="13" t="inlineStr">
        <is>
          <t>Não</t>
        </is>
      </c>
      <c r="J837" s="13" t="n">
        <v>2022</v>
      </c>
      <c r="L837" s="13" t="n">
        <v>1</v>
      </c>
      <c r="M837" s="8">
        <f>L837*G837</f>
        <v/>
      </c>
      <c r="P837" s="9" t="n"/>
    </row>
    <row r="838">
      <c r="A838" s="13" t="inlineStr">
        <is>
          <t>Donatello, Turtle Techie</t>
        </is>
      </c>
      <c r="B838" s="13" t="inlineStr">
        <is>
          <t>Legendary Creature — Mutant Ninja Turtle</t>
        </is>
      </c>
      <c r="C838" s="13" t="inlineStr">
        <is>
          <t>Common / Comum</t>
        </is>
      </c>
      <c r="D838" s="13" t="inlineStr">
        <is>
          <t>When Donatello enters, if you control an artifact, draw a card.</t>
        </is>
      </c>
      <c r="E838" s="13" t="inlineStr">
        <is>
          <t>{3}{U}</t>
        </is>
      </c>
      <c r="F838" s="13" t="inlineStr">
        <is>
          <t>Azul</t>
        </is>
      </c>
      <c r="G838" s="8" t="n">
        <v>0.1</v>
      </c>
      <c r="H838" s="13" t="inlineStr">
        <is>
          <t>Teenage Mutant Ninja Turtles (TMT)</t>
        </is>
      </c>
      <c r="I838" s="13" t="inlineStr">
        <is>
          <t>Não</t>
        </is>
      </c>
      <c r="J838" s="13" t="n">
        <v>2026</v>
      </c>
      <c r="K838" s="10" t="n">
        <v>46115</v>
      </c>
      <c r="L838" s="13" t="n">
        <v>3</v>
      </c>
      <c r="M838" s="8">
        <f>L838*G838</f>
        <v/>
      </c>
      <c r="P838" s="9" t="n"/>
    </row>
    <row r="839">
      <c r="A839" s="13" t="inlineStr">
        <is>
          <t>Donatello, Way with Machines</t>
        </is>
      </c>
      <c r="B839" s="13" t="inlineStr">
        <is>
          <t>Legendary Creature — Mutant Ninja Turtle</t>
        </is>
      </c>
      <c r="C839" s="13" t="inlineStr">
        <is>
          <t>Uncommon / Incomum</t>
        </is>
      </c>
      <c r="D839" s="13" t="inlineStr">
        <is>
          <t>Flying Whenever an artifact you control enters, put a +1/+1 counter on Donatello.</t>
        </is>
      </c>
      <c r="E839" s="13" t="inlineStr">
        <is>
          <t>{2}{U}</t>
        </is>
      </c>
      <c r="F839" s="13" t="inlineStr">
        <is>
          <t>Azul</t>
        </is>
      </c>
      <c r="G839" s="8" t="n">
        <v>0.1</v>
      </c>
      <c r="H839" s="13" t="inlineStr">
        <is>
          <t>Teenage Mutant Ninja Turtles (TMT)</t>
        </is>
      </c>
      <c r="I839" s="13" t="inlineStr">
        <is>
          <t>Não</t>
        </is>
      </c>
      <c r="J839" s="13" t="n">
        <v>2026</v>
      </c>
      <c r="K839" s="10" t="n">
        <v>46054</v>
      </c>
      <c r="L839" s="13" t="n">
        <v>2</v>
      </c>
      <c r="M839" s="8">
        <f>L839*G839</f>
        <v/>
      </c>
      <c r="P839" s="9" t="n"/>
    </row>
    <row r="840">
      <c r="A840" s="13" t="inlineStr">
        <is>
          <t>Donatello, Way with Machines</t>
        </is>
      </c>
      <c r="B840" s="13" t="inlineStr">
        <is>
          <t>Legendary Creature — Mutant Ninja Turtle</t>
        </is>
      </c>
      <c r="C840" s="13" t="inlineStr">
        <is>
          <t>Uncommon / Incomum</t>
        </is>
      </c>
      <c r="D840" s="13" t="inlineStr">
        <is>
          <t>Flying Whenever an artifact you control enters, put a +1/+1 counter on Donatello.</t>
        </is>
      </c>
      <c r="E840" s="13" t="inlineStr">
        <is>
          <t>{2}{U}</t>
        </is>
      </c>
      <c r="F840" s="13" t="inlineStr">
        <is>
          <t>Azul</t>
        </is>
      </c>
      <c r="G840" s="8" t="n">
        <v>0.29</v>
      </c>
      <c r="H840" s="13" t="inlineStr">
        <is>
          <t>Teenage Mutant Ninja Turtles (TMT)</t>
        </is>
      </c>
      <c r="I840" s="13" t="inlineStr">
        <is>
          <t>Sim</t>
        </is>
      </c>
      <c r="J840" s="13" t="n">
        <v>2026</v>
      </c>
      <c r="K840" s="10" t="n">
        <v>46054</v>
      </c>
      <c r="L840" s="13" t="n">
        <v>1</v>
      </c>
      <c r="M840" s="8">
        <f>L840*G840</f>
        <v/>
      </c>
      <c r="P840" s="9" t="n"/>
    </row>
    <row r="841">
      <c r="A841" s="13" t="inlineStr">
        <is>
          <t>Donatello's Science Lesson / Lição de Ciência de Donatello</t>
        </is>
      </c>
      <c r="B841" s="13" t="inlineStr">
        <is>
          <t>Mágica Instantânea</t>
        </is>
      </c>
      <c r="C841" s="13" t="inlineStr">
        <is>
          <t>Incomum</t>
        </is>
      </c>
      <c r="D841" s="13" t="inlineStr">
        <is>
          <t>Vire até duas criaturas alvo. Até dois jogadores alvo compram, cada um, um card.</t>
        </is>
      </c>
      <c r="E841" s="13" t="inlineStr">
        <is>
          <t>2{U}</t>
        </is>
      </c>
      <c r="F841" s="13" t="inlineStr">
        <is>
          <t>Azul</t>
        </is>
      </c>
      <c r="G841" s="8" t="n">
        <v>1.29</v>
      </c>
      <c r="H841" s="13" t="inlineStr">
        <is>
          <t>Teenage Mutant Ninja Turtles</t>
        </is>
      </c>
      <c r="I841" s="13" t="inlineStr">
        <is>
          <t>Não</t>
        </is>
      </c>
      <c r="J841" s="13" t="n">
        <v>2026</v>
      </c>
      <c r="L841" s="13" t="n">
        <v>2</v>
      </c>
      <c r="M841" s="8">
        <f>L841*G841</f>
        <v/>
      </c>
      <c r="P841" s="9" t="n"/>
    </row>
    <row r="842">
      <c r="A842" s="13" t="inlineStr">
        <is>
          <t>Doomwake Giant / Gigante do Rastro Funesto</t>
        </is>
      </c>
      <c r="B842" s="13" t="inlineStr">
        <is>
          <t>Enchantment Creature — Giant / Criatura Encantamento — Gigante</t>
        </is>
      </c>
      <c r="C842" s="13" t="inlineStr">
        <is>
          <t>Rare / Rara</t>
        </is>
      </c>
      <c r="D842" s="13"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842" s="13" t="inlineStr">
        <is>
          <t>{4}{B}</t>
        </is>
      </c>
      <c r="F842" s="13" t="inlineStr">
        <is>
          <t>Preto</t>
        </is>
      </c>
      <c r="G842" s="8" t="n">
        <v>0.33</v>
      </c>
      <c r="H842" s="13" t="inlineStr">
        <is>
          <t>Commander 2015 (C15)</t>
        </is>
      </c>
      <c r="I842" s="13" t="inlineStr">
        <is>
          <t>Não</t>
        </is>
      </c>
      <c r="J842" s="13" t="n">
        <v>2015</v>
      </c>
      <c r="K842" s="10" t="n">
        <v>46177</v>
      </c>
      <c r="L842" s="13" t="n">
        <v>1</v>
      </c>
      <c r="M842" s="8">
        <f>L842*G842</f>
        <v/>
      </c>
      <c r="P842" s="9" t="n"/>
    </row>
    <row r="843">
      <c r="A843" s="13" t="inlineStr">
        <is>
          <t>Doran, Besieged by Time</t>
        </is>
      </c>
      <c r="B843" s="13" t="inlineStr">
        <is>
          <t>Legendary Creature — Treefolk Druid</t>
        </is>
      </c>
      <c r="C843" s="13" t="inlineStr">
        <is>
          <t>Rare / Rara</t>
        </is>
      </c>
      <c r="D843" s="13" t="inlineStr">
        <is>
          <t>Each creature spell you cast with toughness greater than its power costs {1} less to cast. Whenever a creature you control attacks or blocks, it gets +X/+X until end of turn, where X is the difference between its power and toughness.</t>
        </is>
      </c>
      <c r="E843" s="13" t="inlineStr">
        <is>
          <t>{1}{W}{B}{G}</t>
        </is>
      </c>
      <c r="F843" s="13" t="inlineStr">
        <is>
          <t>Preto, Verde, Branco</t>
        </is>
      </c>
      <c r="G843" s="8" t="n">
        <v>1.5</v>
      </c>
      <c r="H843" s="13" t="inlineStr">
        <is>
          <t>Lorwyn Eclipsed (ECL)</t>
        </is>
      </c>
      <c r="I843" s="13" t="inlineStr">
        <is>
          <t>Não</t>
        </is>
      </c>
      <c r="J843" s="13" t="n">
        <v>2026</v>
      </c>
      <c r="K843" s="13" t="inlineStr">
        <is>
          <t>0/5</t>
        </is>
      </c>
      <c r="L843" s="13" t="n">
        <v>1</v>
      </c>
      <c r="M843" s="8">
        <f>L843*G843</f>
        <v/>
      </c>
      <c r="P843" s="9" t="n"/>
    </row>
    <row r="844">
      <c r="A844" s="13" t="inlineStr">
        <is>
          <t>Dosan's Oldest Chant / O Canto Mais Antigo de Dosan</t>
        </is>
      </c>
      <c r="B844" s="13" t="inlineStr">
        <is>
          <t>Sorcery / Feitiço</t>
        </is>
      </c>
      <c r="C844" s="13" t="inlineStr">
        <is>
          <t>Common / Comum</t>
        </is>
      </c>
      <c r="D844" s="13" t="inlineStr">
        <is>
          <t>You gain 6 life. Draw a card. / Você ganha 6 pontos de vida. Compre um card.</t>
        </is>
      </c>
      <c r="E844" s="13" t="inlineStr">
        <is>
          <t>{4}{G}</t>
        </is>
      </c>
      <c r="F844" s="13" t="inlineStr">
        <is>
          <t>Verde</t>
        </is>
      </c>
      <c r="G844" s="8" t="n">
        <v>0.09</v>
      </c>
      <c r="H844" s="13" t="inlineStr">
        <is>
          <t>Saviors of Kamigawa (SOK)</t>
        </is>
      </c>
      <c r="I844" s="13" t="inlineStr">
        <is>
          <t>Não</t>
        </is>
      </c>
      <c r="J844" s="13" t="n">
        <v>2005</v>
      </c>
      <c r="L844" s="13" t="n">
        <v>1</v>
      </c>
      <c r="M844" s="8">
        <f>L844*G844</f>
        <v/>
      </c>
      <c r="P844" s="9" t="n"/>
    </row>
    <row r="845">
      <c r="A845" s="13" t="inlineStr">
        <is>
          <t>Double Cleave / Rachar em Dois</t>
        </is>
      </c>
      <c r="B845" s="13" t="inlineStr">
        <is>
          <t>Instant / Mágica Instantânea</t>
        </is>
      </c>
      <c r="C845" s="13" t="inlineStr">
        <is>
          <t>Common / Comum</t>
        </is>
      </c>
      <c r="D845" s="13" t="inlineStr">
        <is>
          <t>Target creature gains double strike until end of turn. (It deals both first-strike and regular combat damage.) / A criatura alvo ganha golpe duplo até o final do turno. (Ela causa tanto o dano de iniciativa quanto o dano de combate normal.)</t>
        </is>
      </c>
      <c r="E845" s="13" t="inlineStr">
        <is>
          <t>{1}{R/W}</t>
        </is>
      </c>
      <c r="F845" s="13" t="inlineStr">
        <is>
          <t>Vermelho, Branco</t>
        </is>
      </c>
      <c r="G845" s="8" t="n">
        <v>0.24</v>
      </c>
      <c r="H845" s="13" t="inlineStr">
        <is>
          <t>Eventide (EVE)</t>
        </is>
      </c>
      <c r="I845" s="13" t="inlineStr">
        <is>
          <t>Não</t>
        </is>
      </c>
      <c r="J845" s="13" t="n">
        <v>2008</v>
      </c>
      <c r="L845" s="13" t="n">
        <v>1</v>
      </c>
      <c r="M845" s="8">
        <f>L845*G845</f>
        <v/>
      </c>
      <c r="P845" s="9" t="n"/>
    </row>
    <row r="846">
      <c r="A846" s="13" t="inlineStr">
        <is>
          <t>Double Dip</t>
        </is>
      </c>
      <c r="B846" s="13" t="inlineStr">
        <is>
          <t>Instant / Instântanea</t>
        </is>
      </c>
      <c r="C846" s="13" t="inlineStr">
        <is>
          <t>Rare / Rara</t>
        </is>
      </c>
      <c r="D846" s="13" t="inlineStr">
        <is>
          <t>Choose another player. Gain 5 life now and an additional 5 life at the beginning of the next game with that player. / Escolha outro jogador. Ganhe 5 pontos de vida agora e 5 pontos de vida adicionais no início do próximo jogo com aquele jogador.</t>
        </is>
      </c>
      <c r="E846" s="13" t="inlineStr">
        <is>
          <t>{4}{W}</t>
        </is>
      </c>
      <c r="F846" s="13" t="inlineStr">
        <is>
          <t>Branco</t>
        </is>
      </c>
      <c r="G846" s="8" t="n">
        <v>0.2</v>
      </c>
      <c r="H846" s="13" t="inlineStr">
        <is>
          <t>Unglued (UGL)</t>
        </is>
      </c>
      <c r="I846" s="13" t="inlineStr">
        <is>
          <t>No</t>
        </is>
      </c>
      <c r="J846" s="13" t="n">
        <v>1998</v>
      </c>
      <c r="L846" s="13" t="n">
        <v>1</v>
      </c>
      <c r="M846" s="8">
        <f>L846*G846</f>
        <v/>
      </c>
      <c r="P846" s="9" t="n"/>
    </row>
    <row r="847">
      <c r="A847" s="13" t="inlineStr">
        <is>
          <t>Downwind Ambusher</t>
        </is>
      </c>
      <c r="B847" s="13" t="inlineStr">
        <is>
          <t>Creature — Skunk Assassin</t>
        </is>
      </c>
      <c r="C847" s="13" t="inlineStr">
        <is>
          <t>Uncommon / Incomum</t>
        </is>
      </c>
      <c r="D847" s="13" t="inlineStr">
        <is>
          <t>Flash When this creature enters, choose one — • Target creature an opponent controls gets -1/-1 until end of turn. • Destroy target creature an opponent controls that was dealt damage this turn.</t>
        </is>
      </c>
      <c r="E847" s="13" t="inlineStr">
        <is>
          <t>{3}{B}</t>
        </is>
      </c>
      <c r="F847" s="13" t="inlineStr">
        <is>
          <t>Preto</t>
        </is>
      </c>
      <c r="G847" s="8" t="n">
        <v>0.09</v>
      </c>
      <c r="H847" s="13" t="inlineStr">
        <is>
          <t>Bloomburrow (BLB)</t>
        </is>
      </c>
      <c r="I847" s="13" t="inlineStr">
        <is>
          <t>Não</t>
        </is>
      </c>
      <c r="J847" s="13" t="n">
        <v>2024</v>
      </c>
      <c r="K847" s="10" t="n">
        <v>46057</v>
      </c>
      <c r="L847" s="13" t="n">
        <v>1</v>
      </c>
      <c r="M847" s="8">
        <f>L847*G847</f>
        <v/>
      </c>
      <c r="P847" s="9" t="n"/>
    </row>
    <row r="848">
      <c r="A848" s="13" t="inlineStr">
        <is>
          <t>Dragon Cultist / Cultista do Dragão</t>
        </is>
      </c>
      <c r="B848" s="13" t="inlineStr">
        <is>
          <t>Legendary Enchantment — Background / Encantamento Lendário — Antecedente</t>
        </is>
      </c>
      <c r="C848" s="13" t="inlineStr">
        <is>
          <t>Uncommon / Incomum</t>
        </is>
      </c>
      <c r="D848" s="13"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848" s="13" t="inlineStr">
        <is>
          <t>{4}{R}</t>
        </is>
      </c>
      <c r="F848" s="13" t="inlineStr">
        <is>
          <t>Vermelho</t>
        </is>
      </c>
      <c r="G848" s="8" t="n">
        <v>0.13</v>
      </c>
      <c r="H848" s="13" t="inlineStr">
        <is>
          <t>Commander Legends: Battle for Baldur's Gate (CLB)</t>
        </is>
      </c>
      <c r="I848" s="13" t="inlineStr">
        <is>
          <t>Não</t>
        </is>
      </c>
      <c r="J848" s="13" t="n">
        <v>2022</v>
      </c>
      <c r="L848" s="13" t="n">
        <v>1</v>
      </c>
      <c r="M848" s="8">
        <f>L848*G848</f>
        <v/>
      </c>
      <c r="P848" s="9" t="n"/>
    </row>
    <row r="849">
      <c r="A849" s="13" t="inlineStr">
        <is>
          <t>Dragon Engine / Dragão Mecânico</t>
        </is>
      </c>
      <c r="B849" s="13" t="inlineStr">
        <is>
          <t>Artifact Creature — Construct / Criatura Artefato — Constructo</t>
        </is>
      </c>
      <c r="C849" s="13" t="inlineStr">
        <is>
          <t>Common / Comum</t>
        </is>
      </c>
      <c r="D849" s="13" t="inlineStr">
        <is>
          <t>{2}: This creature gets +1/+0 until end of turn. / {2}: Dragão Mecânico recebe +1/+0 até o final do turno.</t>
        </is>
      </c>
      <c r="E849" s="13" t="inlineStr">
        <is>
          <t>{3}</t>
        </is>
      </c>
      <c r="F849" s="13" t="inlineStr">
        <is>
          <t>Incolor</t>
        </is>
      </c>
      <c r="G849" s="8" t="n">
        <v>0.2</v>
      </c>
      <c r="H849" s="13" t="inlineStr">
        <is>
          <t>Fourth Edition</t>
        </is>
      </c>
      <c r="I849" s="13" t="inlineStr">
        <is>
          <t>Não</t>
        </is>
      </c>
      <c r="J849" s="13" t="n">
        <v>1995</v>
      </c>
      <c r="K849" s="10" t="n">
        <v>46082</v>
      </c>
      <c r="L849" s="13" t="n">
        <v>1</v>
      </c>
      <c r="M849" s="8">
        <f>L849*G849</f>
        <v/>
      </c>
      <c r="P849" s="9" t="n"/>
    </row>
    <row r="850">
      <c r="A850" s="13" t="inlineStr">
        <is>
          <t>Dragon Grip / Garra do Dragão</t>
        </is>
      </c>
      <c r="B850" s="13" t="inlineStr">
        <is>
          <t>Enchantment — Aura / Encantamento — Aura</t>
        </is>
      </c>
      <c r="C850" s="13" t="inlineStr">
        <is>
          <t>Uncommon / Incomum</t>
        </is>
      </c>
      <c r="D850" s="13"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850" s="13" t="inlineStr">
        <is>
          <t>{2}{R}</t>
        </is>
      </c>
      <c r="F850" s="13" t="inlineStr">
        <is>
          <t>Vermelho</t>
        </is>
      </c>
      <c r="G850" s="8" t="n">
        <v>0.06</v>
      </c>
      <c r="H850" s="13" t="inlineStr">
        <is>
          <t>Khans of Tarkir (KTK)</t>
        </is>
      </c>
      <c r="I850" s="13" t="inlineStr">
        <is>
          <t>Não</t>
        </is>
      </c>
      <c r="J850" s="13" t="n">
        <v>2014</v>
      </c>
      <c r="L850" s="13" t="n">
        <v>1</v>
      </c>
      <c r="M850" s="8">
        <f>L850*G850</f>
        <v/>
      </c>
      <c r="P850" s="9" t="n"/>
    </row>
    <row r="851">
      <c r="A851" s="13" t="inlineStr">
        <is>
          <t>Dragon Whelp / Filhote de Dragão</t>
        </is>
      </c>
      <c r="B851" s="13" t="inlineStr">
        <is>
          <t>Creature — Dragon / Criatura — Dragão</t>
        </is>
      </c>
      <c r="C851" s="13" t="inlineStr">
        <is>
          <t>Uncommon / Incomum</t>
        </is>
      </c>
      <c r="D851" s="13"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851" s="13" t="inlineStr">
        <is>
          <t>{2}{R}{R}</t>
        </is>
      </c>
      <c r="F851" s="13" t="inlineStr">
        <is>
          <t>Vermelho</t>
        </is>
      </c>
      <c r="G851" s="8" t="n">
        <v>0.1</v>
      </c>
      <c r="H851" s="13" t="inlineStr">
        <is>
          <t>Fourth Edition</t>
        </is>
      </c>
      <c r="I851" s="13" t="inlineStr">
        <is>
          <t>Não</t>
        </is>
      </c>
      <c r="J851" s="13" t="n">
        <v>1995</v>
      </c>
      <c r="K851" s="10" t="n">
        <v>46083</v>
      </c>
      <c r="L851" s="13" t="n">
        <v>3</v>
      </c>
      <c r="M851" s="8">
        <f>L851*G851</f>
        <v/>
      </c>
      <c r="P851" s="9" t="n"/>
    </row>
    <row r="852">
      <c r="A852" s="13" t="inlineStr">
        <is>
          <t>Dragon Whelp / Filhote de Dragão</t>
        </is>
      </c>
      <c r="B852" s="13" t="inlineStr">
        <is>
          <t>Creature — Dragon / Criatura — Dragão</t>
        </is>
      </c>
      <c r="C852" s="13" t="inlineStr">
        <is>
          <t>Uncommon / Incomum</t>
        </is>
      </c>
      <c r="D852" s="13"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852" s="13" t="inlineStr">
        <is>
          <t>{2}{R}{R}</t>
        </is>
      </c>
      <c r="F852" s="13" t="inlineStr">
        <is>
          <t>Vermelho</t>
        </is>
      </c>
      <c r="G852" s="8" t="n">
        <v>0.5</v>
      </c>
      <c r="H852" s="13" t="inlineStr">
        <is>
          <t>Fourth Edition (BB)</t>
        </is>
      </c>
      <c r="I852" s="13" t="inlineStr">
        <is>
          <t>Não</t>
        </is>
      </c>
      <c r="J852" s="13" t="n">
        <v>1995</v>
      </c>
      <c r="K852" s="10" t="n">
        <v>46083</v>
      </c>
      <c r="L852" s="13" t="n">
        <v>1</v>
      </c>
      <c r="M852" s="8">
        <f>L852*G852</f>
        <v/>
      </c>
      <c r="P852" s="9" t="n"/>
    </row>
    <row r="853">
      <c r="A853" s="13" t="inlineStr">
        <is>
          <t>Dragonfly Suit / Traje de Libélula</t>
        </is>
      </c>
      <c r="B853" s="13" t="inlineStr">
        <is>
          <t>Artifact — Vehicle / Artefato — Veículo</t>
        </is>
      </c>
      <c r="C853" s="13" t="inlineStr">
        <is>
          <t>Common / Comum</t>
        </is>
      </c>
      <c r="D853" s="13"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853" s="13" t="inlineStr">
        <is>
          <t>{2}{W}</t>
        </is>
      </c>
      <c r="F853" s="13" t="inlineStr">
        <is>
          <t>Branco</t>
        </is>
      </c>
      <c r="G853" s="8" t="n">
        <v>0.06</v>
      </c>
      <c r="H853" s="13" t="inlineStr">
        <is>
          <t>Kamigawa: Neon Dynasty (NEO)</t>
        </is>
      </c>
      <c r="I853" s="13" t="inlineStr">
        <is>
          <t>Não</t>
        </is>
      </c>
      <c r="J853" s="13" t="n">
        <v>2022</v>
      </c>
      <c r="K853" s="10" t="n">
        <v>46056</v>
      </c>
      <c r="L853" s="13" t="n">
        <v>1</v>
      </c>
      <c r="M853" s="8">
        <f>L853*G853</f>
        <v/>
      </c>
      <c r="P853" s="9" t="n"/>
    </row>
    <row r="854">
      <c r="A854" s="13" t="inlineStr">
        <is>
          <t>Dragonfly Swarm</t>
        </is>
      </c>
      <c r="B854" s="13" t="inlineStr">
        <is>
          <t>Creature — Dragon Insect</t>
        </is>
      </c>
      <c r="C854" s="13" t="inlineStr">
        <is>
          <t>Uncommon / Incomum</t>
        </is>
      </c>
      <c r="D854" s="13"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854" s="13" t="inlineStr">
        <is>
          <t>{1}{U}{R}</t>
        </is>
      </c>
      <c r="F854" s="13" t="inlineStr">
        <is>
          <t>Vermelho, Azul</t>
        </is>
      </c>
      <c r="G854" s="8" t="n">
        <v>0.24</v>
      </c>
      <c r="H854" s="13" t="inlineStr">
        <is>
          <t>Avatar: The Last Airbender (TLA)</t>
        </is>
      </c>
      <c r="I854" s="13" t="inlineStr">
        <is>
          <t>Não</t>
        </is>
      </c>
      <c r="J854" s="13" t="n">
        <v>2025</v>
      </c>
      <c r="K854" s="13" t="inlineStr">
        <is>
          <t>*/3</t>
        </is>
      </c>
      <c r="L854" s="13" t="n">
        <v>1</v>
      </c>
      <c r="M854" s="8">
        <f>L854*G854</f>
        <v/>
      </c>
      <c r="P854" s="9" t="n"/>
    </row>
    <row r="855">
      <c r="A855" s="13" t="inlineStr">
        <is>
          <t>Dragonspark Reactor / Reator de Centelha Dracônica</t>
        </is>
      </c>
      <c r="B855" s="13" t="inlineStr">
        <is>
          <t>Artifact / Artefato</t>
        </is>
      </c>
      <c r="C855" s="13" t="inlineStr">
        <is>
          <t>Uncommon / Incomum</t>
        </is>
      </c>
      <c r="D855" s="13"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855" s="13" t="inlineStr">
        <is>
          <t>{1}{R}</t>
        </is>
      </c>
      <c r="F855" s="13" t="inlineStr">
        <is>
          <t>Vermelho</t>
        </is>
      </c>
      <c r="G855" s="8" t="n">
        <v>0.1</v>
      </c>
      <c r="H855" s="13" t="inlineStr">
        <is>
          <t>Kamigawa: Neon Dynasty (NEO)</t>
        </is>
      </c>
      <c r="I855" s="13" t="inlineStr">
        <is>
          <t>Não</t>
        </is>
      </c>
      <c r="J855" s="13" t="n">
        <v>2022</v>
      </c>
      <c r="L855" s="13" t="n">
        <v>1</v>
      </c>
      <c r="M855" s="8">
        <f>L855*G855</f>
        <v/>
      </c>
      <c r="P855" s="9" t="n"/>
    </row>
    <row r="856">
      <c r="A856" s="13" t="inlineStr">
        <is>
          <t>Dragoon's Lance / Lança de Dragoon</t>
        </is>
      </c>
      <c r="B856" s="13" t="inlineStr">
        <is>
          <t>Artefato — Equipamento</t>
        </is>
      </c>
      <c r="C856" s="13" t="inlineStr">
        <is>
          <t>Incomum</t>
        </is>
      </c>
      <c r="D856" s="13"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856" s="13" t="inlineStr">
        <is>
          <t>1{W}</t>
        </is>
      </c>
      <c r="F856" s="13" t="inlineStr">
        <is>
          <t>Branco</t>
        </is>
      </c>
      <c r="G856" s="8" t="n">
        <v>0.15</v>
      </c>
      <c r="H856" s="13" t="inlineStr">
        <is>
          <t>Final Fantasy</t>
        </is>
      </c>
      <c r="I856" s="13" t="inlineStr">
        <is>
          <t>Não</t>
        </is>
      </c>
      <c r="J856" s="13" t="n">
        <v>2025</v>
      </c>
      <c r="L856" s="13" t="n">
        <v>1</v>
      </c>
      <c r="M856" s="8">
        <f>L856*G856</f>
        <v/>
      </c>
      <c r="P856" s="9" t="n"/>
    </row>
    <row r="857">
      <c r="A857" s="13" t="inlineStr">
        <is>
          <t>Dragoon's Lance / Lança de Dragoon</t>
        </is>
      </c>
      <c r="B857" s="13" t="inlineStr">
        <is>
          <t>Artefato — Equipamento</t>
        </is>
      </c>
      <c r="C857" s="13" t="inlineStr">
        <is>
          <t>Incomum</t>
        </is>
      </c>
      <c r="D857" s="13"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857" s="13" t="inlineStr">
        <is>
          <t>1{W}</t>
        </is>
      </c>
      <c r="F857" s="13" t="inlineStr">
        <is>
          <t>Branco</t>
        </is>
      </c>
      <c r="G857" s="8" t="n">
        <v>0.5</v>
      </c>
      <c r="H857" s="13" t="inlineStr">
        <is>
          <t>Final Fantasy</t>
        </is>
      </c>
      <c r="I857" s="13" t="inlineStr">
        <is>
          <t>Sim</t>
        </is>
      </c>
      <c r="J857" s="13" t="n">
        <v>2025</v>
      </c>
      <c r="L857" s="13" t="n">
        <v>1</v>
      </c>
      <c r="M857" s="8">
        <f>L857*G857</f>
        <v/>
      </c>
      <c r="P857" s="9" t="n"/>
    </row>
    <row r="858">
      <c r="A858" s="13" t="inlineStr">
        <is>
          <t>Dragoon's Wyvern</t>
        </is>
      </c>
      <c r="B858" s="13" t="inlineStr">
        <is>
          <t>Creature — Drake</t>
        </is>
      </c>
      <c r="C858" s="13" t="inlineStr">
        <is>
          <t>Comum</t>
        </is>
      </c>
      <c r="D858" s="13" t="inlineStr">
        <is>
          <t>Flying When this creature enters, create a 1/1 colorless Hero creature token.</t>
        </is>
      </c>
      <c r="E858" s="13" t="inlineStr">
        <is>
          <t>2U</t>
        </is>
      </c>
      <c r="F858" s="13" t="inlineStr">
        <is>
          <t>Azul</t>
        </is>
      </c>
      <c r="G858" s="8" t="n">
        <v>0.05</v>
      </c>
      <c r="H858" s="13" t="inlineStr">
        <is>
          <t>Final Fantasy (FFXI)</t>
        </is>
      </c>
      <c r="I858" s="13" t="inlineStr">
        <is>
          <t>Não</t>
        </is>
      </c>
      <c r="J858" s="13" t="n">
        <v>2025</v>
      </c>
      <c r="K858" s="10" t="n">
        <v>46024</v>
      </c>
      <c r="L858" s="13" t="n">
        <v>3</v>
      </c>
      <c r="M858" s="8">
        <f>L858*G858</f>
        <v/>
      </c>
      <c r="P858" s="9" t="n"/>
    </row>
    <row r="859">
      <c r="A859" s="13" t="inlineStr">
        <is>
          <t>Drain Life / Drenar Vida</t>
        </is>
      </c>
      <c r="B859" s="13" t="inlineStr">
        <is>
          <t>Sorcery</t>
        </is>
      </c>
      <c r="C859" s="13" t="inlineStr">
        <is>
          <t>Common / Comum</t>
        </is>
      </c>
      <c r="D859" s="13"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859" s="13" t="inlineStr">
        <is>
          <t>{X}{1}{B}</t>
        </is>
      </c>
      <c r="F859" s="13" t="inlineStr">
        <is>
          <t>Preto</t>
        </is>
      </c>
      <c r="G859" s="8" t="n">
        <v>0.05</v>
      </c>
      <c r="H859" s="13" t="inlineStr">
        <is>
          <t>Quarta Edição</t>
        </is>
      </c>
      <c r="I859" s="13" t="inlineStr">
        <is>
          <t>Não</t>
        </is>
      </c>
      <c r="J859" s="13" t="n">
        <v>1995</v>
      </c>
      <c r="L859" s="13" t="n">
        <v>5</v>
      </c>
      <c r="M859" s="8">
        <f>L859*G859</f>
        <v/>
      </c>
      <c r="P859" s="9" t="n"/>
    </row>
    <row r="860">
      <c r="A860" s="13" t="inlineStr">
        <is>
          <t>Drain Life / Drenar Vida</t>
        </is>
      </c>
      <c r="B860" s="13" t="inlineStr">
        <is>
          <t>Sorcery</t>
        </is>
      </c>
      <c r="C860" s="13" t="inlineStr">
        <is>
          <t>Common / Comum</t>
        </is>
      </c>
      <c r="D860" s="13"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860" s="13" t="inlineStr">
        <is>
          <t>{X}{1}{B}</t>
        </is>
      </c>
      <c r="F860" s="13" t="inlineStr">
        <is>
          <t>Preto</t>
        </is>
      </c>
      <c r="G860" s="8" t="n">
        <v>0.19</v>
      </c>
      <c r="H860" s="13" t="inlineStr">
        <is>
          <t>Quarta Edição (BB)</t>
        </is>
      </c>
      <c r="I860" s="13" t="inlineStr">
        <is>
          <t>Não</t>
        </is>
      </c>
      <c r="J860" s="13" t="n">
        <v>1995</v>
      </c>
      <c r="L860" s="13" t="n">
        <v>3</v>
      </c>
      <c r="M860" s="8">
        <f>L860*G860</f>
        <v/>
      </c>
      <c r="P860" s="9" t="n"/>
    </row>
    <row r="861">
      <c r="A861" s="13" t="inlineStr">
        <is>
          <t>Drain Life / Drenar Vida</t>
        </is>
      </c>
      <c r="B861" s="13" t="inlineStr">
        <is>
          <t>Sorcery</t>
        </is>
      </c>
      <c r="C861" s="13" t="inlineStr">
        <is>
          <t>Common / Comum</t>
        </is>
      </c>
      <c r="D861" s="13"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861" s="13" t="inlineStr">
        <is>
          <t>{X}{1}{B}</t>
        </is>
      </c>
      <c r="F861" s="13" t="inlineStr">
        <is>
          <t>Preto</t>
        </is>
      </c>
      <c r="G861" s="8" t="n">
        <v>0.25</v>
      </c>
      <c r="H861" s="13" t="inlineStr">
        <is>
          <t>Revised Edition</t>
        </is>
      </c>
      <c r="I861" s="13" t="inlineStr">
        <is>
          <t>Não</t>
        </is>
      </c>
      <c r="J861" s="13" t="n">
        <v>1994</v>
      </c>
      <c r="L861" s="13" t="n">
        <v>4</v>
      </c>
      <c r="M861" s="8">
        <f>L861*G861</f>
        <v/>
      </c>
      <c r="P861" s="9" t="n"/>
    </row>
    <row r="862">
      <c r="A862" s="13" t="inlineStr">
        <is>
          <t>Drake Haven / Refúgio dos Dragonetes</t>
        </is>
      </c>
      <c r="B862" s="13" t="inlineStr">
        <is>
          <t>Enchantment / Encantamento</t>
        </is>
      </c>
      <c r="C862" s="13" t="inlineStr">
        <is>
          <t>Rare / Rara</t>
        </is>
      </c>
      <c r="D862" s="13" t="inlineStr">
        <is>
          <t>Whenever you cycle or discard a card, you may pay {1}. If you do, create a 2/2 blue Drake creature token with flying. / Toda vez que recicla ou descarta um card, você pode pagar {1}. Se fizer isso, crie uma ficha de criatura azul 2/2 do tipo Dragonete com voar.</t>
        </is>
      </c>
      <c r="E862" s="13" t="inlineStr">
        <is>
          <t>{2}{U}</t>
        </is>
      </c>
      <c r="F862" s="13" t="inlineStr">
        <is>
          <t>Azul</t>
        </is>
      </c>
      <c r="G862" s="8" t="n">
        <v>0.25</v>
      </c>
      <c r="H862" s="13" t="inlineStr">
        <is>
          <t>Amonkhet (AKH)</t>
        </is>
      </c>
      <c r="I862" s="13" t="inlineStr">
        <is>
          <t>Não</t>
        </is>
      </c>
      <c r="J862" s="13" t="n">
        <v>2017</v>
      </c>
      <c r="L862" s="13" t="n">
        <v>1</v>
      </c>
      <c r="M862" s="8">
        <f>L862*G862</f>
        <v/>
      </c>
      <c r="P862" s="9" t="n"/>
    </row>
    <row r="863">
      <c r="A863" s="13" t="inlineStr">
        <is>
          <t>Dramatic Accusation / Acusação Dramática</t>
        </is>
      </c>
      <c r="B863" s="13" t="inlineStr">
        <is>
          <t>Enchantment — Aura / Encantamento — Aura</t>
        </is>
      </c>
      <c r="C863" s="13" t="inlineStr">
        <is>
          <t>Common / Comum</t>
        </is>
      </c>
      <c r="D863" s="13"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863" s="13" t="inlineStr">
        <is>
          <t>{2}{U}</t>
        </is>
      </c>
      <c r="F863" s="13" t="inlineStr">
        <is>
          <t>Azul</t>
        </is>
      </c>
      <c r="G863" s="8" t="n">
        <v>0.05</v>
      </c>
      <c r="H863" s="13" t="inlineStr">
        <is>
          <t>Murders at Karlov Manor (MKM)</t>
        </is>
      </c>
      <c r="I863" s="13" t="inlineStr">
        <is>
          <t>Não</t>
        </is>
      </c>
      <c r="J863" s="13" t="n">
        <v>2024</v>
      </c>
      <c r="L863" s="13" t="n">
        <v>1</v>
      </c>
      <c r="M863" s="8">
        <f>L863*G863</f>
        <v/>
      </c>
      <c r="P863" s="9" t="n"/>
    </row>
    <row r="864">
      <c r="A864" s="13" t="inlineStr">
        <is>
          <t>Drana's Silencer / Silenciador de Drana</t>
        </is>
      </c>
      <c r="B864" s="13" t="inlineStr">
        <is>
          <t>Creature — Vampire Rogue / Criatura — Vampiro Ladino</t>
        </is>
      </c>
      <c r="C864" s="13" t="inlineStr">
        <is>
          <t>Common / Comum</t>
        </is>
      </c>
      <c r="D864" s="13"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864" s="13" t="inlineStr">
        <is>
          <t>{5}{B}</t>
        </is>
      </c>
      <c r="F864" s="13" t="inlineStr">
        <is>
          <t>Preto</t>
        </is>
      </c>
      <c r="G864" s="8" t="n">
        <v>0.05</v>
      </c>
      <c r="H864" s="13" t="inlineStr">
        <is>
          <t>Zendikar Rising (ZNR)</t>
        </is>
      </c>
      <c r="I864" s="13" t="inlineStr">
        <is>
          <t>Não</t>
        </is>
      </c>
      <c r="J864" s="13" t="n">
        <v>2020</v>
      </c>
      <c r="K864" s="10" t="n">
        <v>46056</v>
      </c>
      <c r="L864" s="13" t="n">
        <v>1</v>
      </c>
      <c r="M864" s="8">
        <f>L864*G864</f>
        <v/>
      </c>
      <c r="P864" s="9" t="n"/>
    </row>
    <row r="865">
      <c r="A865" s="13" t="inlineStr">
        <is>
          <t>Dread Shade / Sombra Aterrorizante</t>
        </is>
      </c>
      <c r="B865" s="13" t="inlineStr">
        <is>
          <t>Creature — Shade / Criatura — Sombra</t>
        </is>
      </c>
      <c r="C865" s="13" t="inlineStr">
        <is>
          <t>Rare / Rara</t>
        </is>
      </c>
      <c r="D865" s="13" t="inlineStr">
        <is>
          <t>{B}: This creature gets +1/+1 until end of turn. / {B}: Sombra Aterrorizante recebe +1/+1 até o final do turno.</t>
        </is>
      </c>
      <c r="E865" s="13" t="inlineStr">
        <is>
          <t>{B}{B}{B}</t>
        </is>
      </c>
      <c r="F865" s="13" t="inlineStr">
        <is>
          <t>Preto</t>
        </is>
      </c>
      <c r="G865" s="8" t="n">
        <v>0.32</v>
      </c>
      <c r="H865" s="13" t="inlineStr">
        <is>
          <t>Dominaria (DOM)</t>
        </is>
      </c>
      <c r="I865" s="13" t="inlineStr">
        <is>
          <t>Não</t>
        </is>
      </c>
      <c r="J865" s="13" t="n">
        <v>2018</v>
      </c>
      <c r="K865" s="10" t="n">
        <v>46084</v>
      </c>
      <c r="L865" s="13" t="n">
        <v>2</v>
      </c>
      <c r="M865" s="8">
        <f>L865*G865</f>
        <v/>
      </c>
      <c r="P865" s="9" t="n"/>
    </row>
    <row r="866">
      <c r="A866" s="13" t="inlineStr">
        <is>
          <t>Dreadbringer Lampads / Lâmpades Medonhas</t>
        </is>
      </c>
      <c r="B866" s="13" t="inlineStr">
        <is>
          <t>Enchantment Creature — Nymph / Criatura Encantamento — Ninfa</t>
        </is>
      </c>
      <c r="C866" s="13" t="inlineStr">
        <is>
          <t>Common / Comum</t>
        </is>
      </c>
      <c r="D866" s="13"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866" s="13" t="inlineStr">
        <is>
          <t>{4}{B}</t>
        </is>
      </c>
      <c r="F866" s="13" t="inlineStr">
        <is>
          <t>Preto</t>
        </is>
      </c>
      <c r="G866" s="8" t="n">
        <v>0.03</v>
      </c>
      <c r="H866" s="13" t="inlineStr">
        <is>
          <t>The List (PLST)</t>
        </is>
      </c>
      <c r="I866" s="13" t="inlineStr">
        <is>
          <t>Não</t>
        </is>
      </c>
      <c r="J866" s="13" t="n">
        <v>2019</v>
      </c>
      <c r="K866" s="10" t="n">
        <v>46057</v>
      </c>
      <c r="L866" s="13" t="n">
        <v>2</v>
      </c>
      <c r="M866" s="8">
        <f>L866*G866</f>
        <v/>
      </c>
      <c r="P866" s="9" t="n"/>
    </row>
    <row r="867">
      <c r="A867" s="13" t="inlineStr">
        <is>
          <t>Dream Beavers</t>
        </is>
      </c>
      <c r="B867" s="13" t="inlineStr">
        <is>
          <t>Creature — Beaver Nightmare</t>
        </is>
      </c>
      <c r="C867" s="13" t="inlineStr">
        <is>
          <t>Uncommon / Incomum</t>
        </is>
      </c>
      <c r="D867" s="13" t="inlineStr">
        <is>
          <t>Flying When this creature enters, each opponent loses 1 life and you gain 1 life. Scry 1. (Look at the top card of your library. You may put that card on the bottom.)</t>
        </is>
      </c>
      <c r="E867" s="13" t="inlineStr">
        <is>
          <t>{B}</t>
        </is>
      </c>
      <c r="F867" s="13" t="inlineStr">
        <is>
          <t>Preto</t>
        </is>
      </c>
      <c r="G867" s="8" t="n">
        <v>0.28</v>
      </c>
      <c r="H867" s="13" t="inlineStr">
        <is>
          <t>Teenage Mutant Ninja Turtles (TMT)</t>
        </is>
      </c>
      <c r="I867" s="13" t="inlineStr">
        <is>
          <t>Não</t>
        </is>
      </c>
      <c r="J867" s="13" t="n">
        <v>2026</v>
      </c>
      <c r="K867" s="10" t="n">
        <v>46023</v>
      </c>
      <c r="L867" s="13" t="n">
        <v>1</v>
      </c>
      <c r="M867" s="8">
        <f>L867*G867</f>
        <v/>
      </c>
      <c r="P867" s="9" t="n"/>
    </row>
    <row r="868">
      <c r="A868" s="13" t="inlineStr">
        <is>
          <t>Dream Seizer</t>
        </is>
      </c>
      <c r="B868" s="13" t="inlineStr">
        <is>
          <t>Creature — Faerie Rogue</t>
        </is>
      </c>
      <c r="C868" s="13" t="inlineStr">
        <is>
          <t>Common</t>
        </is>
      </c>
      <c r="D868" s="13" t="inlineStr">
        <is>
          <t>Flying. When this creature enters, you may blight 1. If you do, each opponent discards a card. (To blight 1, put a -1/-1 counter on a creature you control.)</t>
        </is>
      </c>
      <c r="E868" s="13" t="inlineStr">
        <is>
          <t>{3}{B}</t>
        </is>
      </c>
      <c r="F868" s="13" t="inlineStr">
        <is>
          <t>Preto</t>
        </is>
      </c>
      <c r="G868" s="8" t="n">
        <v>0.05</v>
      </c>
      <c r="H868" s="13" t="inlineStr">
        <is>
          <t>Lorwyn Eclipsed (ECL)</t>
        </is>
      </c>
      <c r="I868" s="13" t="inlineStr">
        <is>
          <t>Não</t>
        </is>
      </c>
      <c r="J868" s="13" t="n">
        <v>2026</v>
      </c>
      <c r="K868" s="10" t="n">
        <v>46056</v>
      </c>
      <c r="L868" s="13" t="n">
        <v>1</v>
      </c>
      <c r="M868" s="8">
        <f>L868*G868</f>
        <v/>
      </c>
      <c r="P868" s="9" t="n"/>
    </row>
    <row r="869">
      <c r="A869" s="13" t="inlineStr">
        <is>
          <t>Dreams of Laguna / Sonhos de Laguna</t>
        </is>
      </c>
      <c r="B869" s="13" t="inlineStr">
        <is>
          <t>Mágica Instantânea</t>
        </is>
      </c>
      <c r="C869" s="13" t="inlineStr">
        <is>
          <t>Comum</t>
        </is>
      </c>
      <c r="D869" s="13" t="inlineStr">
        <is>
          <t>Vigie 1, depois compre um card. (Para vigiar 1, olhe o card do topo de seu grimório. Você pode colocá-lo em seu cemitério.) Recapitular {3}{U} (Você pode conjurar este card de seu cemitério pagando seu custo de recapitular. Depois, exile-o.)</t>
        </is>
      </c>
      <c r="E869" s="13" t="inlineStr">
        <is>
          <t>1{U}</t>
        </is>
      </c>
      <c r="F869" s="13" t="inlineStr">
        <is>
          <t>Azul</t>
        </is>
      </c>
      <c r="G869" s="8" t="n">
        <v>0.05</v>
      </c>
      <c r="H869" s="13" t="inlineStr">
        <is>
          <t>Final Fantasy</t>
        </is>
      </c>
      <c r="I869" s="13" t="inlineStr">
        <is>
          <t>Não</t>
        </is>
      </c>
      <c r="J869" s="13" t="n">
        <v>2025</v>
      </c>
      <c r="L869" s="13" t="n">
        <v>8</v>
      </c>
      <c r="M869" s="8">
        <f>L869*G869</f>
        <v/>
      </c>
      <c r="P869" s="9" t="n"/>
    </row>
    <row r="870">
      <c r="A870" s="13" t="inlineStr">
        <is>
          <t>Dreams of Laguna / Sonhos de Laguna</t>
        </is>
      </c>
      <c r="B870" s="13" t="inlineStr">
        <is>
          <t>Mágica Instantânea</t>
        </is>
      </c>
      <c r="C870" s="13" t="inlineStr">
        <is>
          <t>Comum</t>
        </is>
      </c>
      <c r="D870" s="13" t="inlineStr">
        <is>
          <t>Vigie 1, depois compre um card. (Para vigiar 1, olhe o card do topo de seu grimório. Você pode colocá-lo em seu cemitério.) Recapitular {3}{U} (Você pode conjurar este card de seu cemitério pagando seu custo de recapitular. Depois, exile-o.)</t>
        </is>
      </c>
      <c r="E870" s="13" t="inlineStr">
        <is>
          <t>1{U}</t>
        </is>
      </c>
      <c r="F870" s="13" t="inlineStr">
        <is>
          <t>Azul</t>
        </is>
      </c>
      <c r="G870" s="8" t="n">
        <v>0.25</v>
      </c>
      <c r="H870" s="13" t="inlineStr">
        <is>
          <t>Final Fantasy</t>
        </is>
      </c>
      <c r="I870" s="13" t="inlineStr">
        <is>
          <t>Sim</t>
        </is>
      </c>
      <c r="J870" s="13" t="n">
        <v>2025</v>
      </c>
      <c r="L870" s="13" t="n">
        <v>1</v>
      </c>
      <c r="M870" s="8">
        <f>L870*G870</f>
        <v/>
      </c>
      <c r="P870" s="9" t="n"/>
    </row>
    <row r="871">
      <c r="A871" s="13" t="inlineStr">
        <is>
          <t>Dreamshackle Geist / Geist do Grilhão Onírico</t>
        </is>
      </c>
      <c r="B871" s="13" t="inlineStr">
        <is>
          <t>Creature — Spirit / Criatura — Espírito</t>
        </is>
      </c>
      <c r="C871" s="13" t="inlineStr">
        <is>
          <t>Rare / Rara</t>
        </is>
      </c>
      <c r="D871" s="13"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871" s="13" t="inlineStr">
        <is>
          <t>{1}{U}{U}</t>
        </is>
      </c>
      <c r="F871" s="13" t="inlineStr">
        <is>
          <t>Azul</t>
        </is>
      </c>
      <c r="G871" s="8" t="n">
        <v>0.3</v>
      </c>
      <c r="H871" s="13" t="inlineStr">
        <is>
          <t>Innistrad: Crimson Vow (VOW)</t>
        </is>
      </c>
      <c r="I871" s="13" t="inlineStr">
        <is>
          <t>Não</t>
        </is>
      </c>
      <c r="J871" s="13" t="n">
        <v>2021</v>
      </c>
      <c r="K871" s="10" t="n">
        <v>46025</v>
      </c>
      <c r="L871" s="13" t="n">
        <v>1</v>
      </c>
      <c r="M871" s="8">
        <f>L871*G871</f>
        <v/>
      </c>
      <c r="P871" s="9" t="n"/>
    </row>
    <row r="872">
      <c r="A872" s="13" t="inlineStr">
        <is>
          <t>Dredging Claw / Garra Dragadora</t>
        </is>
      </c>
      <c r="B872" s="13" t="inlineStr">
        <is>
          <t>Artifact — Equipment / Artefato — Equipamento</t>
        </is>
      </c>
      <c r="C872" s="13" t="inlineStr">
        <is>
          <t>Common / Comum</t>
        </is>
      </c>
      <c r="D872" s="13" t="inlineStr">
        <is>
          <t>Equipped creature gets +1/+0 and has menace. Whenever a creature enters the battlefield from your graveyard, you may attach Dredging Claw to it. Equip {1}{B}</t>
        </is>
      </c>
      <c r="E872" s="13" t="inlineStr">
        <is>
          <t>{2}</t>
        </is>
      </c>
      <c r="F872" s="13" t="inlineStr">
        <is>
          <t>Incolor</t>
        </is>
      </c>
      <c r="G872" s="8" t="n">
        <v>0.2</v>
      </c>
      <c r="H872" s="13" t="inlineStr">
        <is>
          <t>The Brothers' War (BRO)</t>
        </is>
      </c>
      <c r="I872" s="13" t="inlineStr">
        <is>
          <t>Sim</t>
        </is>
      </c>
      <c r="J872" s="13" t="n">
        <v>2022</v>
      </c>
      <c r="L872" s="13" t="n">
        <v>1</v>
      </c>
      <c r="M872" s="8">
        <f>L872*G872</f>
        <v/>
      </c>
      <c r="P872" s="9" t="n"/>
    </row>
    <row r="873">
      <c r="A873" s="13" t="inlineStr">
        <is>
          <t>Dregscape Sliver / Fractius do Vale das Escórias</t>
        </is>
      </c>
      <c r="B873" s="13" t="inlineStr">
        <is>
          <t>Creature — Sliver / Criatura — Fractius</t>
        </is>
      </c>
      <c r="C873" s="13" t="inlineStr">
        <is>
          <t>Uncommon / Incomum</t>
        </is>
      </c>
      <c r="D873" s="13"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873" s="13" t="inlineStr">
        <is>
          <t>{1}{B}</t>
        </is>
      </c>
      <c r="F873" s="13" t="inlineStr">
        <is>
          <t>Preto</t>
        </is>
      </c>
      <c r="G873" s="8" t="n">
        <v>0.05</v>
      </c>
      <c r="H873" s="13" t="inlineStr">
        <is>
          <t>Modern Horizons (MH1)</t>
        </is>
      </c>
      <c r="I873" s="13" t="inlineStr">
        <is>
          <t>Não</t>
        </is>
      </c>
      <c r="J873" s="13" t="n">
        <v>2019</v>
      </c>
      <c r="K873" s="10" t="n">
        <v>46055</v>
      </c>
      <c r="L873" s="13" t="n">
        <v>3</v>
      </c>
      <c r="M873" s="8">
        <f>L873*G873</f>
        <v/>
      </c>
      <c r="P873" s="9" t="n"/>
    </row>
    <row r="874">
      <c r="A874" s="13" t="inlineStr">
        <is>
          <t>Drider / Draider</t>
        </is>
      </c>
      <c r="B874" s="13" t="inlineStr">
        <is>
          <t>Creature — Elf Spider / Criatura — Elfo Aranha</t>
        </is>
      </c>
      <c r="C874" s="13" t="inlineStr">
        <is>
          <t>Uncommon / Incomum</t>
        </is>
      </c>
      <c r="D874" s="13"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874" s="13" t="inlineStr">
        <is>
          <t>{4}{B}</t>
        </is>
      </c>
      <c r="F874" s="13" t="inlineStr">
        <is>
          <t>Preto</t>
        </is>
      </c>
      <c r="G874" s="8" t="n">
        <v>0.18</v>
      </c>
      <c r="H874" s="13" t="inlineStr">
        <is>
          <t>Adventures in the Forgotten Realms (AFR)</t>
        </is>
      </c>
      <c r="I874" s="13" t="inlineStr">
        <is>
          <t>Não</t>
        </is>
      </c>
      <c r="J874" s="13" t="n">
        <v>2021</v>
      </c>
      <c r="K874" s="10" t="n">
        <v>46085</v>
      </c>
      <c r="L874" s="13" t="n">
        <v>1</v>
      </c>
      <c r="M874" s="8">
        <f>L874*G874</f>
        <v/>
      </c>
      <c r="P874" s="9" t="n"/>
    </row>
    <row r="875">
      <c r="A875" s="13" t="inlineStr">
        <is>
          <t>Dromoka Dunecaster / Conjurador de Dunas de Dromoka</t>
        </is>
      </c>
      <c r="B875" s="13" t="inlineStr">
        <is>
          <t>Creature — Human Wizard / Criatura — Humano Mago</t>
        </is>
      </c>
      <c r="C875" s="13" t="inlineStr">
        <is>
          <t>Common / Comum</t>
        </is>
      </c>
      <c r="D875" s="13" t="inlineStr">
        <is>
          <t>{1}{W}, {T}: Tap target creature without flying. / {1}{W}, {T}: Vire a criatura alvo sem voar.</t>
        </is>
      </c>
      <c r="E875" s="13" t="inlineStr">
        <is>
          <t>{W}</t>
        </is>
      </c>
      <c r="F875" s="13" t="inlineStr">
        <is>
          <t>Branco</t>
        </is>
      </c>
      <c r="G875" s="8" t="n">
        <v>0.08</v>
      </c>
      <c r="H875" s="13" t="inlineStr">
        <is>
          <t>Dragons of Tarkir (DTK)</t>
        </is>
      </c>
      <c r="I875" s="13" t="inlineStr">
        <is>
          <t>Não</t>
        </is>
      </c>
      <c r="J875" s="13" t="n">
        <v>2015</v>
      </c>
      <c r="K875" s="13" t="inlineStr">
        <is>
          <t>0/2</t>
        </is>
      </c>
      <c r="L875" s="13" t="n">
        <v>1</v>
      </c>
      <c r="M875" s="8">
        <f>L875*G875</f>
        <v/>
      </c>
      <c r="P875" s="9" t="n"/>
    </row>
    <row r="876">
      <c r="A876" s="13" t="inlineStr">
        <is>
          <t>Dromoka Warrior / Guerreiro de Dromoka</t>
        </is>
      </c>
      <c r="B876" s="13" t="inlineStr">
        <is>
          <t>Creature — Human Warrior / Criatura — Humano Guerreiro</t>
        </is>
      </c>
      <c r="C876" s="13" t="inlineStr">
        <is>
          <t>Common / Comum</t>
        </is>
      </c>
      <c r="E876" s="13" t="inlineStr">
        <is>
          <t>{1}{W}</t>
        </is>
      </c>
      <c r="F876" s="13" t="inlineStr">
        <is>
          <t>Branco</t>
        </is>
      </c>
      <c r="G876" s="8" t="n">
        <v>0.05</v>
      </c>
      <c r="H876" s="13" t="inlineStr">
        <is>
          <t>Dragons of Tarkir (DTK)</t>
        </is>
      </c>
      <c r="I876" s="13" t="inlineStr">
        <is>
          <t>Não</t>
        </is>
      </c>
      <c r="J876" s="13" t="n">
        <v>2015</v>
      </c>
      <c r="K876" s="10" t="n">
        <v>46025</v>
      </c>
      <c r="L876" s="13" t="n">
        <v>1</v>
      </c>
      <c r="M876" s="8">
        <f>L876*G876</f>
        <v/>
      </c>
      <c r="P876" s="9" t="n"/>
    </row>
    <row r="877">
      <c r="A877" s="13" t="inlineStr">
        <is>
          <t>Dross Skullbomb / Bombacrânio de Dross</t>
        </is>
      </c>
      <c r="B877" s="13" t="inlineStr">
        <is>
          <t>Artifact / Artefato</t>
        </is>
      </c>
      <c r="C877" s="13" t="inlineStr">
        <is>
          <t>Common / Comum</t>
        </is>
      </c>
      <c r="D877" s="13"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877" s="13" t="inlineStr">
        <is>
          <t>{1}</t>
        </is>
      </c>
      <c r="F877" s="13" t="inlineStr">
        <is>
          <t>Preto</t>
        </is>
      </c>
      <c r="G877" s="8" t="n">
        <v>0.04</v>
      </c>
      <c r="H877" s="13" t="inlineStr">
        <is>
          <t>Phyrexia: All Will Be One (ONE)</t>
        </is>
      </c>
      <c r="I877" s="13" t="inlineStr">
        <is>
          <t>Não</t>
        </is>
      </c>
      <c r="J877" s="13" t="n">
        <v>2023</v>
      </c>
      <c r="L877" s="13" t="n">
        <v>1</v>
      </c>
      <c r="M877" s="8">
        <f>L877*G877</f>
        <v/>
      </c>
      <c r="P877" s="9" t="n"/>
    </row>
    <row r="878">
      <c r="A878" s="13" t="inlineStr">
        <is>
          <t>Drought</t>
        </is>
      </c>
      <c r="B878" s="13" t="inlineStr">
        <is>
          <t>Encantamento / Enchantment</t>
        </is>
      </c>
      <c r="C878" s="13" t="inlineStr">
        <is>
          <t>Rara / Rare</t>
        </is>
      </c>
      <c r="D878" s="13"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878" s="13" t="inlineStr">
        <is>
          <t>{2}{W}{W}</t>
        </is>
      </c>
      <c r="F878" s="13" t="inlineStr">
        <is>
          <t>Branco</t>
        </is>
      </c>
      <c r="G878" s="8" t="n">
        <v>0.13</v>
      </c>
      <c r="H878" s="13" t="inlineStr">
        <is>
          <t>Ice Age (ICE)</t>
        </is>
      </c>
      <c r="I878" s="13" t="inlineStr">
        <is>
          <t>Não</t>
        </is>
      </c>
      <c r="J878" s="13" t="n">
        <v>1995</v>
      </c>
      <c r="L878" s="13" t="n">
        <v>1</v>
      </c>
      <c r="M878" s="8">
        <f>L878*G878</f>
        <v/>
      </c>
      <c r="P878" s="9" t="n"/>
    </row>
    <row r="879">
      <c r="A879" s="13" t="inlineStr">
        <is>
          <t>Drown in Sorrow / Afogar em Mágoas</t>
        </is>
      </c>
      <c r="B879" s="13" t="inlineStr">
        <is>
          <t>Sorcery / Feitiço</t>
        </is>
      </c>
      <c r="C879" s="13" t="inlineStr">
        <is>
          <t>Common / Comum</t>
        </is>
      </c>
      <c r="D879" s="13"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879" s="13" t="inlineStr">
        <is>
          <t>{1}{B}{B}</t>
        </is>
      </c>
      <c r="F879" s="13" t="inlineStr">
        <is>
          <t>Preto</t>
        </is>
      </c>
      <c r="G879" s="8" t="n">
        <v>3.5</v>
      </c>
      <c r="H879" s="13" t="inlineStr">
        <is>
          <t>Commander Masters (CMM)</t>
        </is>
      </c>
      <c r="I879" s="13" t="inlineStr">
        <is>
          <t>Não</t>
        </is>
      </c>
      <c r="J879" s="13" t="n">
        <v>2023</v>
      </c>
      <c r="L879" s="13" t="n">
        <v>2</v>
      </c>
      <c r="M879" s="8">
        <f>L879*G879</f>
        <v/>
      </c>
      <c r="N879" s="13" t="inlineStr">
        <is>
          <t>Pasta</t>
        </is>
      </c>
      <c r="P879" s="9" t="n"/>
    </row>
    <row r="880">
      <c r="A880" s="13" t="inlineStr">
        <is>
          <t>Drowner of Hope / Afogador da Esperança</t>
        </is>
      </c>
      <c r="B880" s="13" t="inlineStr">
        <is>
          <t>Creature — Eldrazi / Criatura — Eldrazi</t>
        </is>
      </c>
      <c r="C880" s="13" t="inlineStr">
        <is>
          <t>Rare / Rara</t>
        </is>
      </c>
      <c r="D880" s="13"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880" s="13" t="inlineStr">
        <is>
          <t>{5}{U}</t>
        </is>
      </c>
      <c r="F880" s="13" t="inlineStr">
        <is>
          <t>Azul</t>
        </is>
      </c>
      <c r="G880" s="8" t="n">
        <v>0.25</v>
      </c>
      <c r="H880" s="13" t="inlineStr">
        <is>
          <t>Battle for Zendikar (BFZ)</t>
        </is>
      </c>
      <c r="I880" s="13" t="inlineStr">
        <is>
          <t>Não</t>
        </is>
      </c>
      <c r="J880" s="13" t="n">
        <v>2015</v>
      </c>
      <c r="K880" s="10" t="n">
        <v>46147</v>
      </c>
      <c r="L880" s="13" t="n">
        <v>1</v>
      </c>
      <c r="M880" s="8">
        <f>L880*G880</f>
        <v/>
      </c>
      <c r="P880" s="9" t="n"/>
    </row>
    <row r="881">
      <c r="A881" s="13" t="inlineStr">
        <is>
          <t>Drudge Skeletons / Esqueletos de Carga</t>
        </is>
      </c>
      <c r="B881" s="13" t="inlineStr">
        <is>
          <t>Creature — Skeleton / Criatura — Esqueleto</t>
        </is>
      </c>
      <c r="C881" s="13" t="inlineStr">
        <is>
          <t>Common / Comum</t>
        </is>
      </c>
      <c r="D881" s="13"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881" s="13" t="inlineStr">
        <is>
          <t>{1}{B}</t>
        </is>
      </c>
      <c r="F881" s="13" t="inlineStr">
        <is>
          <t>Preto</t>
        </is>
      </c>
      <c r="G881" s="8" t="n">
        <v>0.04</v>
      </c>
      <c r="H881" s="13" t="inlineStr">
        <is>
          <t>Quarta Edição</t>
        </is>
      </c>
      <c r="I881" s="13" t="inlineStr">
        <is>
          <t>Não</t>
        </is>
      </c>
      <c r="J881" s="13" t="n">
        <v>1995</v>
      </c>
      <c r="K881" s="10" t="n">
        <v>46023</v>
      </c>
      <c r="L881" s="13" t="n">
        <v>4</v>
      </c>
      <c r="M881" s="8">
        <f>L881*G881</f>
        <v/>
      </c>
      <c r="P881" s="9" t="n"/>
    </row>
    <row r="882">
      <c r="A882" s="13" t="inlineStr">
        <is>
          <t>Drudge Skeletons / Esqueletos de Carga</t>
        </is>
      </c>
      <c r="B882" s="13" t="inlineStr">
        <is>
          <t>Creature — Skeleton / Criatura — Esqueleto</t>
        </is>
      </c>
      <c r="C882" s="13" t="inlineStr">
        <is>
          <t>Common / Comum</t>
        </is>
      </c>
      <c r="D882" s="13"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882" s="13" t="inlineStr">
        <is>
          <t>{1}{B}</t>
        </is>
      </c>
      <c r="F882" s="13" t="inlineStr">
        <is>
          <t>Preto</t>
        </is>
      </c>
      <c r="G882" s="8" t="n">
        <v>0.15</v>
      </c>
      <c r="H882" s="13" t="inlineStr">
        <is>
          <t>Quarta Edição (BB)</t>
        </is>
      </c>
      <c r="I882" s="13" t="inlineStr">
        <is>
          <t>Não</t>
        </is>
      </c>
      <c r="J882" s="13" t="n">
        <v>1995</v>
      </c>
      <c r="K882" s="10" t="n">
        <v>46023</v>
      </c>
      <c r="L882" s="13" t="n">
        <v>9</v>
      </c>
      <c r="M882" s="8">
        <f>L882*G882</f>
        <v/>
      </c>
      <c r="P882" s="9" t="n"/>
    </row>
    <row r="883">
      <c r="A883" s="13" t="inlineStr">
        <is>
          <t>Drudge Skeletons / Esqueletos de Carga</t>
        </is>
      </c>
      <c r="B883" s="13" t="inlineStr">
        <is>
          <t>Creature — Skeleton / Criatura — Esqueleto</t>
        </is>
      </c>
      <c r="C883" s="13" t="inlineStr">
        <is>
          <t>Common / Comum</t>
        </is>
      </c>
      <c r="D883" s="13"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883" s="13" t="inlineStr">
        <is>
          <t>{1}{B}</t>
        </is>
      </c>
      <c r="F883" s="13" t="inlineStr">
        <is>
          <t>Preto</t>
        </is>
      </c>
      <c r="G883" s="8" t="n">
        <v>0.15</v>
      </c>
      <c r="H883" s="13" t="inlineStr">
        <is>
          <t>Revised Edition</t>
        </is>
      </c>
      <c r="I883" s="13" t="inlineStr">
        <is>
          <t>Não</t>
        </is>
      </c>
      <c r="J883" s="13" t="n">
        <v>1994</v>
      </c>
      <c r="K883" s="10" t="n">
        <v>46023</v>
      </c>
      <c r="L883" s="13" t="n">
        <v>5</v>
      </c>
      <c r="M883" s="8">
        <f>L883*G883</f>
        <v/>
      </c>
      <c r="P883" s="9" t="n"/>
    </row>
    <row r="884">
      <c r="A884" s="13" t="inlineStr">
        <is>
          <t>Drudge Spell / Mágica de Carga</t>
        </is>
      </c>
      <c r="B884" s="13" t="inlineStr">
        <is>
          <t>Enchantment</t>
        </is>
      </c>
      <c r="C884" s="13" t="inlineStr">
        <is>
          <t>Uncommon / Incomum</t>
        </is>
      </c>
      <c r="D884" s="13" t="inlineStr">
        <is>
          <t>{B}, Exile two creature cards from your graveyard: Create a 1/1 black Skeleton creature token. It has "{B}: Regenerate this token." When this enchantment leaves the battlefield, destroy all Skeleton tokens. They can't be regenerated.</t>
        </is>
      </c>
      <c r="E884" s="13" t="inlineStr">
        <is>
          <t>{B}{B}</t>
        </is>
      </c>
      <c r="F884" s="13" t="inlineStr">
        <is>
          <t>Preto</t>
        </is>
      </c>
      <c r="G884" s="8" t="n">
        <v>0.1</v>
      </c>
      <c r="H884" s="13" t="inlineStr">
        <is>
          <t>Homelands (HML)</t>
        </is>
      </c>
      <c r="I884" s="13" t="inlineStr">
        <is>
          <t>Não</t>
        </is>
      </c>
      <c r="J884" s="13" t="n">
        <v>1995</v>
      </c>
      <c r="L884" s="13" t="n">
        <v>2</v>
      </c>
      <c r="M884" s="8">
        <f>L884*G884</f>
        <v/>
      </c>
      <c r="P884" s="9" t="n"/>
    </row>
    <row r="885">
      <c r="A885" s="13" t="inlineStr">
        <is>
          <t>Dry Spell / Seca</t>
        </is>
      </c>
      <c r="B885" s="13" t="inlineStr">
        <is>
          <t>Sorcery</t>
        </is>
      </c>
      <c r="C885" s="13" t="inlineStr">
        <is>
          <t>Common / Comum</t>
        </is>
      </c>
      <c r="D885" s="13" t="inlineStr">
        <is>
          <t>Dry Spell deals 1 damage to each creature and each player.</t>
        </is>
      </c>
      <c r="E885" s="13" t="inlineStr">
        <is>
          <t>{1}{B}</t>
        </is>
      </c>
      <c r="F885" s="13" t="inlineStr">
        <is>
          <t>Preto</t>
        </is>
      </c>
      <c r="G885" s="8" t="n">
        <v>0.08</v>
      </c>
      <c r="H885" s="13" t="inlineStr">
        <is>
          <t>Homelands (HML)</t>
        </is>
      </c>
      <c r="I885" s="13" t="inlineStr">
        <is>
          <t>Não</t>
        </is>
      </c>
      <c r="J885" s="13" t="n">
        <v>1995</v>
      </c>
      <c r="L885" s="13" t="n">
        <v>3</v>
      </c>
      <c r="M885" s="8">
        <f>L885*G885</f>
        <v/>
      </c>
      <c r="P885" s="9" t="n"/>
    </row>
    <row r="886">
      <c r="A886" s="13" t="inlineStr">
        <is>
          <t>Duel Tactics / Táticas de Duelo</t>
        </is>
      </c>
      <c r="B886" s="13" t="inlineStr">
        <is>
          <t>Sorcery / Feitiço</t>
        </is>
      </c>
      <c r="C886" s="13" t="inlineStr">
        <is>
          <t>Uncommon / Incomum</t>
        </is>
      </c>
      <c r="D886" s="13"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86" s="13" t="inlineStr">
        <is>
          <t>{R}</t>
        </is>
      </c>
      <c r="F886" s="13" t="inlineStr">
        <is>
          <t>Vermelho</t>
        </is>
      </c>
      <c r="G886" s="8" t="n">
        <v>1.45</v>
      </c>
      <c r="H886" s="13" t="inlineStr">
        <is>
          <t>Shadows of Sothia (SOS)</t>
        </is>
      </c>
      <c r="I886" s="13" t="inlineStr">
        <is>
          <t>Sim</t>
        </is>
      </c>
      <c r="J886" s="13" t="n">
        <v>2026</v>
      </c>
      <c r="L886" s="13" t="n">
        <v>1</v>
      </c>
      <c r="M886" s="8">
        <f>L886*G886</f>
        <v/>
      </c>
      <c r="P886" s="9" t="n"/>
    </row>
    <row r="887">
      <c r="A887" s="13" t="inlineStr">
        <is>
          <t>Dusk Legion Zealot</t>
        </is>
      </c>
      <c r="B887" s="13" t="inlineStr">
        <is>
          <t>Creature — Vampire Soldier</t>
        </is>
      </c>
      <c r="C887" s="13" t="inlineStr">
        <is>
          <t>Common</t>
        </is>
      </c>
      <c r="D887" s="13" t="inlineStr">
        <is>
          <t>When Dusk Legion Zealot enters the battlefield, you draw a card and you lose 1 life.</t>
        </is>
      </c>
      <c r="E887" s="13" t="inlineStr">
        <is>
          <t>{1}{B}</t>
        </is>
      </c>
      <c r="F887" s="13" t="inlineStr">
        <is>
          <t>Black</t>
        </is>
      </c>
      <c r="G887" s="8" t="n">
        <v>0.24</v>
      </c>
      <c r="H887" s="13" t="inlineStr">
        <is>
          <t>Masters 25 (A25)</t>
        </is>
      </c>
      <c r="I887" s="13" t="inlineStr">
        <is>
          <t>No</t>
        </is>
      </c>
      <c r="J887" s="13" t="n">
        <v>2018</v>
      </c>
      <c r="K887" s="10" t="n">
        <v>46023</v>
      </c>
      <c r="L887" s="13" t="n">
        <v>2</v>
      </c>
      <c r="M887" s="8">
        <f>L887*G887</f>
        <v/>
      </c>
      <c r="P887" s="9" t="n"/>
    </row>
    <row r="888">
      <c r="A888" s="13" t="inlineStr">
        <is>
          <t>Dusk Mangler / Desmembrador do Ocaso</t>
        </is>
      </c>
      <c r="B888" s="13" t="inlineStr">
        <is>
          <t>Creature — Horror / Criatura — Horror</t>
        </is>
      </c>
      <c r="C888" s="13" t="inlineStr">
        <is>
          <t>Uncommon / Incomum</t>
        </is>
      </c>
      <c r="D888" s="13"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888" s="13" t="inlineStr">
        <is>
          <t>{5}{B}{B}</t>
        </is>
      </c>
      <c r="F888" s="13" t="inlineStr">
        <is>
          <t>Preto</t>
        </is>
      </c>
      <c r="G888" s="8" t="n">
        <v>0.15</v>
      </c>
      <c r="H888" s="13" t="inlineStr">
        <is>
          <t>Streets of New Capenna (SNC)</t>
        </is>
      </c>
      <c r="I888" s="13" t="inlineStr">
        <is>
          <t>Não</t>
        </is>
      </c>
      <c r="J888" s="13" t="n">
        <v>2022</v>
      </c>
      <c r="K888" s="10" t="n">
        <v>46117</v>
      </c>
      <c r="L888" s="13" t="n">
        <v>1</v>
      </c>
      <c r="M888" s="8">
        <f>L888*G888</f>
        <v/>
      </c>
      <c r="P888" s="9" t="n"/>
    </row>
    <row r="889">
      <c r="A889" s="13" t="inlineStr">
        <is>
          <t>Dusk Mangler / Desmembrador do Ocaso</t>
        </is>
      </c>
      <c r="B889" s="13" t="inlineStr">
        <is>
          <t>Creature — Horror / Criatura — Horror</t>
        </is>
      </c>
      <c r="C889" s="13" t="inlineStr">
        <is>
          <t>Uncommon / Incomum</t>
        </is>
      </c>
      <c r="D889" s="13"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889" s="13" t="inlineStr">
        <is>
          <t>{5}{B}{B}</t>
        </is>
      </c>
      <c r="F889" s="13" t="inlineStr">
        <is>
          <t>Preto</t>
        </is>
      </c>
      <c r="G889" s="8" t="n">
        <v>0.15</v>
      </c>
      <c r="H889" s="13" t="inlineStr">
        <is>
          <t>Streets of New Capenna (SNC)</t>
        </is>
      </c>
      <c r="I889" s="13" t="inlineStr">
        <is>
          <t>Não</t>
        </is>
      </c>
      <c r="J889" s="13" t="n">
        <v>2022</v>
      </c>
      <c r="K889" s="10" t="n">
        <v>46117</v>
      </c>
      <c r="L889" s="13" t="n">
        <v>1</v>
      </c>
      <c r="M889" s="8">
        <f>L889*G889</f>
        <v/>
      </c>
      <c r="P889" s="9" t="n"/>
    </row>
    <row r="890">
      <c r="A890" s="13" t="inlineStr">
        <is>
          <t>Dutiful Servants / Servos Obedientes</t>
        </is>
      </c>
      <c r="B890" s="13" t="inlineStr">
        <is>
          <t>Creature — Zombie / Criatura — Zumbi</t>
        </is>
      </c>
      <c r="C890" s="13" t="inlineStr">
        <is>
          <t>Common / Comum</t>
        </is>
      </c>
      <c r="E890" s="13" t="inlineStr">
        <is>
          <t>{3}{W}</t>
        </is>
      </c>
      <c r="F890" s="13" t="inlineStr">
        <is>
          <t>Branco</t>
        </is>
      </c>
      <c r="G890" s="8" t="n">
        <v>0.03</v>
      </c>
      <c r="H890" s="13" t="inlineStr">
        <is>
          <t>Hour of Devastation (HOU)</t>
        </is>
      </c>
      <c r="I890" s="13" t="inlineStr">
        <is>
          <t>Não</t>
        </is>
      </c>
      <c r="J890" s="13" t="n">
        <v>2017</v>
      </c>
      <c r="K890" s="10" t="n">
        <v>46144</v>
      </c>
      <c r="L890" s="13" t="n">
        <v>2</v>
      </c>
      <c r="M890" s="8">
        <f>L890*G890</f>
        <v/>
      </c>
      <c r="P890" s="9" t="n"/>
    </row>
    <row r="891">
      <c r="A891" s="13" t="inlineStr">
        <is>
          <t>Dwarven Blastminer / Anão Detonador</t>
        </is>
      </c>
      <c r="B891" s="13" t="inlineStr">
        <is>
          <t>Criatura — Anão / Creature — Dwarf</t>
        </is>
      </c>
      <c r="C891" s="13" t="inlineStr">
        <is>
          <t>Rara / Rare</t>
        </is>
      </c>
      <c r="D891" s="13"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891" s="13" t="inlineStr">
        <is>
          <t>{1}{R}</t>
        </is>
      </c>
      <c r="F891" s="13" t="inlineStr">
        <is>
          <t>Vermelho</t>
        </is>
      </c>
      <c r="G891" s="8" t="n">
        <v>26.9</v>
      </c>
      <c r="H891" s="13" t="inlineStr">
        <is>
          <t>Onslaught (ONS)</t>
        </is>
      </c>
      <c r="I891" s="13" t="inlineStr">
        <is>
          <t>Não</t>
        </is>
      </c>
      <c r="J891" s="13" t="n">
        <v>2002</v>
      </c>
      <c r="K891" s="10" t="n">
        <v>46023</v>
      </c>
      <c r="L891" s="13" t="n">
        <v>1</v>
      </c>
      <c r="M891" s="8">
        <f>L891*G891</f>
        <v/>
      </c>
      <c r="P891" s="9" t="n"/>
    </row>
    <row r="892">
      <c r="A892" s="13" t="inlineStr">
        <is>
          <t>Dwarven Castle Guard</t>
        </is>
      </c>
      <c r="B892" s="13" t="inlineStr">
        <is>
          <t>Creature — Dwarf Soldier</t>
        </is>
      </c>
      <c r="C892" s="13" t="inlineStr">
        <is>
          <t>Comum</t>
        </is>
      </c>
      <c r="D892" s="13" t="inlineStr">
        <is>
          <t>When this creature dies, create a 1/1 colorless Hero creature token.</t>
        </is>
      </c>
      <c r="E892" s="13" t="inlineStr">
        <is>
          <t>1W</t>
        </is>
      </c>
      <c r="F892" s="13" t="inlineStr">
        <is>
          <t>Branca</t>
        </is>
      </c>
      <c r="G892" s="8" t="n">
        <v>0.2</v>
      </c>
      <c r="H892" s="13" t="inlineStr">
        <is>
          <t>Final Fantasy (FFIV)</t>
        </is>
      </c>
      <c r="I892" s="13" t="inlineStr">
        <is>
          <t>Sim</t>
        </is>
      </c>
      <c r="J892" s="13" t="n">
        <v>2025</v>
      </c>
      <c r="K892" s="10" t="n">
        <v>46024</v>
      </c>
      <c r="L892" s="13" t="n">
        <v>1</v>
      </c>
      <c r="M892" s="8">
        <f>L892*G892</f>
        <v/>
      </c>
      <c r="P892" s="9" t="n"/>
    </row>
    <row r="893">
      <c r="A893" s="13" t="inlineStr">
        <is>
          <t>Dwarven Castle Guard</t>
        </is>
      </c>
      <c r="B893" s="13" t="inlineStr">
        <is>
          <t>Creature — Dwarf Soldier</t>
        </is>
      </c>
      <c r="C893" s="13" t="inlineStr">
        <is>
          <t>Comum</t>
        </is>
      </c>
      <c r="D893" s="13" t="inlineStr">
        <is>
          <t>When this creature dies, create a 1/1 colorless Hero creature token.</t>
        </is>
      </c>
      <c r="E893" s="13" t="inlineStr">
        <is>
          <t>1W</t>
        </is>
      </c>
      <c r="F893" s="13" t="inlineStr">
        <is>
          <t>Branca</t>
        </is>
      </c>
      <c r="G893" s="8" t="n">
        <v>0.05</v>
      </c>
      <c r="H893" s="13" t="inlineStr">
        <is>
          <t>Final Fantasy (FFIV)</t>
        </is>
      </c>
      <c r="I893" s="13" t="inlineStr">
        <is>
          <t>Não</t>
        </is>
      </c>
      <c r="J893" s="13" t="n">
        <v>2025</v>
      </c>
      <c r="K893" s="10" t="n">
        <v>46024</v>
      </c>
      <c r="L893" s="13" t="n">
        <v>12</v>
      </c>
      <c r="M893" s="8">
        <f>L893*G893</f>
        <v/>
      </c>
      <c r="P893" s="9" t="n"/>
    </row>
    <row r="894">
      <c r="A894" s="13" t="inlineStr">
        <is>
          <t>Dwarven Hold / Forte dos Anões</t>
        </is>
      </c>
      <c r="B894" s="13" t="inlineStr">
        <is>
          <t>Land</t>
        </is>
      </c>
      <c r="C894" s="13" t="inlineStr">
        <is>
          <t>Rare / Rara</t>
        </is>
      </c>
      <c r="D894" s="13"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894" s="13" t="inlineStr">
        <is>
          <t>Vermelho</t>
        </is>
      </c>
      <c r="G894" s="8" t="n">
        <v>3.39</v>
      </c>
      <c r="H894" s="13" t="inlineStr">
        <is>
          <t>Fifth Edition (5ED)</t>
        </is>
      </c>
      <c r="I894" s="13" t="inlineStr">
        <is>
          <t>Não</t>
        </is>
      </c>
      <c r="J894" s="13" t="n">
        <v>1997</v>
      </c>
      <c r="L894" s="13" t="n">
        <v>1</v>
      </c>
      <c r="M894" s="8">
        <f>L894*G894</f>
        <v/>
      </c>
      <c r="N894" s="13" t="inlineStr">
        <is>
          <t>Pasta</t>
        </is>
      </c>
      <c r="P894" s="9" t="n"/>
    </row>
    <row r="895">
      <c r="A895" s="13" t="inlineStr">
        <is>
          <t>Dwarven Lieutenant</t>
        </is>
      </c>
      <c r="B895" s="13" t="inlineStr">
        <is>
          <t>Creature — Dwarf Soldier</t>
        </is>
      </c>
      <c r="C895" s="13" t="inlineStr">
        <is>
          <t>Uncommon / Incomum</t>
        </is>
      </c>
      <c r="D895" s="13" t="inlineStr">
        <is>
          <t>{1}{R}: Target Dwarf creature gets +1/+0 until end of turn.</t>
        </is>
      </c>
      <c r="E895" s="13" t="inlineStr">
        <is>
          <t>{R}{R}</t>
        </is>
      </c>
      <c r="F895" s="13" t="inlineStr">
        <is>
          <t>Vermelho</t>
        </is>
      </c>
      <c r="G895" s="8" t="n">
        <v>0.45</v>
      </c>
      <c r="H895" s="13" t="inlineStr">
        <is>
          <t>Fallen Empires (FEM)</t>
        </is>
      </c>
      <c r="I895" s="13" t="inlineStr">
        <is>
          <t>Não</t>
        </is>
      </c>
      <c r="J895" s="13" t="n">
        <v>1994</v>
      </c>
      <c r="K895" s="10" t="n">
        <v>46054</v>
      </c>
      <c r="L895" s="13" t="n">
        <v>1</v>
      </c>
      <c r="M895" s="8">
        <f>L895*G895</f>
        <v/>
      </c>
      <c r="P895" s="9" t="n"/>
    </row>
    <row r="896">
      <c r="A896" s="13" t="inlineStr">
        <is>
          <t>Dwarven Soldier / Anão Soldado</t>
        </is>
      </c>
      <c r="B896" s="13" t="inlineStr">
        <is>
          <t>Creature — Dwarf Soldier</t>
        </is>
      </c>
      <c r="C896" s="13" t="inlineStr">
        <is>
          <t>Common / Comum</t>
        </is>
      </c>
      <c r="D896" s="13" t="inlineStr">
        <is>
          <t>Whenever this creature blocks or becomes blocked by one or more Orcs, this creature gets +0/+2 until end of turn.</t>
        </is>
      </c>
      <c r="E896" s="13" t="inlineStr">
        <is>
          <t>{1}{R}</t>
        </is>
      </c>
      <c r="F896" s="13" t="inlineStr">
        <is>
          <t>Vermelho</t>
        </is>
      </c>
      <c r="G896" s="8" t="n">
        <v>0.2</v>
      </c>
      <c r="H896" s="13" t="inlineStr">
        <is>
          <t>Fallen Empires (FEM)</t>
        </is>
      </c>
      <c r="I896" s="13" t="inlineStr">
        <is>
          <t>Não</t>
        </is>
      </c>
      <c r="J896" s="13" t="n">
        <v>1994</v>
      </c>
      <c r="K896" s="10" t="n">
        <v>46024</v>
      </c>
      <c r="L896" s="13" t="n">
        <v>1</v>
      </c>
      <c r="M896" s="8">
        <f>L896*G896</f>
        <v/>
      </c>
      <c r="P896" s="9" t="n"/>
    </row>
    <row r="897">
      <c r="A897" s="13" t="inlineStr">
        <is>
          <t>Dwarven Trader / Comerciante Anão</t>
        </is>
      </c>
      <c r="B897" s="13" t="inlineStr">
        <is>
          <t>Creature — Dwarf</t>
        </is>
      </c>
      <c r="C897" s="13" t="inlineStr">
        <is>
          <t>Common / Comum</t>
        </is>
      </c>
      <c r="E897" s="13" t="inlineStr">
        <is>
          <t>{R}</t>
        </is>
      </c>
      <c r="F897" s="13" t="inlineStr">
        <is>
          <t>Vermelho</t>
        </is>
      </c>
      <c r="G897" s="8" t="n">
        <v>0.09</v>
      </c>
      <c r="H897" s="13" t="inlineStr">
        <is>
          <t>Homelands (HML)</t>
        </is>
      </c>
      <c r="I897" s="13" t="inlineStr">
        <is>
          <t>Não</t>
        </is>
      </c>
      <c r="J897" s="13" t="n">
        <v>1995</v>
      </c>
      <c r="K897" s="10" t="n">
        <v>46023</v>
      </c>
      <c r="L897" s="13" t="n">
        <v>3</v>
      </c>
      <c r="M897" s="8">
        <f>L897*G897</f>
        <v/>
      </c>
      <c r="P897" s="9" t="n"/>
    </row>
    <row r="898">
      <c r="A898" s="13" t="inlineStr">
        <is>
          <t>Dwynen's Elite</t>
        </is>
      </c>
      <c r="B898" s="13" t="inlineStr">
        <is>
          <t>Creature — Elf Warrior</t>
        </is>
      </c>
      <c r="C898" s="13" t="inlineStr">
        <is>
          <t>Common</t>
        </is>
      </c>
      <c r="D898" s="13" t="inlineStr">
        <is>
          <t>When this creature enters, if you control another Elf, create a 1/1 green Elf Warrior creature token.</t>
        </is>
      </c>
      <c r="E898" s="13" t="inlineStr">
        <is>
          <t>{1}{G}</t>
        </is>
      </c>
      <c r="F898" s="13" t="inlineStr">
        <is>
          <t>Verde</t>
        </is>
      </c>
      <c r="G898" s="8" t="n">
        <v>0.14</v>
      </c>
      <c r="H898" s="13" t="inlineStr">
        <is>
          <t>Foundations (FDN)</t>
        </is>
      </c>
      <c r="I898" s="13" t="inlineStr">
        <is>
          <t>Não</t>
        </is>
      </c>
      <c r="J898" s="13" t="n">
        <v>2024</v>
      </c>
      <c r="K898" s="10" t="n">
        <v>46055</v>
      </c>
      <c r="L898" s="13" t="n">
        <v>1</v>
      </c>
      <c r="M898" s="8">
        <f>L898*G898</f>
        <v/>
      </c>
      <c r="P898" s="9" t="n"/>
    </row>
    <row r="899">
      <c r="A899" s="13" t="inlineStr">
        <is>
          <t>Dwynen's Elite / Elite de Dwynen</t>
        </is>
      </c>
      <c r="B899" s="13" t="inlineStr">
        <is>
          <t>Creature — Elf Warrior / Criatura — Elfo Guerreiro</t>
        </is>
      </c>
      <c r="C899" s="13" t="inlineStr">
        <is>
          <t>Uncommon / Incomum</t>
        </is>
      </c>
      <c r="D899" s="13"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899" s="13" t="inlineStr">
        <is>
          <t>{1}{G}</t>
        </is>
      </c>
      <c r="F899" s="13" t="inlineStr">
        <is>
          <t>Verde</t>
        </is>
      </c>
      <c r="G899" s="8" t="n">
        <v>0.4</v>
      </c>
      <c r="H899" s="13" t="inlineStr">
        <is>
          <t>Jumpstart (JMP)</t>
        </is>
      </c>
      <c r="I899" s="13" t="inlineStr">
        <is>
          <t>Não</t>
        </is>
      </c>
      <c r="J899" s="13" t="n">
        <v>2020</v>
      </c>
      <c r="K899" s="10" t="n">
        <v>46055</v>
      </c>
      <c r="L899" s="13" t="n">
        <v>1</v>
      </c>
      <c r="M899" s="8">
        <f>L899*G899</f>
        <v/>
      </c>
      <c r="P899" s="9" t="n"/>
    </row>
    <row r="900">
      <c r="A900" s="13" t="inlineStr">
        <is>
          <t>Dynamite Diver</t>
        </is>
      </c>
      <c r="B900" s="13" t="inlineStr">
        <is>
          <t>Creature — Goblin Pilot</t>
        </is>
      </c>
      <c r="C900" s="13" t="inlineStr">
        <is>
          <t>Common / Comum</t>
        </is>
      </c>
      <c r="D900" s="13" t="inlineStr">
        <is>
          <t>This creature saddles Mounts and crews Vehicles as though its power were 2 greater. When this creature dies, it deals 1 damage to any target.</t>
        </is>
      </c>
      <c r="E900" s="13" t="inlineStr">
        <is>
          <t>{R}</t>
        </is>
      </c>
      <c r="F900" s="13" t="inlineStr">
        <is>
          <t>Vermelho</t>
        </is>
      </c>
      <c r="G900" s="8" t="n">
        <v>0.1</v>
      </c>
      <c r="H900" s="13" t="inlineStr">
        <is>
          <t>Aetherdrift (DFT)</t>
        </is>
      </c>
      <c r="I900" s="13" t="inlineStr">
        <is>
          <t>Não</t>
        </is>
      </c>
      <c r="J900" s="13" t="n">
        <v>2025</v>
      </c>
      <c r="K900" s="10" t="n">
        <v>46023</v>
      </c>
      <c r="L900" s="13" t="n">
        <v>1</v>
      </c>
      <c r="M900" s="8">
        <f>L900*G900</f>
        <v/>
      </c>
      <c r="P900" s="9" t="n"/>
    </row>
    <row r="901">
      <c r="A901" s="13" t="inlineStr">
        <is>
          <t>Eager Glyphmage / Mago de Glifos Ansioso</t>
        </is>
      </c>
      <c r="B901" s="13" t="inlineStr">
        <is>
          <t>Criatura — Gato Clérigo</t>
        </is>
      </c>
      <c r="C901" s="13" t="inlineStr">
        <is>
          <t>Comum</t>
        </is>
      </c>
      <c r="D901" s="13" t="inlineStr">
        <is>
          <t>Quando esta criatura entrar, crie uma ficha de criatura Tinteiro 1/1 branca e preta com voar.</t>
        </is>
      </c>
      <c r="E901" s="13" t="inlineStr">
        <is>
          <t>3{W}</t>
        </is>
      </c>
      <c r="F901" s="13" t="inlineStr">
        <is>
          <t>Branco</t>
        </is>
      </c>
      <c r="G901" s="8" t="n">
        <v>0.05</v>
      </c>
      <c r="H901" s="13" t="inlineStr">
        <is>
          <t>Strixhaven: School of Mages (SOS)</t>
        </is>
      </c>
      <c r="I901" s="13" t="inlineStr">
        <is>
          <t>Não</t>
        </is>
      </c>
      <c r="J901" s="13" t="n">
        <v>2026</v>
      </c>
      <c r="K901" s="10" t="n">
        <v>46084</v>
      </c>
      <c r="L901" s="13" t="n">
        <v>1</v>
      </c>
      <c r="M901" s="8">
        <f>L901*G901</f>
        <v/>
      </c>
      <c r="P901" s="9" t="n"/>
    </row>
    <row r="902">
      <c r="A902" s="13" t="inlineStr">
        <is>
          <t>Eager Glyphmage / Mago de Glifos Ansioso</t>
        </is>
      </c>
      <c r="B902" s="13" t="inlineStr">
        <is>
          <t>Criatura — Gato Clérigo</t>
        </is>
      </c>
      <c r="C902" s="13" t="inlineStr">
        <is>
          <t>Comum</t>
        </is>
      </c>
      <c r="D902" s="13" t="inlineStr">
        <is>
          <t>Quando esta criatura entrar, crie uma ficha de criatura Tinteiro 1/1 branca e preta com voar.</t>
        </is>
      </c>
      <c r="E902" s="13" t="inlineStr">
        <is>
          <t>3{W}</t>
        </is>
      </c>
      <c r="F902" s="13" t="inlineStr">
        <is>
          <t>Branco</t>
        </is>
      </c>
      <c r="G902" s="8" t="n">
        <v>0.25</v>
      </c>
      <c r="H902" s="13" t="inlineStr">
        <is>
          <t>Strixhaven: School of Mages (SOS)</t>
        </is>
      </c>
      <c r="I902" s="13" t="inlineStr">
        <is>
          <t>Sim</t>
        </is>
      </c>
      <c r="J902" s="13" t="n">
        <v>2026</v>
      </c>
      <c r="K902" s="10" t="n">
        <v>46084</v>
      </c>
      <c r="L902" s="13" t="n">
        <v>1</v>
      </c>
      <c r="M902" s="8">
        <f>L902*G902</f>
        <v/>
      </c>
      <c r="P902" s="9" t="n"/>
    </row>
    <row r="903">
      <c r="A903" s="13" t="inlineStr">
        <is>
          <t>Eagle of the Watch / Águia da Vigia</t>
        </is>
      </c>
      <c r="B903" s="13" t="inlineStr">
        <is>
          <t>Creature — Bird / Criatura — Ave</t>
        </is>
      </c>
      <c r="C903" s="13" t="inlineStr">
        <is>
          <t>Common / Comum</t>
        </is>
      </c>
      <c r="D903" s="13" t="inlineStr">
        <is>
          <t>Flying, vigilance / Voar, vigilância</t>
        </is>
      </c>
      <c r="E903" s="13" t="inlineStr">
        <is>
          <t>{2}{W}</t>
        </is>
      </c>
      <c r="F903" s="13" t="inlineStr">
        <is>
          <t>Branco</t>
        </is>
      </c>
      <c r="G903" s="8" t="n">
        <v>0.03</v>
      </c>
      <c r="H903" s="13" t="inlineStr">
        <is>
          <t>Journey into Nyx (JOU)</t>
        </is>
      </c>
      <c r="I903" s="13" t="inlineStr">
        <is>
          <t>Não</t>
        </is>
      </c>
      <c r="J903" s="13" t="n">
        <v>2014</v>
      </c>
      <c r="K903" s="10" t="n">
        <v>46024</v>
      </c>
      <c r="L903" s="13" t="n">
        <v>3</v>
      </c>
      <c r="M903" s="8">
        <f>L903*G903</f>
        <v/>
      </c>
      <c r="P903" s="9" t="n"/>
    </row>
    <row r="904">
      <c r="A904" s="13" t="inlineStr">
        <is>
          <t>Eagles of the North / Águias do Norte</t>
        </is>
      </c>
      <c r="B904" s="13" t="inlineStr">
        <is>
          <t>Creature — Bird Soldier / Criatura — Ave Soldado</t>
        </is>
      </c>
      <c r="C904" s="13" t="inlineStr">
        <is>
          <t>Common / Comum</t>
        </is>
      </c>
      <c r="D904" s="13"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04" s="13" t="inlineStr">
        <is>
          <t>{5}{W}</t>
        </is>
      </c>
      <c r="F904" s="13" t="inlineStr">
        <is>
          <t>Branco</t>
        </is>
      </c>
      <c r="G904" s="8" t="n">
        <v>0.61</v>
      </c>
      <c r="H904" s="13" t="inlineStr">
        <is>
          <t>The Lord of the Rings: Tales of Middle-earth (LTR)</t>
        </is>
      </c>
      <c r="I904" s="13" t="inlineStr">
        <is>
          <t>Não</t>
        </is>
      </c>
      <c r="J904" s="13" t="n">
        <v>2023</v>
      </c>
      <c r="K904" s="10" t="n">
        <v>46084</v>
      </c>
      <c r="L904" s="13" t="n">
        <v>2</v>
      </c>
      <c r="M904" s="8">
        <f>L904*G904</f>
        <v/>
      </c>
      <c r="P904" s="9" t="n"/>
    </row>
    <row r="905">
      <c r="A905" s="13" t="inlineStr">
        <is>
          <t>Earth Elemental / Elemental da Terra</t>
        </is>
      </c>
      <c r="B905" s="13" t="inlineStr">
        <is>
          <t>Creature — Elemental / Criatura — Elemental</t>
        </is>
      </c>
      <c r="C905" s="13" t="inlineStr">
        <is>
          <t>Uncommon / Incomum</t>
        </is>
      </c>
      <c r="E905" s="13" t="inlineStr">
        <is>
          <t>{3}{R}{R}</t>
        </is>
      </c>
      <c r="F905" s="13" t="inlineStr">
        <is>
          <t>Vermelho</t>
        </is>
      </c>
      <c r="G905" s="8" t="n">
        <v>0.05</v>
      </c>
      <c r="H905" s="13" t="inlineStr">
        <is>
          <t>Décima edição</t>
        </is>
      </c>
      <c r="I905" s="13" t="inlineStr">
        <is>
          <t>Não</t>
        </is>
      </c>
      <c r="J905" s="13" t="n">
        <v>2007</v>
      </c>
      <c r="K905" s="10" t="n">
        <v>46146</v>
      </c>
      <c r="L905" s="13" t="n">
        <v>1</v>
      </c>
      <c r="M905" s="8">
        <f>L905*G905</f>
        <v/>
      </c>
      <c r="P905" s="9" t="n"/>
    </row>
    <row r="906">
      <c r="A906" s="13" t="inlineStr">
        <is>
          <t>Earth Elemental / Elemental da Terra</t>
        </is>
      </c>
      <c r="B906" s="13" t="inlineStr">
        <is>
          <t>Creature — Elemental / Criatura — Elemental</t>
        </is>
      </c>
      <c r="C906" s="13" t="inlineStr">
        <is>
          <t>Uncommon / Incomum</t>
        </is>
      </c>
      <c r="E906" s="13" t="inlineStr">
        <is>
          <t>{3}{R}{R}</t>
        </is>
      </c>
      <c r="F906" s="13" t="inlineStr">
        <is>
          <t>Vermelho</t>
        </is>
      </c>
      <c r="G906" s="8" t="n">
        <v>0.05</v>
      </c>
      <c r="H906" s="13" t="inlineStr">
        <is>
          <t>Fourth Edition</t>
        </is>
      </c>
      <c r="I906" s="13" t="inlineStr">
        <is>
          <t>Não</t>
        </is>
      </c>
      <c r="J906" s="13" t="n">
        <v>1995</v>
      </c>
      <c r="K906" s="10" t="n">
        <v>46146</v>
      </c>
      <c r="L906" s="13" t="n">
        <v>2</v>
      </c>
      <c r="M906" s="8">
        <f>L906*G906</f>
        <v/>
      </c>
      <c r="P906" s="9" t="n"/>
    </row>
    <row r="907">
      <c r="A907" s="13" t="inlineStr">
        <is>
          <t>Earth Kingdom General</t>
        </is>
      </c>
      <c r="B907" s="13" t="inlineStr">
        <is>
          <t>Creature — Human Soldier Ally</t>
        </is>
      </c>
      <c r="C907" s="13" t="inlineStr">
        <is>
          <t>Uncommon / Incomum</t>
        </is>
      </c>
      <c r="D907" s="13"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907" s="13" t="inlineStr">
        <is>
          <t>{3}{G}</t>
        </is>
      </c>
      <c r="F907" s="13" t="inlineStr">
        <is>
          <t>Verde</t>
        </is>
      </c>
      <c r="G907" s="8" t="n">
        <v>0.15</v>
      </c>
      <c r="H907" s="13" t="inlineStr">
        <is>
          <t>Avatar: The Last Airbender (TLA)</t>
        </is>
      </c>
      <c r="I907" s="13" t="inlineStr">
        <is>
          <t>Não</t>
        </is>
      </c>
      <c r="J907" s="13" t="n">
        <v>2025</v>
      </c>
      <c r="K907" s="10" t="n">
        <v>46055</v>
      </c>
      <c r="L907" s="13" t="n">
        <v>1</v>
      </c>
      <c r="M907" s="8">
        <f>L907*G907</f>
        <v/>
      </c>
      <c r="P907" s="9" t="n"/>
    </row>
    <row r="908">
      <c r="A908" s="13" t="inlineStr">
        <is>
          <t>Earth Kingdom Soldier</t>
        </is>
      </c>
      <c r="B908" s="13" t="inlineStr">
        <is>
          <t>Creature — Human Soldier</t>
        </is>
      </c>
      <c r="C908" s="13" t="inlineStr">
        <is>
          <t>Common / Comum</t>
        </is>
      </c>
      <c r="D908" s="13" t="inlineStr">
        <is>
          <t>Vigilance When this creature enters, put a +1/+1 counter on each of up to two target creatures you control.</t>
        </is>
      </c>
      <c r="E908" s="13" t="inlineStr">
        <is>
          <t>{4}{G/W}</t>
        </is>
      </c>
      <c r="F908" s="13" t="inlineStr">
        <is>
          <t>Verde, Branco</t>
        </is>
      </c>
      <c r="G908" s="8" t="n">
        <v>0.04</v>
      </c>
      <c r="H908" s="13" t="inlineStr">
        <is>
          <t>Avatar: The Last Airbender (TLA)</t>
        </is>
      </c>
      <c r="I908" s="13" t="inlineStr">
        <is>
          <t>Não</t>
        </is>
      </c>
      <c r="J908" s="13" t="n">
        <v>2025</v>
      </c>
      <c r="K908" s="10" t="n">
        <v>46115</v>
      </c>
      <c r="L908" s="13" t="n">
        <v>3</v>
      </c>
      <c r="M908" s="8">
        <f>L908*G908</f>
        <v/>
      </c>
      <c r="P908" s="9" t="n"/>
    </row>
    <row r="909">
      <c r="A909" s="13" t="inlineStr">
        <is>
          <t>Earth Rumble</t>
        </is>
      </c>
      <c r="B909" s="13" t="inlineStr">
        <is>
          <t>Sorcery</t>
        </is>
      </c>
      <c r="C909" s="13" t="inlineStr">
        <is>
          <t>Uncommon / Incomum</t>
        </is>
      </c>
      <c r="D909" s="13"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909" s="13" t="inlineStr">
        <is>
          <t>{3}{G}</t>
        </is>
      </c>
      <c r="F909" s="13" t="inlineStr">
        <is>
          <t>Verde</t>
        </is>
      </c>
      <c r="G909" s="8" t="n">
        <v>0.03</v>
      </c>
      <c r="H909" s="13" t="inlineStr">
        <is>
          <t>Avatar: The Last Airbender (TLA)</t>
        </is>
      </c>
      <c r="I909" s="13" t="inlineStr">
        <is>
          <t>Não</t>
        </is>
      </c>
      <c r="J909" s="13" t="n">
        <v>2025</v>
      </c>
      <c r="L909" s="13" t="n">
        <v>2</v>
      </c>
      <c r="M909" s="8">
        <f>L909*G909</f>
        <v/>
      </c>
      <c r="P909" s="9" t="n"/>
    </row>
    <row r="910">
      <c r="A910" s="13" t="inlineStr">
        <is>
          <t>Earth Rumble Wrestlers</t>
        </is>
      </c>
      <c r="B910" s="13" t="inlineStr">
        <is>
          <t>Criatura — Humano Guerreiro Artista / Creature — Human Warrior Performer</t>
        </is>
      </c>
      <c r="C910" s="13" t="inlineStr">
        <is>
          <t>Comum / Common</t>
        </is>
      </c>
      <c r="D910" s="13" t="inlineStr">
        <is>
          <t>Reach. This creature gets +1/+0 and has trample as long as you control a land creature or a land entered the battlefield under your control this turn.</t>
        </is>
      </c>
      <c r="E910" s="13" t="inlineStr">
        <is>
          <t>{3}{R/G}</t>
        </is>
      </c>
      <c r="F910" s="13" t="inlineStr">
        <is>
          <t>Vermelho e Verde</t>
        </is>
      </c>
      <c r="G910" s="8" t="n">
        <v>0.04</v>
      </c>
      <c r="H910" s="13" t="inlineStr">
        <is>
          <t>Avatar: The Last Airbender (TLA)</t>
        </is>
      </c>
      <c r="I910" s="13" t="inlineStr">
        <is>
          <t>Não</t>
        </is>
      </c>
      <c r="J910" s="13" t="n">
        <v>2025</v>
      </c>
      <c r="K910" s="10" t="n">
        <v>46115</v>
      </c>
      <c r="L910" s="13" t="n">
        <v>1</v>
      </c>
      <c r="M910" s="8">
        <f>L910*G910</f>
        <v/>
      </c>
      <c r="P910" s="9" t="n"/>
    </row>
    <row r="911">
      <c r="A911" s="13" t="inlineStr">
        <is>
          <t>Earth Village Ruffians</t>
        </is>
      </c>
      <c r="B911" s="13" t="inlineStr">
        <is>
          <t>Creature — Human Soldier Rogue</t>
        </is>
      </c>
      <c r="C911" s="13" t="inlineStr">
        <is>
          <t>Common / Comum</t>
        </is>
      </c>
      <c r="D911" s="13" t="inlineStr">
        <is>
          <t>When this creature dies, earthbend 2. (Target land you control becomes a 0/0 creature with haste that's still a land. Put two +1/+1 counters on it. When it dies or is exiled, return it to the battlefield tapped.)</t>
        </is>
      </c>
      <c r="E911" s="13" t="inlineStr">
        <is>
          <t>{2}{B/G}</t>
        </is>
      </c>
      <c r="F911" s="13" t="inlineStr">
        <is>
          <t>Preto, Verde</t>
        </is>
      </c>
      <c r="G911" s="8" t="n">
        <v>0.05</v>
      </c>
      <c r="H911" s="13" t="inlineStr">
        <is>
          <t>Avatar: The Last Airbender (TLA)</t>
        </is>
      </c>
      <c r="I911" s="13" t="inlineStr">
        <is>
          <t>Não</t>
        </is>
      </c>
      <c r="J911" s="13" t="n">
        <v>2025</v>
      </c>
      <c r="K911" s="10" t="n">
        <v>46025</v>
      </c>
      <c r="L911" s="13" t="n">
        <v>5</v>
      </c>
      <c r="M911" s="8">
        <f>L911*G911</f>
        <v/>
      </c>
      <c r="P911" s="9" t="n"/>
    </row>
    <row r="912">
      <c r="A912" s="13" t="inlineStr">
        <is>
          <t>Earth Village Ruffians</t>
        </is>
      </c>
      <c r="B912" s="13" t="inlineStr">
        <is>
          <t>Creature — Human Soldier Rogue</t>
        </is>
      </c>
      <c r="C912" s="13" t="inlineStr">
        <is>
          <t>Common / Comum</t>
        </is>
      </c>
      <c r="D912" s="13" t="inlineStr">
        <is>
          <t>When this creature dies, earthbend 2. (Target land you control becomes a 0/0 creature with haste that's still a land. Put two +1/+1 counters on it. When it dies or is exiled, return it to the battlefield tapped.)</t>
        </is>
      </c>
      <c r="E912" s="13" t="inlineStr">
        <is>
          <t>{2}{B/G}</t>
        </is>
      </c>
      <c r="F912" s="13" t="inlineStr">
        <is>
          <t>Preto, Verde</t>
        </is>
      </c>
      <c r="G912" s="8" t="n">
        <v>0.25</v>
      </c>
      <c r="H912" s="13" t="inlineStr">
        <is>
          <t>Avatar: The Last Airbender (TLA)</t>
        </is>
      </c>
      <c r="I912" s="13" t="inlineStr">
        <is>
          <t>Sim</t>
        </is>
      </c>
      <c r="J912" s="13" t="n">
        <v>2025</v>
      </c>
      <c r="K912" s="10" t="n">
        <v>46025</v>
      </c>
      <c r="L912" s="13" t="n">
        <v>1</v>
      </c>
      <c r="M912" s="8">
        <f>L912*G912</f>
        <v/>
      </c>
      <c r="P912" s="9" t="n"/>
    </row>
    <row r="913">
      <c r="A913" s="13" t="inlineStr">
        <is>
          <t>Earthbender Ascension</t>
        </is>
      </c>
      <c r="B913" s="13" t="inlineStr">
        <is>
          <t>Enchantment</t>
        </is>
      </c>
      <c r="C913" s="13" t="inlineStr">
        <is>
          <t>Rare / Rara</t>
        </is>
      </c>
      <c r="D913" s="13"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913" s="13" t="inlineStr">
        <is>
          <t>{2}{G}</t>
        </is>
      </c>
      <c r="F913" s="13" t="inlineStr">
        <is>
          <t>Verde</t>
        </is>
      </c>
      <c r="G913" s="8" t="n">
        <v>19.19</v>
      </c>
      <c r="H913" s="13" t="inlineStr">
        <is>
          <t>Avatar: The Last Airbender (TLA)</t>
        </is>
      </c>
      <c r="I913" s="13" t="inlineStr">
        <is>
          <t>Não</t>
        </is>
      </c>
      <c r="J913" s="13" t="n">
        <v>2025</v>
      </c>
      <c r="L913" s="13" t="n">
        <v>1</v>
      </c>
      <c r="M913" s="8">
        <f>L913*G913</f>
        <v/>
      </c>
      <c r="P913" s="9" t="n"/>
    </row>
    <row r="914">
      <c r="A914" s="13" t="inlineStr">
        <is>
          <t>East Wind Avatar</t>
        </is>
      </c>
      <c r="B914" s="13" t="inlineStr">
        <is>
          <t>Creature — Bird Spirit Avatar</t>
        </is>
      </c>
      <c r="C914" s="13" t="inlineStr">
        <is>
          <t>Common / Comum</t>
        </is>
      </c>
      <c r="D914" s="13" t="inlineStr">
        <is>
          <t>Flying, vigilance Alliance — Whenever another creature you control enters, this creature gets +1/+0 until end of turn.</t>
        </is>
      </c>
      <c r="E914" s="13" t="inlineStr">
        <is>
          <t>{3}{W}</t>
        </is>
      </c>
      <c r="F914" s="13" t="inlineStr">
        <is>
          <t>Branco</t>
        </is>
      </c>
      <c r="G914" s="8" t="n">
        <v>0.1</v>
      </c>
      <c r="H914" s="13" t="inlineStr">
        <is>
          <t>Teenage Mutant Ninja Turtles (TMT)</t>
        </is>
      </c>
      <c r="I914" s="13" t="inlineStr">
        <is>
          <t>Não</t>
        </is>
      </c>
      <c r="J914" s="13" t="n">
        <v>2026</v>
      </c>
      <c r="K914" s="10" t="n">
        <v>46114</v>
      </c>
      <c r="L914" s="13" t="n">
        <v>4</v>
      </c>
      <c r="M914" s="8">
        <f>L914*G914</f>
        <v/>
      </c>
      <c r="P914" s="9" t="n"/>
    </row>
    <row r="915">
      <c r="A915" s="13" t="inlineStr">
        <is>
          <t>East Wind Avatar</t>
        </is>
      </c>
      <c r="B915" s="13" t="inlineStr">
        <is>
          <t>Creature — Bird Spirit Avatar</t>
        </is>
      </c>
      <c r="C915" s="13" t="inlineStr">
        <is>
          <t>Common / Comum</t>
        </is>
      </c>
      <c r="D915" s="13" t="inlineStr">
        <is>
          <t>Flying, vigilance Alliance — Whenever another creature you control enters, this creature gets +1/+0 until end of turn.</t>
        </is>
      </c>
      <c r="E915" s="13" t="inlineStr">
        <is>
          <t>{3}{W}</t>
        </is>
      </c>
      <c r="F915" s="13" t="inlineStr">
        <is>
          <t>Branco</t>
        </is>
      </c>
      <c r="G915" s="8" t="n">
        <v>0.2</v>
      </c>
      <c r="H915" s="13" t="inlineStr">
        <is>
          <t>Teenage Mutant Ninja Turtles (TMT)</t>
        </is>
      </c>
      <c r="I915" s="13" t="inlineStr">
        <is>
          <t>Sim</t>
        </is>
      </c>
      <c r="J915" s="13" t="n">
        <v>2026</v>
      </c>
      <c r="K915" s="10" t="n">
        <v>46114</v>
      </c>
      <c r="L915" s="13" t="n">
        <v>2</v>
      </c>
      <c r="M915" s="8">
        <f>L915*G915</f>
        <v/>
      </c>
      <c r="P915" s="9" t="n"/>
    </row>
    <row r="916">
      <c r="A916" s="13" t="inlineStr">
        <is>
          <t>East Wind Avatar</t>
        </is>
      </c>
      <c r="B916" s="13" t="inlineStr">
        <is>
          <t>Creature — Bird Spirit Avatar</t>
        </is>
      </c>
      <c r="C916" s="13" t="inlineStr">
        <is>
          <t>Common / Comum</t>
        </is>
      </c>
      <c r="D916" s="13" t="inlineStr">
        <is>
          <t>Flying, vigilance Alliance — Whenever another creature you control enters, this creature gets +1/+0 until end of turn.</t>
        </is>
      </c>
      <c r="E916" s="13" t="inlineStr">
        <is>
          <t>{3}{W}</t>
        </is>
      </c>
      <c r="F916" s="13" t="inlineStr">
        <is>
          <t>Branco</t>
        </is>
      </c>
      <c r="G916" s="8" t="n">
        <v>0.1</v>
      </c>
      <c r="H916" s="13" t="inlineStr">
        <is>
          <t>Teenage Mutant Ninja Turtles (TMT)</t>
        </is>
      </c>
      <c r="I916" s="13" t="inlineStr">
        <is>
          <t>Não</t>
        </is>
      </c>
      <c r="J916" s="13" t="n">
        <v>2026</v>
      </c>
      <c r="K916" s="10" t="n">
        <v>46114</v>
      </c>
      <c r="L916" s="13" t="n">
        <v>3</v>
      </c>
      <c r="M916" s="8">
        <f>L916*G916</f>
        <v/>
      </c>
      <c r="P916" s="9" t="n"/>
    </row>
    <row r="917">
      <c r="A917" s="13" t="inlineStr">
        <is>
          <t>Eaten Alive / Comido Vivo</t>
        </is>
      </c>
      <c r="B917" s="13" t="inlineStr">
        <is>
          <t>Sorcery / Feitiço</t>
        </is>
      </c>
      <c r="C917" s="13" t="inlineStr">
        <is>
          <t>Common / Comum</t>
        </is>
      </c>
      <c r="D917" s="13" t="inlineStr">
        <is>
          <t>As an additional cost to cast this spell, sacrifice a creature or pay {3}{B}. Exile target creature or planeswalker. / Como custo adicional para conjurar esta mágica, sacrifique uma criatura ou pague {3}{B}. Exile a criatura ou o planeswalker alvo.</t>
        </is>
      </c>
      <c r="E917" s="13" t="inlineStr">
        <is>
          <t>{B}</t>
        </is>
      </c>
      <c r="F917" s="13" t="inlineStr">
        <is>
          <t>Preto</t>
        </is>
      </c>
      <c r="G917" s="8" t="n">
        <v>0.1</v>
      </c>
      <c r="H917" s="13" t="inlineStr">
        <is>
          <t>Foundations (FDN)</t>
        </is>
      </c>
      <c r="I917" s="13" t="inlineStr">
        <is>
          <t>Não</t>
        </is>
      </c>
      <c r="J917" s="13" t="n">
        <v>2024</v>
      </c>
      <c r="L917" s="13" t="n">
        <v>1</v>
      </c>
      <c r="M917" s="8">
        <f>L917*G917</f>
        <v/>
      </c>
      <c r="P917" s="9" t="n"/>
    </row>
    <row r="918">
      <c r="A918" s="13" t="inlineStr">
        <is>
          <t>Eaten by Piranhas / Devorado por Piranhas</t>
        </is>
      </c>
      <c r="B918" s="13" t="inlineStr">
        <is>
          <t>Enchantment — Aura / Encantamento — Aura</t>
        </is>
      </c>
      <c r="C918" s="13" t="inlineStr">
        <is>
          <t>Uncommon / Incomum</t>
        </is>
      </c>
      <c r="D918" s="13"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918" s="13" t="inlineStr">
        <is>
          <t>{1}{U}</t>
        </is>
      </c>
      <c r="F918" s="13" t="inlineStr">
        <is>
          <t>Azul</t>
        </is>
      </c>
      <c r="G918" s="8" t="n">
        <v>0.25</v>
      </c>
      <c r="H918" s="13" t="inlineStr">
        <is>
          <t>The Lost Caverns of Ixalan (LCI)</t>
        </is>
      </c>
      <c r="I918" s="13" t="inlineStr">
        <is>
          <t>Não</t>
        </is>
      </c>
      <c r="J918" s="13" t="n">
        <v>2023</v>
      </c>
      <c r="L918" s="13" t="n">
        <v>1</v>
      </c>
      <c r="M918" s="8">
        <f>L918*G918</f>
        <v/>
      </c>
      <c r="P918" s="9" t="n"/>
    </row>
    <row r="919">
      <c r="A919" s="13" t="inlineStr">
        <is>
          <t>Ebony Charm / Medalhão de Ébano</t>
        </is>
      </c>
      <c r="B919" s="13" t="inlineStr">
        <is>
          <t>Instant</t>
        </is>
      </c>
      <c r="C919" s="13" t="inlineStr">
        <is>
          <t>Common / Comum</t>
        </is>
      </c>
      <c r="D919" s="13" t="inlineStr">
        <is>
          <t>Choose one — • Target opponent loses 1 life and you gain 1 life. • Exile up to three target cards from a single graveyard. • Target creature gains fear until end of turn. (It can't be blocked except by artifact creatures and/or black creatures.)</t>
        </is>
      </c>
      <c r="E919" s="13" t="inlineStr">
        <is>
          <t>{B}</t>
        </is>
      </c>
      <c r="F919" s="13" t="inlineStr">
        <is>
          <t>Preto</t>
        </is>
      </c>
      <c r="G919" s="8" t="n">
        <v>0.2</v>
      </c>
      <c r="H919" s="13" t="inlineStr">
        <is>
          <t>Mirage (MIR)</t>
        </is>
      </c>
      <c r="I919" s="13" t="inlineStr">
        <is>
          <t>Não</t>
        </is>
      </c>
      <c r="J919" s="13" t="n">
        <v>1996</v>
      </c>
      <c r="L919" s="13" t="n">
        <v>1</v>
      </c>
      <c r="M919" s="8">
        <f>L919*G919</f>
        <v/>
      </c>
      <c r="P919" s="9" t="n"/>
    </row>
    <row r="920">
      <c r="A920" s="13" t="inlineStr">
        <is>
          <t>Ebony Horse / Cavalo de Ébano</t>
        </is>
      </c>
      <c r="B920" s="13" t="inlineStr">
        <is>
          <t>Artifact</t>
        </is>
      </c>
      <c r="C920" s="13" t="inlineStr">
        <is>
          <t>Rare / Rara</t>
        </is>
      </c>
      <c r="D920" s="13" t="inlineStr">
        <is>
          <t>{2}, {T}: Untap target attacking creature you control. Prevent all combat damage that would be dealt to and dealt by that creature this turn.</t>
        </is>
      </c>
      <c r="E920" s="13" t="inlineStr">
        <is>
          <t>{3}</t>
        </is>
      </c>
      <c r="F920" s="13" t="inlineStr">
        <is>
          <t>Incolor</t>
        </is>
      </c>
      <c r="G920" s="8" t="n">
        <v>1.75</v>
      </c>
      <c r="H920" s="13" t="inlineStr">
        <is>
          <t>Arabian Nights (ARN)</t>
        </is>
      </c>
      <c r="I920" s="13" t="inlineStr">
        <is>
          <t>Não</t>
        </is>
      </c>
      <c r="J920" s="13" t="n">
        <v>1995</v>
      </c>
      <c r="L920" s="13" t="n">
        <v>2</v>
      </c>
      <c r="M920" s="8">
        <f>L920*G920</f>
        <v/>
      </c>
      <c r="N920" s="13" t="inlineStr">
        <is>
          <t>Pasta</t>
        </is>
      </c>
      <c r="P920" s="9" t="n"/>
    </row>
    <row r="921">
      <c r="A921" s="13" t="inlineStr">
        <is>
          <t>Ebony Rhino / Rinoceronte de ébano</t>
        </is>
      </c>
      <c r="B921" s="13" t="inlineStr">
        <is>
          <t>Artifact Creature — Rhino</t>
        </is>
      </c>
      <c r="C921" s="13" t="inlineStr">
        <is>
          <t>Common / Comum</t>
        </is>
      </c>
      <c r="D921" s="13" t="inlineStr">
        <is>
          <t>Trample</t>
        </is>
      </c>
      <c r="E921" s="13" t="inlineStr">
        <is>
          <t>{7}</t>
        </is>
      </c>
      <c r="F921" s="13" t="inlineStr">
        <is>
          <t>Incolor</t>
        </is>
      </c>
      <c r="G921" s="8" t="n">
        <v>0.1</v>
      </c>
      <c r="H921" s="13" t="inlineStr">
        <is>
          <t>Homelands (HML)</t>
        </is>
      </c>
      <c r="I921" s="13" t="inlineStr">
        <is>
          <t>Não</t>
        </is>
      </c>
      <c r="J921" s="13" t="n">
        <v>1995</v>
      </c>
      <c r="K921" s="10" t="n">
        <v>46146</v>
      </c>
      <c r="L921" s="13" t="n">
        <v>1</v>
      </c>
      <c r="M921" s="8">
        <f>L921*G921</f>
        <v/>
      </c>
      <c r="P921" s="9" t="n"/>
    </row>
    <row r="922">
      <c r="A922" s="13" t="inlineStr">
        <is>
          <t>Echo Chamber / Câmara de Ecos</t>
        </is>
      </c>
      <c r="B922" s="13" t="inlineStr">
        <is>
          <t>Artifact / Artefato</t>
        </is>
      </c>
      <c r="C922" s="13" t="inlineStr">
        <is>
          <t>Rare / Rara</t>
        </is>
      </c>
      <c r="D922" s="13"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922" s="13" t="inlineStr">
        <is>
          <t>{4}</t>
        </is>
      </c>
      <c r="F922" s="13" t="inlineStr">
        <is>
          <t>Incolor</t>
        </is>
      </c>
      <c r="G922" s="8" t="n">
        <v>0.55</v>
      </c>
      <c r="H922" s="13" t="inlineStr">
        <is>
          <t>Tempest (TMP)</t>
        </is>
      </c>
      <c r="I922" s="13" t="inlineStr">
        <is>
          <t>No</t>
        </is>
      </c>
      <c r="J922" s="13" t="n">
        <v>1997</v>
      </c>
      <c r="L922" s="13" t="n">
        <v>1</v>
      </c>
      <c r="M922" s="8">
        <f>L922*G922</f>
        <v/>
      </c>
      <c r="P922" s="9" t="n"/>
    </row>
    <row r="923">
      <c r="A923" s="13" t="inlineStr">
        <is>
          <t>Echo Tracer / Rastreável por Eco</t>
        </is>
      </c>
      <c r="B923" s="13" t="inlineStr">
        <is>
          <t>Criatura — Humano Mago</t>
        </is>
      </c>
      <c r="C923" s="13" t="inlineStr">
        <is>
          <t>Comum</t>
        </is>
      </c>
      <c r="D923" s="13"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923" s="13" t="inlineStr">
        <is>
          <t>2U</t>
        </is>
      </c>
      <c r="F923" s="13" t="inlineStr">
        <is>
          <t>Azul</t>
        </is>
      </c>
      <c r="G923" s="8" t="n">
        <v>0.25</v>
      </c>
      <c r="H923" s="13" t="inlineStr">
        <is>
          <t>Duel Decks: Speed vs. Cunning</t>
        </is>
      </c>
      <c r="I923" s="13" t="inlineStr">
        <is>
          <t>Não</t>
        </is>
      </c>
      <c r="J923" s="13" t="n">
        <v>2014</v>
      </c>
      <c r="K923" s="10" t="n">
        <v>46055</v>
      </c>
      <c r="L923" s="13" t="n">
        <v>1</v>
      </c>
      <c r="M923" s="8">
        <f>L923*G923</f>
        <v/>
      </c>
      <c r="P923" s="9" t="n"/>
    </row>
    <row r="924">
      <c r="A924" s="13" t="inlineStr">
        <is>
          <t>Eden, Seat of the Sanctum / Éden, Sede do Sanctum</t>
        </is>
      </c>
      <c r="B924" s="13" t="inlineStr">
        <is>
          <t>Terreno — Vila</t>
        </is>
      </c>
      <c r="C924" s="13" t="inlineStr">
        <is>
          <t>Incomum</t>
        </is>
      </c>
      <c r="D924" s="13" t="inlineStr">
        <is>
          <t>{T}: Adicione {C}. {5}, {T}: Triture dois cards. Depois, você pode sacrificar este terreno. Quando fizer isso, devolva outro card de permanente alvo de seu cemitério para sua mão.</t>
        </is>
      </c>
      <c r="E924" s="13" t="inlineStr">
        <is>
          <t>Não encontrado</t>
        </is>
      </c>
      <c r="F924" s="13" t="inlineStr">
        <is>
          <t>Incolor</t>
        </is>
      </c>
      <c r="G924" s="8" t="n">
        <v>0.25</v>
      </c>
      <c r="H924" s="13" t="inlineStr">
        <is>
          <t>Final Fantasy</t>
        </is>
      </c>
      <c r="I924" s="13" t="inlineStr">
        <is>
          <t>Não</t>
        </is>
      </c>
      <c r="J924" s="13" t="n">
        <v>2025</v>
      </c>
      <c r="L924" s="13" t="n">
        <v>2</v>
      </c>
      <c r="M924" s="8">
        <f>L924*G924</f>
        <v/>
      </c>
      <c r="P924" s="9" t="n"/>
    </row>
    <row r="925">
      <c r="A925" s="13" t="inlineStr">
        <is>
          <t>Edgar, King of Figaro / Edgar, Rei de Figaro</t>
        </is>
      </c>
      <c r="B925" s="13" t="inlineStr">
        <is>
          <t>Criatura Lendária — Humano Artífice Nobre</t>
        </is>
      </c>
      <c r="C925" s="13" t="inlineStr">
        <is>
          <t>Rara</t>
        </is>
      </c>
      <c r="D925" s="13" t="inlineStr">
        <is>
          <t>Quando Edgar entrar, compre um card para cada artefato que você controla. Moeda de Duas Caras — Na primeira vez que você lançar uma ou mais moedas a cada turno, aquelas moedas dão cara e você vence aqueles lançamentos.</t>
        </is>
      </c>
      <c r="E925" s="13" t="inlineStr">
        <is>
          <t>4{U}{U}</t>
        </is>
      </c>
      <c r="F925" s="13" t="inlineStr">
        <is>
          <t>Azul</t>
        </is>
      </c>
      <c r="G925" s="8" t="n">
        <v>0.73</v>
      </c>
      <c r="H925" s="13" t="inlineStr">
        <is>
          <t>Final Fantasy</t>
        </is>
      </c>
      <c r="I925" s="13" t="inlineStr">
        <is>
          <t>Não</t>
        </is>
      </c>
      <c r="J925" s="13" t="n">
        <v>2025</v>
      </c>
      <c r="K925" s="10" t="n">
        <v>46146</v>
      </c>
      <c r="L925" s="13" t="n">
        <v>1</v>
      </c>
      <c r="M925" s="8">
        <f>L925*G925</f>
        <v/>
      </c>
      <c r="P925" s="9" t="n"/>
    </row>
    <row r="926">
      <c r="A926" s="13" t="inlineStr">
        <is>
          <t>Edge of the Divinity / Limite da Divindade</t>
        </is>
      </c>
      <c r="B926" s="13" t="inlineStr">
        <is>
          <t>Enchantment — Aura / Encantamento — Aura</t>
        </is>
      </c>
      <c r="C926" s="13" t="inlineStr">
        <is>
          <t>Common / Comum</t>
        </is>
      </c>
      <c r="D926" s="13" t="inlineStr">
        <is>
          <t>Enchant creature As long as enchanted creature is white, it gets +1/+2. As long as enchanted creature is black, it gets +2/+1. / Encantar criatura Enquanto a criatura encantada for branca, ela receberá +1/+2 . Enquanto a criatura encantada for preta, ela receberá +2/+1.</t>
        </is>
      </c>
      <c r="E926" s="13" t="inlineStr">
        <is>
          <t>{W/B}</t>
        </is>
      </c>
      <c r="F926" s="13" t="inlineStr">
        <is>
          <t>Preto, Branco</t>
        </is>
      </c>
      <c r="G926" s="8" t="n">
        <v>0.32</v>
      </c>
      <c r="H926" s="13" t="inlineStr">
        <is>
          <t>Eventide (EVE)</t>
        </is>
      </c>
      <c r="I926" s="13" t="inlineStr">
        <is>
          <t>Não</t>
        </is>
      </c>
      <c r="J926" s="13" t="n">
        <v>2008</v>
      </c>
      <c r="L926" s="13" t="n">
        <v>2</v>
      </c>
      <c r="M926" s="8">
        <f>L926*G926</f>
        <v/>
      </c>
      <c r="P926" s="9" t="n"/>
    </row>
    <row r="927">
      <c r="A927" s="13" t="inlineStr">
        <is>
          <t>Efflorescence / Florescência</t>
        </is>
      </c>
      <c r="B927" s="13" t="inlineStr">
        <is>
          <t>Instant / Instantânea</t>
        </is>
      </c>
      <c r="C927" s="13" t="inlineStr">
        <is>
          <t>Common / Comum</t>
        </is>
      </c>
      <c r="D927" s="13"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927" s="13" t="inlineStr">
        <is>
          <t>{2}{G}</t>
        </is>
      </c>
      <c r="F927" s="13" t="inlineStr">
        <is>
          <t>Verde</t>
        </is>
      </c>
      <c r="G927" s="8" t="n">
        <v>0.09</v>
      </c>
      <c r="H927" s="13" t="inlineStr">
        <is>
          <t>Shadows of Sothia (SOS)</t>
        </is>
      </c>
      <c r="I927" s="13" t="inlineStr">
        <is>
          <t>No</t>
        </is>
      </c>
      <c r="J927" s="13" t="n">
        <v>2026</v>
      </c>
      <c r="L927" s="13" t="n">
        <v>1</v>
      </c>
      <c r="M927" s="8">
        <f>L927*G927</f>
        <v/>
      </c>
      <c r="P927" s="9" t="n"/>
    </row>
    <row r="928">
      <c r="A928" s="13" t="inlineStr">
        <is>
          <t>Eidolon of Rhetoric / Eidolon da Retórica</t>
        </is>
      </c>
      <c r="B928" s="13" t="inlineStr">
        <is>
          <t>Enchantment Creature — Spirit / Criatura Encantamento — Espírito</t>
        </is>
      </c>
      <c r="C928" s="13" t="inlineStr">
        <is>
          <t>Uncommon / Incomum</t>
        </is>
      </c>
      <c r="D928" s="13" t="inlineStr">
        <is>
          <t>Each player can't cast more than one spell each turn. / Cada jogador não pode conjurar mais de uma mágica a cada turno.</t>
        </is>
      </c>
      <c r="E928" s="13" t="inlineStr">
        <is>
          <t>{2}{W}</t>
        </is>
      </c>
      <c r="F928" s="13" t="inlineStr">
        <is>
          <t>Branco</t>
        </is>
      </c>
      <c r="G928" s="8" t="n">
        <v>6.5</v>
      </c>
      <c r="H928" s="13" t="inlineStr">
        <is>
          <t>Journey into Nyx (JOU)</t>
        </is>
      </c>
      <c r="I928" s="13" t="inlineStr">
        <is>
          <t>Não</t>
        </is>
      </c>
      <c r="J928" s="13" t="n">
        <v>2014</v>
      </c>
      <c r="K928" s="10" t="n">
        <v>46113</v>
      </c>
      <c r="L928" s="13" t="n">
        <v>2</v>
      </c>
      <c r="M928" s="8">
        <f>L928*G928</f>
        <v/>
      </c>
      <c r="P928" s="9" t="n"/>
    </row>
    <row r="929">
      <c r="A929" s="13" t="inlineStr">
        <is>
          <t>Eiganjo Exemplar / Exemplar de Eiganjo</t>
        </is>
      </c>
      <c r="B929" s="13" t="inlineStr">
        <is>
          <t>Enchantment Creature — Human Samurai / Criatura Encantamento — Humano Samurai</t>
        </is>
      </c>
      <c r="C929" s="13" t="inlineStr">
        <is>
          <t>Common / Comum</t>
        </is>
      </c>
      <c r="D929" s="13" t="inlineStr">
        <is>
          <t>Whenever a Samurai or Warrior you control attacks alone, it gets +1/+1 until end of turn. / Toda vez que um Samurai ou Guerreiro que você controla ataca sozinho, ele recebe +1/+1 até o final do turno.</t>
        </is>
      </c>
      <c r="E929" s="13" t="inlineStr">
        <is>
          <t>{1}{W}</t>
        </is>
      </c>
      <c r="F929" s="13" t="inlineStr">
        <is>
          <t>Branco</t>
        </is>
      </c>
      <c r="G929" s="8" t="n">
        <v>0.06</v>
      </c>
      <c r="H929" s="13" t="inlineStr">
        <is>
          <t>Kamigawa: Neon Dynasty (NEO)</t>
        </is>
      </c>
      <c r="I929" s="13" t="inlineStr">
        <is>
          <t>Não</t>
        </is>
      </c>
      <c r="J929" s="13" t="n">
        <v>2022</v>
      </c>
      <c r="K929" s="10" t="n">
        <v>46024</v>
      </c>
      <c r="L929" s="13" t="n">
        <v>1</v>
      </c>
      <c r="M929" s="8">
        <f>L929*G929</f>
        <v/>
      </c>
      <c r="P929" s="9" t="n"/>
    </row>
    <row r="930">
      <c r="A930" s="13" t="inlineStr">
        <is>
          <t>Eject / Ejetar</t>
        </is>
      </c>
      <c r="B930" s="13" t="inlineStr">
        <is>
          <t>Mágica Instantânea</t>
        </is>
      </c>
      <c r="C930" s="13" t="inlineStr">
        <is>
          <t>Incomum</t>
        </is>
      </c>
      <c r="D930" s="13" t="inlineStr">
        <is>
          <t>Esta mágica não pode ser anulada. Devolva a permanente alvo não de terreno para a mão de seu dono. Compre um card.</t>
        </is>
      </c>
      <c r="E930" s="13" t="inlineStr">
        <is>
          <t>3{U}</t>
        </is>
      </c>
      <c r="F930" s="13" t="inlineStr">
        <is>
          <t>Azul</t>
        </is>
      </c>
      <c r="G930" s="8" t="n">
        <v>0.14</v>
      </c>
      <c r="H930" s="13" t="inlineStr">
        <is>
          <t>Final Fantasy</t>
        </is>
      </c>
      <c r="I930" s="13" t="inlineStr">
        <is>
          <t>Não</t>
        </is>
      </c>
      <c r="J930" s="13" t="n">
        <v>2025</v>
      </c>
      <c r="L930" s="13" t="n">
        <v>3</v>
      </c>
      <c r="M930" s="8">
        <f>L930*G930</f>
        <v/>
      </c>
      <c r="P930" s="9" t="n"/>
    </row>
    <row r="931">
      <c r="A931" s="13" t="inlineStr">
        <is>
          <t>Elder Auntie</t>
        </is>
      </c>
      <c r="B931" s="13" t="inlineStr">
        <is>
          <t>Creature — Goblin Warlock</t>
        </is>
      </c>
      <c r="C931" s="13" t="inlineStr">
        <is>
          <t>Common / Comum</t>
        </is>
      </c>
      <c r="D931" s="13" t="inlineStr">
        <is>
          <t>When this creature enters, create a 1/1 black and red Goblin creature token.</t>
        </is>
      </c>
      <c r="E931" s="13" t="inlineStr">
        <is>
          <t>{2}{R}</t>
        </is>
      </c>
      <c r="F931" s="13" t="inlineStr">
        <is>
          <t>Vermelho</t>
        </is>
      </c>
      <c r="G931" s="8" t="n">
        <v>0.1</v>
      </c>
      <c r="H931" s="13" t="inlineStr">
        <is>
          <t>Lorwyn Eclipsed (ECL)</t>
        </is>
      </c>
      <c r="I931" s="13" t="inlineStr">
        <is>
          <t>Não</t>
        </is>
      </c>
      <c r="J931" s="13" t="n">
        <v>2026</v>
      </c>
      <c r="K931" s="10" t="n">
        <v>46055</v>
      </c>
      <c r="L931" s="13" t="n">
        <v>1</v>
      </c>
      <c r="M931" s="8">
        <f>L931*G931</f>
        <v/>
      </c>
      <c r="P931" s="9" t="n"/>
    </row>
    <row r="932">
      <c r="A932" s="13" t="inlineStr">
        <is>
          <t>Elder Auntie</t>
        </is>
      </c>
      <c r="B932" s="13" t="inlineStr">
        <is>
          <t>Creature — Goblin Warlock</t>
        </is>
      </c>
      <c r="C932" s="13" t="inlineStr">
        <is>
          <t>Common / Comum</t>
        </is>
      </c>
      <c r="D932" s="13" t="inlineStr">
        <is>
          <t>When this creature enters, create a 1/1 black and red Goblin creature token.</t>
        </is>
      </c>
      <c r="E932" s="13" t="inlineStr">
        <is>
          <t>{2}{R}</t>
        </is>
      </c>
      <c r="F932" s="13" t="inlineStr">
        <is>
          <t>Vermelho</t>
        </is>
      </c>
      <c r="G932" s="8" t="n">
        <v>0.25</v>
      </c>
      <c r="H932" s="13" t="inlineStr">
        <is>
          <t>Lorwyn Eclipsed (ECL)</t>
        </is>
      </c>
      <c r="I932" s="13" t="inlineStr">
        <is>
          <t>Sim</t>
        </is>
      </c>
      <c r="J932" s="13" t="n">
        <v>2026</v>
      </c>
      <c r="K932" s="10" t="n">
        <v>46055</v>
      </c>
      <c r="L932" s="13" t="n">
        <v>1</v>
      </c>
      <c r="M932" s="8">
        <f>L932*G932</f>
        <v/>
      </c>
      <c r="P932" s="9" t="n"/>
    </row>
    <row r="933">
      <c r="A933" s="13" t="inlineStr">
        <is>
          <t>Eldrazi Aggressor / Agressor Eldrazi</t>
        </is>
      </c>
      <c r="B933" s="13" t="inlineStr">
        <is>
          <t>Creature — Eldrazi Drone / Criatura — Eldrazi Zangão</t>
        </is>
      </c>
      <c r="C933" s="13" t="inlineStr">
        <is>
          <t>Common / Comum</t>
        </is>
      </c>
      <c r="D933" s="13" t="inlineStr">
        <is>
          <t>Devoid (This card has no color.) This creature has haste as long as you control another colorless creature. / Desprovido (Este card não tem cor.) Agressor Eldrazi terá ímpeto enquanto você controlar outra criatura incolor.</t>
        </is>
      </c>
      <c r="E933" s="13" t="inlineStr">
        <is>
          <t>{2}{R}</t>
        </is>
      </c>
      <c r="F933" s="13" t="inlineStr">
        <is>
          <t>Vermelho</t>
        </is>
      </c>
      <c r="G933" s="8" t="n">
        <v>0.04</v>
      </c>
      <c r="H933" s="13" t="inlineStr">
        <is>
          <t>Oath of the Gatewatch (OGW)</t>
        </is>
      </c>
      <c r="I933" s="13" t="inlineStr">
        <is>
          <t>Não</t>
        </is>
      </c>
      <c r="J933" s="13" t="n">
        <v>2016</v>
      </c>
      <c r="K933" s="10" t="n">
        <v>46083</v>
      </c>
      <c r="L933" s="13" t="n">
        <v>1</v>
      </c>
      <c r="M933" s="8">
        <f>L933*G933</f>
        <v/>
      </c>
      <c r="P933" s="9" t="n"/>
    </row>
    <row r="934">
      <c r="A934" s="13" t="inlineStr">
        <is>
          <t>Electrickery / Eletrotruque</t>
        </is>
      </c>
      <c r="B934" s="13" t="inlineStr">
        <is>
          <t>Instant / Mágica Instantânea</t>
        </is>
      </c>
      <c r="C934" s="13" t="inlineStr">
        <is>
          <t>Common / Comum</t>
        </is>
      </c>
      <c r="D934" s="13"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934" s="13" t="inlineStr">
        <is>
          <t>{R}</t>
        </is>
      </c>
      <c r="F934" s="13" t="inlineStr">
        <is>
          <t>Vermelho</t>
        </is>
      </c>
      <c r="G934" s="8" t="n">
        <v>0.38</v>
      </c>
      <c r="H934" s="13" t="inlineStr">
        <is>
          <t>Return to Ravnica (RTR)</t>
        </is>
      </c>
      <c r="I934" s="13" t="inlineStr">
        <is>
          <t>Não</t>
        </is>
      </c>
      <c r="J934" s="13" t="n">
        <v>2012</v>
      </c>
      <c r="L934" s="13" t="n">
        <v>4</v>
      </c>
      <c r="M934" s="8">
        <f>L934*G934</f>
        <v/>
      </c>
      <c r="P934" s="9" t="n"/>
    </row>
    <row r="935">
      <c r="A935" s="13" t="inlineStr">
        <is>
          <t>Electrify / Eletrificar</t>
        </is>
      </c>
      <c r="B935" s="13" t="inlineStr">
        <is>
          <t>Instant / Mágica Instantânea</t>
        </is>
      </c>
      <c r="C935" s="13" t="inlineStr">
        <is>
          <t>Common / Comum</t>
        </is>
      </c>
      <c r="D935" s="13" t="inlineStr">
        <is>
          <t>Electrify deals 4 damage to target creature. / Eletrificar causa 4 pontos de dano à criatura alvo.</t>
        </is>
      </c>
      <c r="E935" s="13" t="inlineStr">
        <is>
          <t>{3}{R}</t>
        </is>
      </c>
      <c r="F935" s="13" t="inlineStr">
        <is>
          <t>Vermelho</t>
        </is>
      </c>
      <c r="G935" s="8" t="n">
        <v>0.03</v>
      </c>
      <c r="H935" s="13" t="inlineStr">
        <is>
          <t>Amonkhet (AKH)</t>
        </is>
      </c>
      <c r="I935" s="13" t="inlineStr">
        <is>
          <t>Não</t>
        </is>
      </c>
      <c r="J935" s="13" t="n">
        <v>2017</v>
      </c>
      <c r="L935" s="13" t="n">
        <v>1</v>
      </c>
      <c r="M935" s="8">
        <f>L935*G935</f>
        <v/>
      </c>
      <c r="P935" s="9" t="n"/>
    </row>
    <row r="936">
      <c r="A936" s="13" t="inlineStr">
        <is>
          <t>Electrolyze / Eletrolisar</t>
        </is>
      </c>
      <c r="B936" s="13" t="inlineStr">
        <is>
          <t>Instant / Mágica Instantânea</t>
        </is>
      </c>
      <c r="C936" s="13" t="inlineStr">
        <is>
          <t>Uncommon / Incomum</t>
        </is>
      </c>
      <c r="D936" s="13" t="inlineStr">
        <is>
          <t>Electrolyze deals 2 damage divided as you choose among one or two targets. Draw a card. / Eletrolisar causa 2 pontos de dano distribuídos a sua escolha entre um ou dois alvos. Compre um card.</t>
        </is>
      </c>
      <c r="E936" s="13" t="inlineStr">
        <is>
          <t>{1}{U}{R}</t>
        </is>
      </c>
      <c r="F936" s="13" t="inlineStr">
        <is>
          <t>Vermelho, Azul</t>
        </is>
      </c>
      <c r="G936" s="8" t="n">
        <v>0.25</v>
      </c>
      <c r="H936" s="13" t="inlineStr">
        <is>
          <t>Iconic Masters (IMA)</t>
        </is>
      </c>
      <c r="I936" s="13" t="inlineStr">
        <is>
          <t>Não</t>
        </is>
      </c>
      <c r="J936" s="13" t="n">
        <v>2017</v>
      </c>
      <c r="L936" s="13" t="n">
        <v>4</v>
      </c>
      <c r="M936" s="8">
        <f>L936*G936</f>
        <v/>
      </c>
      <c r="P936" s="9" t="n"/>
    </row>
    <row r="937">
      <c r="A937" s="13" t="inlineStr">
        <is>
          <t>Elegant Rotunda / Grand Entryway</t>
        </is>
      </c>
      <c r="B937" s="13" t="inlineStr">
        <is>
          <t>Encantamento - Sala / Enchantment - Room</t>
        </is>
      </c>
      <c r="C937" s="13" t="inlineStr">
        <is>
          <t>Comum / Common</t>
        </is>
      </c>
      <c r="D937" s="13" t="inlineStr">
        <is>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is>
      </c>
      <c r="E937" s="13" t="inlineStr">
        <is>
          <t>{2}{W} / {1}{W}</t>
        </is>
      </c>
      <c r="F937" s="13" t="inlineStr">
        <is>
          <t>Branco</t>
        </is>
      </c>
      <c r="G937" s="8" t="n">
        <v>0.05</v>
      </c>
      <c r="H937" s="13" t="inlineStr">
        <is>
          <t>Duskmourn: House of Horror (DSK)</t>
        </is>
      </c>
      <c r="I937" s="13" t="inlineStr">
        <is>
          <t>Não</t>
        </is>
      </c>
      <c r="J937" s="13" t="n">
        <v>2024</v>
      </c>
      <c r="L937" s="13" t="n">
        <v>1</v>
      </c>
      <c r="M937" s="8">
        <f>L937*G937</f>
        <v/>
      </c>
      <c r="P937" s="9" t="n"/>
    </row>
    <row r="938">
      <c r="A938" s="13" t="inlineStr">
        <is>
          <t>Elemental Mascot / Mascote Elemental</t>
        </is>
      </c>
      <c r="B938" s="13" t="inlineStr">
        <is>
          <t>Criatura — Ave Elemental</t>
        </is>
      </c>
      <c r="C938" s="13" t="inlineStr">
        <is>
          <t>Comum</t>
        </is>
      </c>
      <c r="D938" s="13"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938" s="13" t="inlineStr">
        <is>
          <t>1{U}{R}</t>
        </is>
      </c>
      <c r="F938" s="13" t="inlineStr">
        <is>
          <t>Multicolorido</t>
        </is>
      </c>
      <c r="G938" s="8" t="n">
        <v>0.05</v>
      </c>
      <c r="H938" s="13" t="inlineStr">
        <is>
          <t>Strixhaven: School of Mages (SOS)</t>
        </is>
      </c>
      <c r="I938" s="13" t="inlineStr">
        <is>
          <t>Não</t>
        </is>
      </c>
      <c r="J938" s="13" t="n">
        <v>2026</v>
      </c>
      <c r="K938" s="10" t="n">
        <v>46113</v>
      </c>
      <c r="L938" s="13" t="n">
        <v>1</v>
      </c>
      <c r="M938" s="8">
        <f>L938*G938</f>
        <v/>
      </c>
      <c r="P938" s="9" t="n"/>
    </row>
    <row r="939">
      <c r="A939" s="13" t="inlineStr">
        <is>
          <t>Eliminate / Sumir</t>
        </is>
      </c>
      <c r="B939" s="13" t="inlineStr">
        <is>
          <t>Instant / Mágica Instantânea</t>
        </is>
      </c>
      <c r="C939" s="13" t="inlineStr">
        <is>
          <t>Uncommon / Incomum</t>
        </is>
      </c>
      <c r="D939" s="13" t="inlineStr">
        <is>
          <t>Destroy target creature or planeswalker with mana value 3 or less. / Destrua a criatura ou o planeswalker alvo com custo de mana convertido igual ou inferior a 3.</t>
        </is>
      </c>
      <c r="E939" s="13" t="inlineStr">
        <is>
          <t>{1}{B}</t>
        </is>
      </c>
      <c r="F939" s="13" t="inlineStr">
        <is>
          <t>Preto</t>
        </is>
      </c>
      <c r="G939" s="8" t="n">
        <v>0.72</v>
      </c>
      <c r="H939" s="13" t="inlineStr">
        <is>
          <t>Core Set 2021 (M21)</t>
        </is>
      </c>
      <c r="I939" s="13" t="inlineStr">
        <is>
          <t>Sim</t>
        </is>
      </c>
      <c r="J939" s="13" t="n">
        <v>2020</v>
      </c>
      <c r="L939" s="13" t="n">
        <v>1</v>
      </c>
      <c r="M939" s="8">
        <f>L939*G939</f>
        <v/>
      </c>
      <c r="P939" s="9" t="n"/>
    </row>
    <row r="940">
      <c r="A940" s="13" t="inlineStr">
        <is>
          <t>Elite Interceptor // Rejoinder</t>
        </is>
      </c>
      <c r="B940" s="13" t="inlineStr">
        <is>
          <t>Creature — Human Wizard // Sorcery</t>
        </is>
      </c>
      <c r="C940" s="13" t="inlineStr">
        <is>
          <t>Common / Comum</t>
        </is>
      </c>
      <c r="D940" s="13" t="inlineStr">
        <is>
          <t>Elite Interceptor: This creature enters prepared. (While it's prepared, you may cast a copy of its spell. Doing so unprepares it.) // Rejoinder: You may tap or untap target creature. Draw a card.</t>
        </is>
      </c>
      <c r="E940" s="13" t="inlineStr">
        <is>
          <t>{W} // {1}{W}</t>
        </is>
      </c>
      <c r="F940" s="13" t="inlineStr">
        <is>
          <t>Branco</t>
        </is>
      </c>
      <c r="G940" s="8" t="n">
        <v>0.07000000000000001</v>
      </c>
      <c r="H940" s="13" t="inlineStr">
        <is>
          <t>Secrets of Strixhaven (SOS)</t>
        </is>
      </c>
      <c r="I940" s="13" t="inlineStr">
        <is>
          <t>Não</t>
        </is>
      </c>
      <c r="J940" s="13" t="n">
        <v>2026</v>
      </c>
      <c r="K940" s="10" t="n">
        <v>46054</v>
      </c>
      <c r="L940" s="13" t="n">
        <v>1</v>
      </c>
      <c r="M940" s="8">
        <f>L940*G940</f>
        <v/>
      </c>
      <c r="P940" s="9" t="n"/>
    </row>
    <row r="941">
      <c r="A941" s="13" t="inlineStr">
        <is>
          <t>Elixir</t>
        </is>
      </c>
      <c r="B941" s="13" t="inlineStr">
        <is>
          <t>Artifact</t>
        </is>
      </c>
      <c r="C941" s="13" t="inlineStr">
        <is>
          <t>Incomum</t>
        </is>
      </c>
      <c r="D941" s="13" t="inlineStr">
        <is>
          <t>This artifact enters tapped. 5, T, Exile this artifact: Shuffle all nonland cards from your graveyard into your library. You gain life equal to the number of cards shuffled into your library this way.</t>
        </is>
      </c>
      <c r="E941" s="13" t="n">
        <v>1</v>
      </c>
      <c r="F941" s="13" t="inlineStr">
        <is>
          <t>Incolor</t>
        </is>
      </c>
      <c r="G941" s="8" t="n">
        <v>0.25</v>
      </c>
      <c r="H941" s="13" t="inlineStr">
        <is>
          <t>Final Fantasy (FFIV)</t>
        </is>
      </c>
      <c r="I941" s="13" t="inlineStr">
        <is>
          <t>Não</t>
        </is>
      </c>
      <c r="J941" s="13" t="n">
        <v>2025</v>
      </c>
      <c r="L941" s="13" t="n">
        <v>1</v>
      </c>
      <c r="M941" s="8">
        <f>L941*G941</f>
        <v/>
      </c>
      <c r="P941" s="9" t="n"/>
    </row>
    <row r="942">
      <c r="A942" s="13" t="inlineStr">
        <is>
          <t>Elixir</t>
        </is>
      </c>
      <c r="B942" s="13" t="inlineStr">
        <is>
          <t>Artifact</t>
        </is>
      </c>
      <c r="C942" s="13" t="inlineStr">
        <is>
          <t>Incomum</t>
        </is>
      </c>
      <c r="D942" s="13" t="inlineStr">
        <is>
          <t>This artifact enters tapped. 5, T, Exile this artifact: Shuffle all nonland cards from your graveyard into your library. You gain life equal to the number of cards shuffled into your library this way.</t>
        </is>
      </c>
      <c r="E942" s="13" t="n">
        <v>1</v>
      </c>
      <c r="F942" s="13" t="inlineStr">
        <is>
          <t>Incolor</t>
        </is>
      </c>
      <c r="G942" s="8" t="n">
        <v>0.24</v>
      </c>
      <c r="H942" s="13" t="inlineStr">
        <is>
          <t>Final Fantasy (FFIV)</t>
        </is>
      </c>
      <c r="I942" s="13" t="inlineStr">
        <is>
          <t>Sim</t>
        </is>
      </c>
      <c r="J942" s="13" t="n">
        <v>2025</v>
      </c>
      <c r="L942" s="13" t="n">
        <v>1</v>
      </c>
      <c r="M942" s="8">
        <f>L942*G942</f>
        <v/>
      </c>
      <c r="P942" s="9" t="n"/>
    </row>
    <row r="943">
      <c r="A943" s="13" t="inlineStr">
        <is>
          <t>Elrond, Senhor de Valfenda / Elrond, Lord of Rivendell</t>
        </is>
      </c>
      <c r="B943" s="13" t="inlineStr">
        <is>
          <t>Criatura Lendária — Elfo Nobre</t>
        </is>
      </c>
      <c r="C943" s="13" t="inlineStr">
        <is>
          <t>Incomum</t>
        </is>
      </c>
      <c r="D943" s="13"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943" s="13" t="inlineStr">
        <is>
          <t>2{U}</t>
        </is>
      </c>
      <c r="F943" s="13" t="inlineStr">
        <is>
          <t>Azul</t>
        </is>
      </c>
      <c r="G943" s="8" t="n">
        <v>0.39</v>
      </c>
      <c r="H943" s="13" t="inlineStr">
        <is>
          <t>The Lord of the Rings: Tales of Middle-earth (LTR)</t>
        </is>
      </c>
      <c r="I943" s="13" t="inlineStr">
        <is>
          <t>Não</t>
        </is>
      </c>
      <c r="J943" s="13" t="n">
        <v>2023</v>
      </c>
      <c r="K943" s="10" t="n">
        <v>46056</v>
      </c>
      <c r="L943" s="13" t="n">
        <v>2</v>
      </c>
      <c r="M943" s="8">
        <f>L943*G943</f>
        <v/>
      </c>
      <c r="P943" s="9" t="n"/>
    </row>
    <row r="944">
      <c r="A944" s="13" t="inlineStr">
        <is>
          <t>Elturgard Ranger / Guardiã de Elturgard</t>
        </is>
      </c>
      <c r="B944" s="13" t="inlineStr">
        <is>
          <t>Creature — Human Elf Ranger / Criatura — Humano Elfo Guardião</t>
        </is>
      </c>
      <c r="C944" s="13" t="inlineStr">
        <is>
          <t>Common / Comum</t>
        </is>
      </c>
      <c r="D944" s="13" t="inlineStr">
        <is>
          <t>Reach. When Elturgard Ranger enters the battlefield, create a 2/2 green Wolf creature token. / Alcance. Quando Guardiã de Elturgard entrar no campo de batalha, crie uma ficha de criatura Lobo verde 2/2.</t>
        </is>
      </c>
      <c r="E944" s="13" t="inlineStr">
        <is>
          <t>{4}{G}</t>
        </is>
      </c>
      <c r="F944" s="13" t="inlineStr">
        <is>
          <t>Verde</t>
        </is>
      </c>
      <c r="G944" s="8" t="n">
        <v>0.05</v>
      </c>
      <c r="H944" s="13" t="inlineStr">
        <is>
          <t>Adventures in the Forgotten Realms (AFR)</t>
        </is>
      </c>
      <c r="I944" s="13" t="inlineStr">
        <is>
          <t>Não</t>
        </is>
      </c>
      <c r="J944" s="13" t="n">
        <v>2021</v>
      </c>
      <c r="K944" s="10" t="n">
        <v>46026</v>
      </c>
      <c r="L944" s="13" t="n">
        <v>1</v>
      </c>
      <c r="M944" s="8">
        <f>L944*G944</f>
        <v/>
      </c>
      <c r="P944" s="9" t="n"/>
    </row>
    <row r="945">
      <c r="A945" s="13" t="inlineStr">
        <is>
          <t>Elvish Hydromancer / Hidromante Élfica</t>
        </is>
      </c>
      <c r="B945" s="13" t="inlineStr">
        <is>
          <t>Creature — Elf Wizard / Criatura — Elfo Mago</t>
        </is>
      </c>
      <c r="C945" s="13" t="inlineStr">
        <is>
          <t>Uncommon / Incomum</t>
        </is>
      </c>
      <c r="D945" s="13"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945" s="13" t="inlineStr">
        <is>
          <t>{2}{G}</t>
        </is>
      </c>
      <c r="F945" s="13" t="inlineStr">
        <is>
          <t>Verde</t>
        </is>
      </c>
      <c r="G945" s="8" t="n">
        <v>0.04</v>
      </c>
      <c r="H945" s="13" t="inlineStr">
        <is>
          <t>Dominaria United (DMU)</t>
        </is>
      </c>
      <c r="I945" s="13" t="inlineStr">
        <is>
          <t>Não</t>
        </is>
      </c>
      <c r="J945" s="13" t="n">
        <v>2022</v>
      </c>
      <c r="K945" s="10" t="n">
        <v>46056</v>
      </c>
      <c r="L945" s="13" t="n">
        <v>1</v>
      </c>
      <c r="M945" s="8">
        <f>L945*G945</f>
        <v/>
      </c>
      <c r="P945" s="9" t="n"/>
    </row>
    <row r="946">
      <c r="A946" s="13" t="inlineStr">
        <is>
          <t>Elvish Pioneer / Pioneiro Élfico</t>
        </is>
      </c>
      <c r="B946" s="13" t="inlineStr">
        <is>
          <t>Creature — Elf Druid / Criatura — Druida Elfo</t>
        </is>
      </c>
      <c r="C946" s="13" t="inlineStr">
        <is>
          <t>Common / Comum</t>
        </is>
      </c>
      <c r="D946" s="13" t="inlineStr">
        <is>
          <t>When this creature enters, you may put a basic land card from your hand onto the battlefield tapped. / Quando Pioneiro Élfico entra em jogo, você pode colocar em jogo, virado, um card de terreno básico de sua mão.</t>
        </is>
      </c>
      <c r="E946" s="13" t="inlineStr">
        <is>
          <t>{G}</t>
        </is>
      </c>
      <c r="F946" s="13" t="inlineStr">
        <is>
          <t>Verde</t>
        </is>
      </c>
      <c r="G946" s="8" t="n">
        <v>0.24</v>
      </c>
      <c r="H946" s="13" t="inlineStr">
        <is>
          <t>Onslaught (ONS)</t>
        </is>
      </c>
      <c r="I946" s="13" t="inlineStr">
        <is>
          <t>Não</t>
        </is>
      </c>
      <c r="J946" s="13" t="n">
        <v>2002</v>
      </c>
      <c r="K946" s="10" t="n">
        <v>46023</v>
      </c>
      <c r="L946" s="13" t="n">
        <v>1</v>
      </c>
      <c r="M946" s="8">
        <f>L946*G946</f>
        <v/>
      </c>
      <c r="P946" s="9" t="n"/>
    </row>
    <row r="947">
      <c r="A947" s="13" t="inlineStr">
        <is>
          <t>Elvish Rejuvenator / Rejuvenescedor Élfico</t>
        </is>
      </c>
      <c r="B947" s="13" t="inlineStr">
        <is>
          <t>Creature — Elf Druid / Criatura — Elfo Druida</t>
        </is>
      </c>
      <c r="C947" s="13" t="inlineStr">
        <is>
          <t>Common / Comum</t>
        </is>
      </c>
      <c r="D947" s="13"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47" s="13" t="inlineStr">
        <is>
          <t>{2}{G}</t>
        </is>
      </c>
      <c r="F947" s="13" t="inlineStr">
        <is>
          <t>Verde</t>
        </is>
      </c>
      <c r="G947" s="8" t="n">
        <v>0.34</v>
      </c>
      <c r="H947" s="8" t="inlineStr">
        <is>
          <t>Core Set 2019 (M19)</t>
        </is>
      </c>
      <c r="I947" s="13" t="inlineStr">
        <is>
          <t>Sim</t>
        </is>
      </c>
      <c r="J947" s="13" t="n">
        <v>2018</v>
      </c>
      <c r="K947" s="10" t="n">
        <v>46023</v>
      </c>
      <c r="L947" s="13" t="n">
        <v>4</v>
      </c>
      <c r="M947" s="8">
        <f>L947*G947</f>
        <v/>
      </c>
      <c r="P947" s="9" t="n"/>
    </row>
    <row r="948">
      <c r="A948" s="13" t="inlineStr">
        <is>
          <t>Ember Island Production</t>
        </is>
      </c>
      <c r="B948" s="13" t="inlineStr">
        <is>
          <t>Sorcery</t>
        </is>
      </c>
      <c r="C948" s="13" t="inlineStr">
        <is>
          <t>Uncommon / Incomum</t>
        </is>
      </c>
      <c r="D948" s="13"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948" s="13" t="inlineStr">
        <is>
          <t>{3}{U}{U}</t>
        </is>
      </c>
      <c r="F948" s="13" t="inlineStr">
        <is>
          <t>Azul</t>
        </is>
      </c>
      <c r="G948" s="8" t="n">
        <v>0.15</v>
      </c>
      <c r="H948" s="13" t="inlineStr">
        <is>
          <t>Avatar: The Last Airbender (TLA)</t>
        </is>
      </c>
      <c r="I948" s="13" t="inlineStr">
        <is>
          <t>Não</t>
        </is>
      </c>
      <c r="J948" s="13" t="n">
        <v>2025</v>
      </c>
      <c r="L948" s="13" t="n">
        <v>1</v>
      </c>
      <c r="M948" s="8">
        <f>L948*G948</f>
        <v/>
      </c>
      <c r="P948" s="9" t="n"/>
    </row>
    <row r="949">
      <c r="A949" s="13" t="inlineStr">
        <is>
          <t>Embermage Goblin / Mago Ígneo Goblin</t>
        </is>
      </c>
      <c r="B949" s="13" t="inlineStr">
        <is>
          <t>Creature — Goblin Wizard / Criatura — Mago Goblin</t>
        </is>
      </c>
      <c r="C949" s="13" t="inlineStr">
        <is>
          <t>Uncommon / Incomum</t>
        </is>
      </c>
      <c r="D949" s="13"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949" s="13" t="inlineStr">
        <is>
          <t>{3}{R}</t>
        </is>
      </c>
      <c r="F949" s="13" t="inlineStr">
        <is>
          <t>Vermelho</t>
        </is>
      </c>
      <c r="G949" s="8" t="n">
        <v>0.18</v>
      </c>
      <c r="H949" s="13" t="inlineStr">
        <is>
          <t>Onslaught (ONS)</t>
        </is>
      </c>
      <c r="I949" s="13" t="inlineStr">
        <is>
          <t>Não</t>
        </is>
      </c>
      <c r="J949" s="13" t="n">
        <v>2002</v>
      </c>
      <c r="K949" s="10" t="n">
        <v>46023</v>
      </c>
      <c r="L949" s="13" t="n">
        <v>1</v>
      </c>
      <c r="M949" s="8">
        <f>L949*G949</f>
        <v/>
      </c>
      <c r="P949" s="9" t="n"/>
    </row>
    <row r="950">
      <c r="A950" s="13" t="inlineStr">
        <is>
          <t>Emboscador Mukotai / Mukotai Ambush</t>
        </is>
      </c>
      <c r="B950" s="13" t="inlineStr">
        <is>
          <t>Creature — Rat Ninja / Criatura Artefato — Rato Ninja</t>
        </is>
      </c>
      <c r="C950" s="13" t="inlineStr">
        <is>
          <t>Common / Comum</t>
        </is>
      </c>
      <c r="D950" s="13" t="inlineStr">
        <is>
          <t>Ninjutsu {1}{B}, Lifelink / Ninjutsu {1}{B}, Vínculo com a vida</t>
        </is>
      </c>
      <c r="E950" s="13" t="inlineStr">
        <is>
          <t>{3}{B}</t>
        </is>
      </c>
      <c r="F950" s="13" t="inlineStr">
        <is>
          <t>Preto</t>
        </is>
      </c>
      <c r="G950" s="8" t="n">
        <v>1</v>
      </c>
      <c r="H950" s="13" t="inlineStr">
        <is>
          <t>Kamigawa: Neon Dynasty (NEO)</t>
        </is>
      </c>
      <c r="I950" s="13" t="inlineStr">
        <is>
          <t>Não</t>
        </is>
      </c>
      <c r="J950" s="13" t="n">
        <v>2022</v>
      </c>
      <c r="K950" s="10" t="n">
        <v>46056</v>
      </c>
      <c r="L950" s="13" t="n">
        <v>1</v>
      </c>
      <c r="M950" s="8">
        <f>L950*G950</f>
        <v/>
      </c>
      <c r="P950" s="9" t="n"/>
    </row>
    <row r="951">
      <c r="A951" s="13" t="inlineStr">
        <is>
          <t>Embrace Oblivion / Abraçar o Esquecimento</t>
        </is>
      </c>
      <c r="B951" s="13" t="inlineStr">
        <is>
          <t>Feitiço</t>
        </is>
      </c>
      <c r="C951" s="13" t="inlineStr">
        <is>
          <t>Comum</t>
        </is>
      </c>
      <c r="D951" s="13" t="inlineStr">
        <is>
          <t>Como um custo adicional para conjurar esta mágica, sacrifique um artefato ou criatura. Destrua a criatura ou Nave Espacial alvo.</t>
        </is>
      </c>
      <c r="E951" s="13" t="inlineStr">
        <is>
          <t>{B}</t>
        </is>
      </c>
      <c r="F951" s="13" t="inlineStr">
        <is>
          <t>Preto</t>
        </is>
      </c>
      <c r="G951" s="8" t="n">
        <v>0.24</v>
      </c>
      <c r="H951" s="13" t="inlineStr">
        <is>
          <t>Edge of Eternity</t>
        </is>
      </c>
      <c r="I951" s="13" t="inlineStr">
        <is>
          <t>Sim</t>
        </is>
      </c>
      <c r="J951" s="13" t="n">
        <v>2025</v>
      </c>
      <c r="L951" s="13" t="n">
        <v>1</v>
      </c>
      <c r="M951" s="8">
        <f>L951*G951</f>
        <v/>
      </c>
      <c r="P951" s="9" t="n"/>
    </row>
    <row r="952">
      <c r="A952" s="13" t="inlineStr">
        <is>
          <t>Embrace the Paradox</t>
        </is>
      </c>
      <c r="B952" s="13" t="inlineStr">
        <is>
          <t>Instant</t>
        </is>
      </c>
      <c r="C952" s="13" t="inlineStr">
        <is>
          <t>Common / Comum</t>
        </is>
      </c>
      <c r="D952" s="13" t="inlineStr">
        <is>
          <t>Draw three cards. You may put a land card from your hand onto the battlefield tapped.</t>
        </is>
      </c>
      <c r="E952" s="13" t="inlineStr">
        <is>
          <t>{3}{G}{U}</t>
        </is>
      </c>
      <c r="F952" s="13" t="inlineStr">
        <is>
          <t>Verde, Azul</t>
        </is>
      </c>
      <c r="G952" s="8" t="n">
        <v>0.14</v>
      </c>
      <c r="H952" s="13" t="inlineStr">
        <is>
          <t>Secrets of Strixhaven (SOS)</t>
        </is>
      </c>
      <c r="I952" s="13" t="inlineStr">
        <is>
          <t>Não</t>
        </is>
      </c>
      <c r="J952" s="13" t="n">
        <v>2026</v>
      </c>
      <c r="L952" s="13" t="n">
        <v>4</v>
      </c>
      <c r="M952" s="8">
        <f>L952*G952</f>
        <v/>
      </c>
      <c r="P952" s="9" t="n"/>
    </row>
    <row r="953">
      <c r="A953" s="13" t="inlineStr">
        <is>
          <t>Empty the Warrens / Esvaziar os Viveiros</t>
        </is>
      </c>
      <c r="B953" s="13" t="inlineStr">
        <is>
          <t>Sorcery / Feitiço</t>
        </is>
      </c>
      <c r="C953" s="13" t="inlineStr">
        <is>
          <t>Common / Comum</t>
        </is>
      </c>
      <c r="D953" s="13"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953" s="13" t="inlineStr">
        <is>
          <t>{3}{R}</t>
        </is>
      </c>
      <c r="F953" s="13" t="inlineStr">
        <is>
          <t>Vermelho</t>
        </is>
      </c>
      <c r="G953" s="8" t="n">
        <v>0.15</v>
      </c>
      <c r="H953" s="13" t="inlineStr">
        <is>
          <t>Dominaria Remastered (DMR)</t>
        </is>
      </c>
      <c r="I953" s="13" t="inlineStr">
        <is>
          <t>Não</t>
        </is>
      </c>
      <c r="J953" s="13" t="n">
        <v>2023</v>
      </c>
      <c r="L953" s="13" t="n">
        <v>1</v>
      </c>
      <c r="M953" s="8">
        <f>L953*G953</f>
        <v/>
      </c>
      <c r="P953" s="9" t="n"/>
    </row>
    <row r="954">
      <c r="A954" s="13" t="inlineStr">
        <is>
          <t>Empyrean Eagle / Águia Empírea</t>
        </is>
      </c>
      <c r="B954" s="13" t="inlineStr">
        <is>
          <t>Creature — Bird Spirit / Criatura — Ave Espírito</t>
        </is>
      </c>
      <c r="C954" s="13" t="inlineStr">
        <is>
          <t>Uncommon / Incomum</t>
        </is>
      </c>
      <c r="D954" s="13" t="inlineStr">
        <is>
          <t>Flying Other creatures you control with flying get +1/+1. / Voar As outras criaturas que você controla com voar recebem +1/+1.</t>
        </is>
      </c>
      <c r="E954" s="13" t="inlineStr">
        <is>
          <t>{1}{W}{U}</t>
        </is>
      </c>
      <c r="F954" s="13" t="inlineStr">
        <is>
          <t>Azul, Branco</t>
        </is>
      </c>
      <c r="G954" s="8" t="n">
        <v>0.1</v>
      </c>
      <c r="H954" s="13" t="inlineStr">
        <is>
          <t>Foundations (FDN)</t>
        </is>
      </c>
      <c r="I954" s="13" t="inlineStr">
        <is>
          <t>Não</t>
        </is>
      </c>
      <c r="J954" s="13" t="n">
        <v>2024</v>
      </c>
      <c r="K954" s="10" t="n">
        <v>46083</v>
      </c>
      <c r="L954" s="13" t="n">
        <v>2</v>
      </c>
      <c r="M954" s="8">
        <f>L954*G954</f>
        <v/>
      </c>
      <c r="P954" s="9" t="n"/>
    </row>
    <row r="955">
      <c r="A955" s="13" t="inlineStr">
        <is>
          <t>Encouraging Aviator / Aviador Encorajador</t>
        </is>
      </c>
      <c r="B955" s="13" t="inlineStr">
        <is>
          <t>Creature — Bird Wizard / Criatura — Ave Mago</t>
        </is>
      </c>
      <c r="C955" s="13" t="inlineStr">
        <is>
          <t>Uncommon / Incomum</t>
        </is>
      </c>
      <c r="D955" s="13"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955" s="13" t="inlineStr">
        <is>
          <t>{2}{U}</t>
        </is>
      </c>
      <c r="F955" s="13" t="inlineStr">
        <is>
          <t>Azul</t>
        </is>
      </c>
      <c r="G955" s="8" t="n">
        <v>0.18</v>
      </c>
      <c r="H955" s="13" t="inlineStr">
        <is>
          <t>Shadows of Sothia (SOS)</t>
        </is>
      </c>
      <c r="I955" s="13" t="inlineStr">
        <is>
          <t>No</t>
        </is>
      </c>
      <c r="J955" s="13" t="n">
        <v>2026</v>
      </c>
      <c r="K955" s="10" t="n">
        <v>46083</v>
      </c>
      <c r="L955" s="13" t="n">
        <v>1</v>
      </c>
      <c r="M955" s="8">
        <f>L955*G955</f>
        <v/>
      </c>
      <c r="P955" s="9" t="n"/>
    </row>
    <row r="956">
      <c r="A956" s="13" t="inlineStr">
        <is>
          <t>Encroaching Dragonstorm</t>
        </is>
      </c>
      <c r="B956" s="13" t="inlineStr">
        <is>
          <t>Enchantment</t>
        </is>
      </c>
      <c r="C956" s="13" t="inlineStr">
        <is>
          <t>Uncommon / Incomum</t>
        </is>
      </c>
      <c r="D956" s="13" t="inlineStr">
        <is>
          <t>When this enchantment enters, search your library for up to two basic land cards, put them onto the battlefield tapped, then shuffle. When a Dragon you control enters, return this enchantment to its owner's hand.</t>
        </is>
      </c>
      <c r="E956" s="13" t="inlineStr">
        <is>
          <t>{3}{G}</t>
        </is>
      </c>
      <c r="F956" s="13" t="inlineStr">
        <is>
          <t>Verde</t>
        </is>
      </c>
      <c r="G956" s="8" t="n">
        <v>0.11</v>
      </c>
      <c r="H956" s="13" t="inlineStr">
        <is>
          <t>Tarkir: Dragonstorm (TDM)</t>
        </is>
      </c>
      <c r="I956" s="13" t="inlineStr">
        <is>
          <t>Não</t>
        </is>
      </c>
      <c r="J956" s="13" t="n">
        <v>2025</v>
      </c>
      <c r="L956" s="13" t="n">
        <v>1</v>
      </c>
      <c r="M956" s="8">
        <f>L956*G956</f>
        <v/>
      </c>
      <c r="P956" s="9" t="n"/>
    </row>
    <row r="957">
      <c r="A957" s="13" t="inlineStr">
        <is>
          <t>Encumbered Reejerey</t>
        </is>
      </c>
      <c r="B957" s="13" t="inlineStr">
        <is>
          <t>Creature — Merfolk Soldier</t>
        </is>
      </c>
      <c r="C957" s="13" t="inlineStr">
        <is>
          <t>Uncommon / Incomum</t>
        </is>
      </c>
      <c r="D957" s="13" t="inlineStr">
        <is>
          <t>This creature enters with three -1/-1 counters on it. Whenever this creature becomes tapped while it has a -1/-1 counter on it, remove a -1/-1 counter from it.</t>
        </is>
      </c>
      <c r="E957" s="13" t="inlineStr">
        <is>
          <t>{1}{W}</t>
        </is>
      </c>
      <c r="F957" s="13" t="inlineStr">
        <is>
          <t>Branco</t>
        </is>
      </c>
      <c r="G957" s="8" t="n">
        <v>0.05</v>
      </c>
      <c r="H957" s="13" t="inlineStr">
        <is>
          <t>Lorwyn Eclipsed (ECL)</t>
        </is>
      </c>
      <c r="I957" s="13" t="inlineStr">
        <is>
          <t>Não</t>
        </is>
      </c>
      <c r="J957" s="13" t="n">
        <v>2026</v>
      </c>
      <c r="K957" s="10" t="n">
        <v>46117</v>
      </c>
      <c r="L957" s="13" t="n">
        <v>1</v>
      </c>
      <c r="M957" s="8">
        <f>L957*G957</f>
        <v/>
      </c>
      <c r="P957" s="9" t="n"/>
    </row>
    <row r="958">
      <c r="A958" s="13" t="inlineStr">
        <is>
          <t>End of the Hunt / Fim da Caçada</t>
        </is>
      </c>
      <c r="B958" s="13" t="inlineStr">
        <is>
          <t>Sorcery / Feitiço</t>
        </is>
      </c>
      <c r="C958" s="13" t="inlineStr">
        <is>
          <t>Uncommon / Incomum</t>
        </is>
      </c>
      <c r="D958" s="13"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958" s="13" t="inlineStr">
        <is>
          <t>{1}{B}</t>
        </is>
      </c>
      <c r="F958" s="13" t="inlineStr">
        <is>
          <t>Preto</t>
        </is>
      </c>
      <c r="G958" s="8" t="n">
        <v>0.25</v>
      </c>
      <c r="H958" s="13" t="inlineStr">
        <is>
          <t>Shadows of Sothia (SOS)</t>
        </is>
      </c>
      <c r="I958" s="13" t="inlineStr">
        <is>
          <t>No</t>
        </is>
      </c>
      <c r="J958" s="13" t="n">
        <v>2026</v>
      </c>
      <c r="L958" s="13" t="n">
        <v>1</v>
      </c>
      <c r="M958" s="8">
        <f>L958*G958</f>
        <v/>
      </c>
      <c r="P958" s="9" t="n"/>
    </row>
    <row r="959">
      <c r="A959" s="13" t="inlineStr">
        <is>
          <t>Energybending</t>
        </is>
      </c>
      <c r="B959" s="13" t="inlineStr">
        <is>
          <t>Instant — Lesson</t>
        </is>
      </c>
      <c r="C959" s="13" t="inlineStr">
        <is>
          <t>Uncommon / Incomum</t>
        </is>
      </c>
      <c r="D959" s="13" t="inlineStr">
        <is>
          <t>Lands you control gain all basic land types until end of turn. Draw a card.</t>
        </is>
      </c>
      <c r="E959" s="13" t="inlineStr">
        <is>
          <t>{2}</t>
        </is>
      </c>
      <c r="F959" s="13" t="inlineStr">
        <is>
          <t>Incolor</t>
        </is>
      </c>
      <c r="G959" s="8" t="n">
        <v>0.47</v>
      </c>
      <c r="H959" s="13" t="inlineStr">
        <is>
          <t>Avatar: The Last Airbender (TLA)</t>
        </is>
      </c>
      <c r="I959" s="13" t="inlineStr">
        <is>
          <t>Sim</t>
        </is>
      </c>
      <c r="J959" s="13" t="n">
        <v>2025</v>
      </c>
      <c r="L959" s="13" t="n">
        <v>1</v>
      </c>
      <c r="M959" s="8">
        <f>L959*G959</f>
        <v/>
      </c>
      <c r="P959" s="9" t="n"/>
    </row>
    <row r="960">
      <c r="A960" s="13" t="inlineStr">
        <is>
          <t>Enhanced Surveillance / Vigilância Reforçada</t>
        </is>
      </c>
      <c r="B960" s="13" t="inlineStr">
        <is>
          <t>Enchantment / Encantamento</t>
        </is>
      </c>
      <c r="C960" s="13" t="inlineStr">
        <is>
          <t>Uncommon / Incomum</t>
        </is>
      </c>
      <c r="D960" s="13"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960" s="13" t="inlineStr">
        <is>
          <t>{1}{U}</t>
        </is>
      </c>
      <c r="F960" s="13" t="inlineStr">
        <is>
          <t>Azul</t>
        </is>
      </c>
      <c r="G960" s="8" t="n">
        <v>0.06</v>
      </c>
      <c r="H960" s="13" t="inlineStr">
        <is>
          <t>Guilds of Ravnica (GRN)</t>
        </is>
      </c>
      <c r="I960" s="13" t="inlineStr">
        <is>
          <t>Não</t>
        </is>
      </c>
      <c r="J960" s="13" t="n">
        <v>2018</v>
      </c>
      <c r="L960" s="13" t="n">
        <v>1</v>
      </c>
      <c r="M960" s="8">
        <f>L960*G960</f>
        <v/>
      </c>
      <c r="N960" s="13" t="inlineStr">
        <is>
          <t>Bulk Shopee</t>
        </is>
      </c>
      <c r="P960" s="9" t="n"/>
    </row>
    <row r="961">
      <c r="A961" s="13" t="inlineStr">
        <is>
          <t>Enigma do Relâmpago</t>
        </is>
      </c>
      <c r="B961" s="13" t="inlineStr">
        <is>
          <t>Mágica Instantânea</t>
        </is>
      </c>
      <c r="C961" s="13" t="inlineStr">
        <is>
          <t>Incomum</t>
        </is>
      </c>
      <c r="D961" s="13"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961" s="13" t="inlineStr">
        <is>
          <t>3RR</t>
        </is>
      </c>
      <c r="F961" s="13" t="inlineStr">
        <is>
          <t>Vermelha</t>
        </is>
      </c>
      <c r="G961" s="8" t="n">
        <v>0.05</v>
      </c>
      <c r="H961" s="13" t="inlineStr">
        <is>
          <t>Journey into Nyx</t>
        </is>
      </c>
      <c r="I961" s="13" t="inlineStr">
        <is>
          <t>Não</t>
        </is>
      </c>
      <c r="J961" s="13" t="n">
        <v>2014</v>
      </c>
      <c r="L961" s="13" t="n">
        <v>1</v>
      </c>
      <c r="M961" s="8">
        <f>L961*G961</f>
        <v/>
      </c>
      <c r="P961" s="9" t="n"/>
    </row>
    <row r="962">
      <c r="A962" s="13" t="inlineStr">
        <is>
          <t>Enigma Drake / Dragonete dos Enigmas</t>
        </is>
      </c>
      <c r="B962" s="13" t="inlineStr">
        <is>
          <t>Creature — Drake / Criatura — Dragonete</t>
        </is>
      </c>
      <c r="C962" s="13" t="inlineStr">
        <is>
          <t>Uncommon / Incomum</t>
        </is>
      </c>
      <c r="D962" s="13" t="inlineStr">
        <is>
          <t>Flying Enigma Drake's power is equal to the number of instant and sorcery cards in your graveyard. / Voar O poder de Dragonete dos Enigmas é igual ao número de cards de mágica instantânea e feitiço em seu cemitério.</t>
        </is>
      </c>
      <c r="E962" s="13" t="inlineStr">
        <is>
          <t>{1}{U}{R}</t>
        </is>
      </c>
      <c r="F962" s="13" t="inlineStr">
        <is>
          <t>Vermelho, Azul</t>
        </is>
      </c>
      <c r="G962" s="8" t="n">
        <v>0.1</v>
      </c>
      <c r="H962" s="13" t="inlineStr">
        <is>
          <t>Core Set 2019 (M19)</t>
        </is>
      </c>
      <c r="I962" s="13" t="inlineStr">
        <is>
          <t>Não</t>
        </is>
      </c>
      <c r="J962" s="13" t="n">
        <v>2018</v>
      </c>
      <c r="K962" s="13" t="inlineStr">
        <is>
          <t>*/4</t>
        </is>
      </c>
      <c r="L962" s="13" t="n">
        <v>1</v>
      </c>
      <c r="M962" s="8">
        <f>L962*G962</f>
        <v/>
      </c>
      <c r="P962" s="9" t="n"/>
    </row>
    <row r="963">
      <c r="A963" s="13" t="inlineStr">
        <is>
          <t>Enslaved Scout / Batedor Escravizado</t>
        </is>
      </c>
      <c r="B963" s="13" t="inlineStr">
        <is>
          <t>Creature — Goblin Scout</t>
        </is>
      </c>
      <c r="C963" s="13" t="inlineStr">
        <is>
          <t>Common / Comum</t>
        </is>
      </c>
      <c r="D963" s="13" t="inlineStr">
        <is>
          <t>{2}: This creature gains mountainwalk until end of turn. (It can't be blocked as long as defending player controls a Mountain.)</t>
        </is>
      </c>
      <c r="E963" s="13" t="inlineStr">
        <is>
          <t>{2}{R}</t>
        </is>
      </c>
      <c r="F963" s="13" t="inlineStr">
        <is>
          <t>Vermelho</t>
        </is>
      </c>
      <c r="G963" s="8" t="n">
        <v>0.09</v>
      </c>
      <c r="H963" s="13" t="inlineStr">
        <is>
          <t>Alliances (ALL)</t>
        </is>
      </c>
      <c r="I963" s="13" t="inlineStr">
        <is>
          <t>Não</t>
        </is>
      </c>
      <c r="J963" s="13" t="n">
        <v>1996</v>
      </c>
      <c r="K963" s="10" t="n">
        <v>46055</v>
      </c>
      <c r="L963" s="13" t="n">
        <v>1</v>
      </c>
      <c r="M963" s="8">
        <f>L963*G963</f>
        <v/>
      </c>
      <c r="P963" s="9" t="n"/>
    </row>
    <row r="964">
      <c r="A964" s="13" t="inlineStr">
        <is>
          <t>Ensopar os Coelhos / Stew the Cones</t>
        </is>
      </c>
      <c r="B964" s="13" t="inlineStr">
        <is>
          <t>Mágica Instantânea</t>
        </is>
      </c>
      <c r="C964" s="13" t="inlineStr">
        <is>
          <t>Incomum</t>
        </is>
      </c>
      <c r="D964" s="13" t="inlineStr">
        <is>
          <t>A criatura alvo que você controla causa dano igual ao seu poder à criatura alvo que você não controla. Crie uma ficha de Comida.</t>
        </is>
      </c>
      <c r="E964" s="13" t="inlineStr">
        <is>
          <t>2{G}</t>
        </is>
      </c>
      <c r="F964" s="13" t="inlineStr">
        <is>
          <t>Verde</t>
        </is>
      </c>
      <c r="G964" s="8" t="n">
        <v>0.18</v>
      </c>
      <c r="H964" s="13" t="inlineStr">
        <is>
          <t>The Lord of the Rings: Tales of Middle-earth (LTR)</t>
        </is>
      </c>
      <c r="I964" s="13" t="inlineStr">
        <is>
          <t>Não</t>
        </is>
      </c>
      <c r="J964" s="13" t="n">
        <v>2023</v>
      </c>
      <c r="L964" s="13" t="n">
        <v>1</v>
      </c>
      <c r="M964" s="8">
        <f>L964*G964</f>
        <v/>
      </c>
      <c r="P964" s="9" t="n"/>
    </row>
    <row r="965">
      <c r="A965" s="13" t="inlineStr">
        <is>
          <t>Enter the Avatar State</t>
        </is>
      </c>
      <c r="B965" s="13" t="inlineStr">
        <is>
          <t>Instant — Lesson</t>
        </is>
      </c>
      <c r="C965" s="13" t="inlineStr">
        <is>
          <t>Uncommon / Incomum</t>
        </is>
      </c>
      <c r="D965" s="13" t="inlineStr">
        <is>
          <t>Until end of turn, target creature you control becomes an Avatar in addition to its other types and gains flying, first strike, lifelink, and hexproof. (A creature with hexproof can't be the target of spells or abilities your opponents control.)</t>
        </is>
      </c>
      <c r="E965" s="13" t="inlineStr">
        <is>
          <t>{W}</t>
        </is>
      </c>
      <c r="F965" s="13" t="inlineStr">
        <is>
          <t>Branco</t>
        </is>
      </c>
      <c r="G965" s="8" t="n">
        <v>0.25</v>
      </c>
      <c r="H965" s="13" t="inlineStr">
        <is>
          <t>Avatar: The Last Airbender (TLA)</t>
        </is>
      </c>
      <c r="I965" s="13" t="inlineStr">
        <is>
          <t>Não</t>
        </is>
      </c>
      <c r="J965" s="13" t="n">
        <v>2025</v>
      </c>
      <c r="L965" s="13" t="n">
        <v>1</v>
      </c>
      <c r="M965" s="8">
        <f>L965*G965</f>
        <v/>
      </c>
      <c r="P965" s="9" t="n"/>
    </row>
    <row r="966">
      <c r="A966" s="13" t="inlineStr">
        <is>
          <t>Enter the Enigma</t>
        </is>
      </c>
      <c r="B966" s="13" t="inlineStr">
        <is>
          <t>Sorcery</t>
        </is>
      </c>
      <c r="C966" s="13" t="inlineStr">
        <is>
          <t>Common / Comum</t>
        </is>
      </c>
      <c r="D966" s="13" t="inlineStr">
        <is>
          <t>Target creature can't be blocked this turn. Draw a card.</t>
        </is>
      </c>
      <c r="E966" s="13" t="inlineStr">
        <is>
          <t>{U}</t>
        </is>
      </c>
      <c r="F966" s="13" t="inlineStr">
        <is>
          <t>Azul</t>
        </is>
      </c>
      <c r="G966" s="8" t="n">
        <v>0.19</v>
      </c>
      <c r="H966" s="13" t="inlineStr">
        <is>
          <t>Duskmourn: House of Horror (DSK)</t>
        </is>
      </c>
      <c r="I966" s="13" t="inlineStr">
        <is>
          <t>Não</t>
        </is>
      </c>
      <c r="J966" s="13" t="n">
        <v>2024</v>
      </c>
      <c r="L966" s="13" t="n">
        <v>1</v>
      </c>
      <c r="M966" s="8">
        <f>L966*G966</f>
        <v/>
      </c>
      <c r="P966" s="9" t="n"/>
    </row>
    <row r="967">
      <c r="A967" s="13" t="inlineStr">
        <is>
          <t>Entomber Exarch / Exarca Tumbeiro</t>
        </is>
      </c>
      <c r="B967" s="13" t="inlineStr">
        <is>
          <t>Creature — Phyrexian Cleric / Criatura — Clérigo</t>
        </is>
      </c>
      <c r="C967" s="13" t="inlineStr">
        <is>
          <t>Uncommon / Incomum</t>
        </is>
      </c>
      <c r="D967" s="13"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967" s="13" t="inlineStr">
        <is>
          <t>{2}{B}{B}</t>
        </is>
      </c>
      <c r="F967" s="13" t="inlineStr">
        <is>
          <t>Preto</t>
        </is>
      </c>
      <c r="G967" s="8" t="n">
        <v>0.1</v>
      </c>
      <c r="H967" s="13" t="inlineStr">
        <is>
          <t>Jumpstart (JMP)</t>
        </is>
      </c>
      <c r="I967" s="13" t="inlineStr">
        <is>
          <t>Não</t>
        </is>
      </c>
      <c r="J967" s="13" t="n">
        <v>2020</v>
      </c>
      <c r="K967" s="10" t="n">
        <v>46055</v>
      </c>
      <c r="L967" s="13" t="n">
        <v>1</v>
      </c>
      <c r="M967" s="8">
        <f>L967*G967</f>
        <v/>
      </c>
      <c r="P967" s="9" t="n"/>
    </row>
    <row r="968">
      <c r="A968" s="13" t="inlineStr">
        <is>
          <t>Entregar ao Pó</t>
        </is>
      </c>
      <c r="B968" s="13" t="inlineStr">
        <is>
          <t>Mágica Instantânea</t>
        </is>
      </c>
      <c r="C968" s="13" t="inlineStr">
        <is>
          <t>Incomum</t>
        </is>
      </c>
      <c r="D968" s="13" t="inlineStr">
        <is>
          <t>Esforço — Entregar ao Pó custa 2G a mais para ser conjurado para cada alvo além do primeiro. Destrua qualquer número de artefatos e/ou encantamentos alvo.</t>
        </is>
      </c>
      <c r="E968" s="13" t="inlineStr">
        <is>
          <t>2G</t>
        </is>
      </c>
      <c r="F968" s="13" t="inlineStr">
        <is>
          <t>Verde</t>
        </is>
      </c>
      <c r="G968" s="8" t="n">
        <v>0.05</v>
      </c>
      <c r="H968" s="13" t="inlineStr">
        <is>
          <t>Journey into Nyx</t>
        </is>
      </c>
      <c r="I968" s="13" t="inlineStr">
        <is>
          <t>Não</t>
        </is>
      </c>
      <c r="J968" s="13" t="n">
        <v>2014</v>
      </c>
      <c r="L968" s="13" t="n">
        <v>1</v>
      </c>
      <c r="M968" s="8">
        <f>L968*G968</f>
        <v/>
      </c>
      <c r="P968" s="9" t="n"/>
    </row>
    <row r="969">
      <c r="A969" s="13" t="inlineStr">
        <is>
          <t>Entropic Battlecruiser / Cruzador de Batalha Entrópico</t>
        </is>
      </c>
      <c r="B969" s="13" t="inlineStr">
        <is>
          <t>Artefato — Nave Espacial</t>
        </is>
      </c>
      <c r="C969" s="13" t="inlineStr">
        <is>
          <t>Rara</t>
        </is>
      </c>
      <c r="D969" s="13"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969" s="13" t="inlineStr">
        <is>
          <t>3{B}</t>
        </is>
      </c>
      <c r="F969" s="13" t="inlineStr">
        <is>
          <t>Preto</t>
        </is>
      </c>
      <c r="G969" s="8" t="n">
        <v>0.44</v>
      </c>
      <c r="H969" s="13" t="inlineStr">
        <is>
          <t>Edge of Eternity</t>
        </is>
      </c>
      <c r="I969" s="13" t="inlineStr">
        <is>
          <t>Não</t>
        </is>
      </c>
      <c r="J969" s="13" t="n">
        <v>2025</v>
      </c>
      <c r="K969" s="10" t="n">
        <v>46298</v>
      </c>
      <c r="L969" s="13" t="n">
        <v>1</v>
      </c>
      <c r="M969" s="8">
        <f>L969*G969</f>
        <v/>
      </c>
      <c r="P969" s="9" t="n"/>
    </row>
    <row r="970">
      <c r="A970" s="13" t="inlineStr">
        <is>
          <t>Environmental Scientist / Cientista Ambiental</t>
        </is>
      </c>
      <c r="B970" s="13" t="inlineStr">
        <is>
          <t>Creature — Human Druid / Criatura — Humano Druida</t>
        </is>
      </c>
      <c r="C970" s="13" t="inlineStr">
        <is>
          <t>Uncommon / Incomum</t>
        </is>
      </c>
      <c r="D970" s="13"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970" s="13" t="inlineStr">
        <is>
          <t>{1}{G}</t>
        </is>
      </c>
      <c r="F970" s="13" t="inlineStr">
        <is>
          <t>Verde</t>
        </is>
      </c>
      <c r="G970" s="8" t="n">
        <v>0.17</v>
      </c>
      <c r="H970" s="13" t="inlineStr">
        <is>
          <t>Shadows of Sothia (SOS)</t>
        </is>
      </c>
      <c r="I970" s="13" t="inlineStr">
        <is>
          <t>No</t>
        </is>
      </c>
      <c r="J970" s="13" t="n">
        <v>2026</v>
      </c>
      <c r="K970" s="10" t="n">
        <v>46055</v>
      </c>
      <c r="L970" s="13" t="n">
        <v>1</v>
      </c>
      <c r="M970" s="8">
        <f>L970*G970</f>
        <v/>
      </c>
      <c r="P970" s="9" t="n"/>
    </row>
    <row r="971">
      <c r="A971" s="13" t="inlineStr">
        <is>
          <t>Éomer da Marca dos Cavaleiros / Éomer of the Riddermark</t>
        </is>
      </c>
      <c r="B971" s="13" t="inlineStr">
        <is>
          <t>Criatura Lendária — Humano Cavaleiro</t>
        </is>
      </c>
      <c r="C971" s="13" t="inlineStr">
        <is>
          <t>Incomum</t>
        </is>
      </c>
      <c r="D971" s="13" t="inlineStr">
        <is>
          <t>Ímpeto. Toda vez que Éomer da Marca dos Cavaleiros atacar, se você controlar uma criatura com o maior poder entre as criaturas no campo de batalha, crie uma ficha de criatura Humano Soldado branca 1/1.</t>
        </is>
      </c>
      <c r="E971" s="13" t="inlineStr">
        <is>
          <t>4{R}</t>
        </is>
      </c>
      <c r="F971" s="13" t="inlineStr">
        <is>
          <t>Vermelho</t>
        </is>
      </c>
      <c r="G971" s="8" t="n">
        <v>0.2</v>
      </c>
      <c r="H971" s="13" t="inlineStr">
        <is>
          <t>The Lord of the Rings: Tales of Middle-earth (LTR)</t>
        </is>
      </c>
      <c r="I971" s="13" t="inlineStr">
        <is>
          <t>Não</t>
        </is>
      </c>
      <c r="J971" s="13" t="n">
        <v>2023</v>
      </c>
      <c r="K971" s="10" t="n">
        <v>46117</v>
      </c>
      <c r="L971" s="13" t="n">
        <v>1</v>
      </c>
      <c r="M971" s="8">
        <f>L971*G971</f>
        <v/>
      </c>
      <c r="P971" s="9" t="n"/>
    </row>
    <row r="972">
      <c r="A972" s="13" t="inlineStr">
        <is>
          <t>Éowyn, Lady of Rohan / Éowyn, Senhora de Rohan</t>
        </is>
      </c>
      <c r="B972" s="13" t="inlineStr">
        <is>
          <t>Legendary Creature — Human Noble / Criatura Lendária — Humano Nobre</t>
        </is>
      </c>
      <c r="C972" s="13" t="inlineStr">
        <is>
          <t>Uncommon / Incomum</t>
        </is>
      </c>
      <c r="D972" s="13"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72" s="13" t="inlineStr">
        <is>
          <t>{2}{W}</t>
        </is>
      </c>
      <c r="F972" s="13" t="inlineStr">
        <is>
          <t>Branco</t>
        </is>
      </c>
      <c r="G972" s="8" t="n">
        <v>0.25</v>
      </c>
      <c r="H972" s="13" t="inlineStr">
        <is>
          <t>The Lord of the Rings: Tales of Middle-earth (LTR)</t>
        </is>
      </c>
      <c r="I972" s="13" t="inlineStr">
        <is>
          <t>Não</t>
        </is>
      </c>
      <c r="J972" s="13" t="n">
        <v>2023</v>
      </c>
      <c r="K972" s="10" t="n">
        <v>46114</v>
      </c>
      <c r="L972" s="13" t="n">
        <v>1</v>
      </c>
      <c r="M972" s="8">
        <f>L972*G972</f>
        <v/>
      </c>
      <c r="P972" s="9" t="n"/>
    </row>
    <row r="973">
      <c r="A973" s="13" t="inlineStr">
        <is>
          <t>EPF Point Squad</t>
        </is>
      </c>
      <c r="B973" s="13" t="inlineStr">
        <is>
          <t>Creature — Human Soldier</t>
        </is>
      </c>
      <c r="C973" s="13" t="inlineStr">
        <is>
          <t>Common / Comum</t>
        </is>
      </c>
      <c r="D973" s="13" t="inlineStr">
        <is>
          <t>Alliance — Whenever another creature you control enters, put a +1/+1 counter on this creature.</t>
        </is>
      </c>
      <c r="E973" s="13" t="inlineStr">
        <is>
          <t>{1}{R/W}{R/W}</t>
        </is>
      </c>
      <c r="F973" s="13" t="inlineStr">
        <is>
          <t>Vermelho, Branco</t>
        </is>
      </c>
      <c r="G973" s="8" t="n">
        <v>0.05</v>
      </c>
      <c r="H973" s="13" t="inlineStr">
        <is>
          <t>Teenage Mutant Ninja Turtles (TMT)</t>
        </is>
      </c>
      <c r="I973" s="13" t="inlineStr">
        <is>
          <t>Não</t>
        </is>
      </c>
      <c r="J973" s="13" t="n">
        <v>2026</v>
      </c>
      <c r="K973" s="10" t="n">
        <v>46024</v>
      </c>
      <c r="L973" s="13" t="n">
        <v>4</v>
      </c>
      <c r="M973" s="8">
        <f>L973*G973</f>
        <v/>
      </c>
      <c r="P973" s="9" t="n"/>
    </row>
    <row r="974">
      <c r="A974" s="13" t="inlineStr">
        <is>
          <t>Era of Enlightenment // Hand of Enlightenment / Era da Iluminação // Mão da Iluminação</t>
        </is>
      </c>
      <c r="B974" s="13" t="inlineStr">
        <is>
          <t>Enchantment — Saga // Enchantment Creature — Human Monk / Encantamento — Saga</t>
        </is>
      </c>
      <c r="C974" s="13" t="inlineStr">
        <is>
          <t>Common / Comum</t>
        </is>
      </c>
      <c r="D974" s="13"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974" s="13" t="inlineStr">
        <is>
          <t>{1}{W}</t>
        </is>
      </c>
      <c r="F974" s="13" t="inlineStr">
        <is>
          <t>Branco</t>
        </is>
      </c>
      <c r="G974" s="8" t="n">
        <v>0.06</v>
      </c>
      <c r="H974" s="13" t="inlineStr">
        <is>
          <t>Kamigawa: Neon Dynasty (NEO)</t>
        </is>
      </c>
      <c r="I974" s="13" t="inlineStr">
        <is>
          <t>Não</t>
        </is>
      </c>
      <c r="J974" s="13" t="n">
        <v>2022</v>
      </c>
      <c r="K974" s="10" t="n">
        <v>46055</v>
      </c>
      <c r="L974" s="13" t="n">
        <v>1</v>
      </c>
      <c r="M974" s="8">
        <f>L974*G974</f>
        <v/>
      </c>
      <c r="P974" s="9" t="n"/>
    </row>
    <row r="975">
      <c r="A975" s="13" t="inlineStr">
        <is>
          <t>Erg Raiders / Salteadores do Deserto</t>
        </is>
      </c>
      <c r="B975" s="13" t="inlineStr">
        <is>
          <t>Creature — Human Warrior</t>
        </is>
      </c>
      <c r="C975" s="13" t="inlineStr">
        <is>
          <t>Common / Comum</t>
        </is>
      </c>
      <c r="D975" s="13" t="inlineStr">
        <is>
          <t>At the beginning of your end step, if this creature didn't attack this turn, it deals 2 damage to you unless it came under your control this turn.</t>
        </is>
      </c>
      <c r="E975" s="13" t="inlineStr">
        <is>
          <t>{1}{B}</t>
        </is>
      </c>
      <c r="F975" s="13" t="inlineStr">
        <is>
          <t>Preto</t>
        </is>
      </c>
      <c r="G975" s="8" t="n">
        <v>0.09</v>
      </c>
      <c r="H975" s="13" t="inlineStr">
        <is>
          <t>Fourth Edition</t>
        </is>
      </c>
      <c r="I975" s="13" t="inlineStr">
        <is>
          <t>Não</t>
        </is>
      </c>
      <c r="J975" s="13" t="n">
        <v>1995</v>
      </c>
      <c r="K975" s="10" t="n">
        <v>46083</v>
      </c>
      <c r="L975" s="13" t="n">
        <v>4</v>
      </c>
      <c r="M975" s="8">
        <f>L975*G975</f>
        <v/>
      </c>
      <c r="P975" s="9" t="n"/>
    </row>
    <row r="976">
      <c r="A976" s="13" t="inlineStr">
        <is>
          <t>Erg Raiders / Salteadores do Deserto</t>
        </is>
      </c>
      <c r="B976" s="13" t="inlineStr">
        <is>
          <t>Creature — Human Warrior</t>
        </is>
      </c>
      <c r="C976" s="13" t="inlineStr">
        <is>
          <t>Common / Comum</t>
        </is>
      </c>
      <c r="D976" s="13" t="inlineStr">
        <is>
          <t>At the beginning of your end step, if this creature didn't attack this turn, it deals 2 damage to you unless it came under your control this turn.</t>
        </is>
      </c>
      <c r="E976" s="13" t="inlineStr">
        <is>
          <t>{1}{B}</t>
        </is>
      </c>
      <c r="F976" s="13" t="inlineStr">
        <is>
          <t>Preto</t>
        </is>
      </c>
      <c r="G976" s="8" t="n">
        <v>0.14</v>
      </c>
      <c r="H976" s="13" t="inlineStr">
        <is>
          <t>Fourth Edition (BB)</t>
        </is>
      </c>
      <c r="I976" s="13" t="inlineStr">
        <is>
          <t>Não</t>
        </is>
      </c>
      <c r="J976" s="13" t="n">
        <v>1995</v>
      </c>
      <c r="K976" s="10" t="n">
        <v>46083</v>
      </c>
      <c r="L976" s="13" t="n">
        <v>2</v>
      </c>
      <c r="M976" s="8">
        <f>L976*G976</f>
        <v/>
      </c>
      <c r="P976" s="9" t="n"/>
    </row>
    <row r="977">
      <c r="A977" s="13" t="inlineStr">
        <is>
          <t>Erg Raiders / Salteadores do Deserto</t>
        </is>
      </c>
      <c r="B977" s="13" t="inlineStr">
        <is>
          <t>Creature — Human Warrior</t>
        </is>
      </c>
      <c r="C977" s="13" t="inlineStr">
        <is>
          <t>Common / Comum</t>
        </is>
      </c>
      <c r="D977" s="13" t="inlineStr">
        <is>
          <t>At the beginning of your end step, if this creature didn't attack this turn, it deals 2 damage to you unless it came under your control this turn.</t>
        </is>
      </c>
      <c r="E977" s="13" t="inlineStr">
        <is>
          <t>{1}{B}</t>
        </is>
      </c>
      <c r="F977" s="13" t="inlineStr">
        <is>
          <t>Preto</t>
        </is>
      </c>
      <c r="G977" s="8" t="n">
        <v>0.2</v>
      </c>
      <c r="H977" s="13" t="inlineStr">
        <is>
          <t>Revised Edition</t>
        </is>
      </c>
      <c r="I977" s="13" t="inlineStr">
        <is>
          <t>Não</t>
        </is>
      </c>
      <c r="J977" s="13" t="n">
        <v>1994</v>
      </c>
      <c r="K977" s="10" t="n">
        <v>46083</v>
      </c>
      <c r="L977" s="13" t="n">
        <v>1</v>
      </c>
      <c r="M977" s="8">
        <f>L977*G977</f>
        <v/>
      </c>
      <c r="P977" s="9" t="n"/>
    </row>
    <row r="978">
      <c r="A978" s="13" t="inlineStr">
        <is>
          <t>Errand-Rider of Gondor / Estafeta de Gondor</t>
        </is>
      </c>
      <c r="B978" s="13" t="inlineStr">
        <is>
          <t>Creature — Human Soldier / Criatura — Humano Soldado</t>
        </is>
      </c>
      <c r="C978" s="13" t="inlineStr">
        <is>
          <t>Common / Comum</t>
        </is>
      </c>
      <c r="D978" s="13"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78" s="13" t="inlineStr">
        <is>
          <t>{2}{W}</t>
        </is>
      </c>
      <c r="F978" s="13" t="inlineStr">
        <is>
          <t>Branco</t>
        </is>
      </c>
      <c r="G978" s="8" t="n">
        <v>0.08</v>
      </c>
      <c r="H978" s="13" t="inlineStr">
        <is>
          <t>The Lord of the Rings: Tales of Middle-earth (LTR)</t>
        </is>
      </c>
      <c r="I978" s="13" t="inlineStr">
        <is>
          <t>Não</t>
        </is>
      </c>
      <c r="J978" s="13" t="n">
        <v>2023</v>
      </c>
      <c r="K978" s="10" t="n">
        <v>46056</v>
      </c>
      <c r="L978" s="13" t="n">
        <v>1</v>
      </c>
      <c r="M978" s="8">
        <f>L978*G978</f>
        <v/>
      </c>
      <c r="P978" s="9" t="n"/>
    </row>
    <row r="979">
      <c r="A979" s="13" t="inlineStr">
        <is>
          <t>Errant Doomsayers / Áugure do Infortúnio Errante</t>
        </is>
      </c>
      <c r="B979" s="13" t="inlineStr">
        <is>
          <t>Creature — Human Rebel / Criatura — Humano Rebelde</t>
        </is>
      </c>
      <c r="C979" s="13" t="inlineStr">
        <is>
          <t>Common / Comum</t>
        </is>
      </c>
      <c r="D979" s="13" t="inlineStr">
        <is>
          <t>{T}: Tap target creature with toughness 2 or less. / {T}: Vire a criatura alvo com resistência igual ou inferior a 2.</t>
        </is>
      </c>
      <c r="E979" s="13" t="inlineStr">
        <is>
          <t>{1}{W}</t>
        </is>
      </c>
      <c r="F979" s="13" t="inlineStr">
        <is>
          <t>Branco</t>
        </is>
      </c>
      <c r="G979" s="8" t="n">
        <v>0.06</v>
      </c>
      <c r="H979" s="13" t="inlineStr">
        <is>
          <t>Time Spiral Remastered (TSR)</t>
        </is>
      </c>
      <c r="I979" s="13" t="inlineStr">
        <is>
          <t>Não</t>
        </is>
      </c>
      <c r="J979" s="13" t="n">
        <v>2021</v>
      </c>
      <c r="K979" s="10" t="n">
        <v>46023</v>
      </c>
      <c r="L979" s="13" t="n">
        <v>1</v>
      </c>
      <c r="M979" s="8">
        <f>L979*G979</f>
        <v/>
      </c>
      <c r="N979" s="13" t="inlineStr">
        <is>
          <t>Bulk Shopee</t>
        </is>
      </c>
      <c r="P979" s="9" t="n"/>
    </row>
    <row r="980">
      <c r="A980" s="13" t="inlineStr">
        <is>
          <t>Errantry / Peregrinação</t>
        </is>
      </c>
      <c r="B980" s="13" t="inlineStr">
        <is>
          <t>Enchantment — Aura</t>
        </is>
      </c>
      <c r="C980" s="13" t="inlineStr">
        <is>
          <t>Common / Comum</t>
        </is>
      </c>
      <c r="D980" s="13" t="inlineStr">
        <is>
          <t>Enchant creature Enchanted creature gets +3/+0 and can only attack alone.</t>
        </is>
      </c>
      <c r="E980" s="13" t="inlineStr">
        <is>
          <t>{1}{R}</t>
        </is>
      </c>
      <c r="F980" s="13" t="inlineStr">
        <is>
          <t>Vermelho</t>
        </is>
      </c>
      <c r="G980" s="8" t="n">
        <v>0.08</v>
      </c>
      <c r="H980" s="13" t="inlineStr">
        <is>
          <t>Ice Age (ICE)</t>
        </is>
      </c>
      <c r="I980" s="13" t="inlineStr">
        <is>
          <t>Não</t>
        </is>
      </c>
      <c r="J980" s="13" t="n">
        <v>1995</v>
      </c>
      <c r="L980" s="13" t="n">
        <v>3</v>
      </c>
      <c r="M980" s="8">
        <f>L980*G980</f>
        <v/>
      </c>
      <c r="P980" s="9" t="n"/>
    </row>
    <row r="981">
      <c r="A981" s="13" t="inlineStr">
        <is>
          <t>Erratic Apparition</t>
        </is>
      </c>
      <c r="B981" s="13" t="inlineStr">
        <is>
          <t>Creature — Spirit</t>
        </is>
      </c>
      <c r="C981" s="13" t="inlineStr">
        <is>
          <t>Common / Comum</t>
        </is>
      </c>
      <c r="D981" s="13" t="inlineStr">
        <is>
          <t>Flying, vigilance Eerie — Whenever an enchantment you control enters and whenever you fully unlock a Room, this creature gets +1/+1 until end of turn.</t>
        </is>
      </c>
      <c r="E981" s="13" t="inlineStr">
        <is>
          <t>{2}{U}</t>
        </is>
      </c>
      <c r="F981" s="13" t="inlineStr">
        <is>
          <t>Azul</t>
        </is>
      </c>
      <c r="G981" s="8" t="n">
        <v>0.05</v>
      </c>
      <c r="H981" s="13" t="inlineStr">
        <is>
          <t>Duskmourn: House of Horror (DSK)</t>
        </is>
      </c>
      <c r="I981" s="13" t="inlineStr">
        <is>
          <t>Não</t>
        </is>
      </c>
      <c r="J981" s="13" t="n">
        <v>2024</v>
      </c>
      <c r="K981" s="10" t="n">
        <v>46082</v>
      </c>
      <c r="L981" s="13" t="n">
        <v>1</v>
      </c>
      <c r="M981" s="8">
        <f>L981*G981</f>
        <v/>
      </c>
      <c r="P981" s="9" t="n"/>
    </row>
    <row r="982">
      <c r="A982" s="13" t="inlineStr">
        <is>
          <t>Ertai's Scorn / Escárnio de Ertai</t>
        </is>
      </c>
      <c r="B982" s="13" t="inlineStr">
        <is>
          <t>Instant / Mágica Instantânea</t>
        </is>
      </c>
      <c r="C982" s="13" t="inlineStr">
        <is>
          <t>Uncommon / Incomum</t>
        </is>
      </c>
      <c r="D982" s="13" t="inlineStr">
        <is>
          <t>This spell costs {U} less to cast if an opponent cast two or more spells this turn. Counter target spell. / Esta mágica custa {U} a menos para ser conjurada se um oponente conjurou duas ou mais mágicas neste turno. Anule a mágica alvo.</t>
        </is>
      </c>
      <c r="E982" s="13" t="inlineStr">
        <is>
          <t>{1}{U}{U}</t>
        </is>
      </c>
      <c r="F982" s="13" t="inlineStr">
        <is>
          <t>Azul</t>
        </is>
      </c>
      <c r="G982" s="8" t="n">
        <v>0.1</v>
      </c>
      <c r="H982" s="13" t="inlineStr">
        <is>
          <t>Dominaria United (DMU)</t>
        </is>
      </c>
      <c r="I982" s="13" t="inlineStr">
        <is>
          <t>Não</t>
        </is>
      </c>
      <c r="J982" s="13" t="n">
        <v>2022</v>
      </c>
      <c r="L982" s="13" t="n">
        <v>1</v>
      </c>
      <c r="M982" s="8">
        <f>L982*G982</f>
        <v/>
      </c>
      <c r="P982" s="9" t="n"/>
    </row>
    <row r="983">
      <c r="A983" s="13" t="inlineStr">
        <is>
          <t>Escape from Orthanc / Fuga de Orthanc</t>
        </is>
      </c>
      <c r="B983" s="13" t="inlineStr">
        <is>
          <t>Instant / Mágica Instantânea</t>
        </is>
      </c>
      <c r="C983" s="13" t="inlineStr">
        <is>
          <t>Common / Comum</t>
        </is>
      </c>
      <c r="D983" s="13" t="inlineStr">
        <is>
          <t>Target creature gets +1/+3 and gains flying until end of turn. Untap it. / A criatura alvo recebe +1/+3 e ganha voar até o final do turno. Desvire-a.</t>
        </is>
      </c>
      <c r="E983" s="13" t="inlineStr">
        <is>
          <t>{W}</t>
        </is>
      </c>
      <c r="F983" s="13" t="inlineStr">
        <is>
          <t>Branco</t>
        </is>
      </c>
      <c r="G983" s="8" t="n">
        <v>0.09</v>
      </c>
      <c r="H983" s="13" t="inlineStr">
        <is>
          <t>The Lord of the Rings: Tales of Middle-earth (LTR)</t>
        </is>
      </c>
      <c r="I983" s="13" t="inlineStr">
        <is>
          <t>Não</t>
        </is>
      </c>
      <c r="J983" s="13" t="n">
        <v>2023</v>
      </c>
      <c r="L983" s="13" t="n">
        <v>1</v>
      </c>
      <c r="M983" s="8">
        <f>L983*G983</f>
        <v/>
      </c>
      <c r="P983" s="9" t="n"/>
    </row>
    <row r="984">
      <c r="A984" s="13" t="inlineStr">
        <is>
          <t>Escape Tunnel / Túnel de Fuga</t>
        </is>
      </c>
      <c r="B984" s="13" t="inlineStr">
        <is>
          <t>Land / Terreno</t>
        </is>
      </c>
      <c r="C984" s="13" t="inlineStr">
        <is>
          <t>Common / Comum</t>
        </is>
      </c>
      <c r="D984" s="13"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984" s="13" t="inlineStr">
        <is>
          <t>Incolor</t>
        </is>
      </c>
      <c r="G984" s="8" t="n">
        <v>0.24</v>
      </c>
      <c r="H984" s="13" t="inlineStr">
        <is>
          <t>Teenage Mutant Ninja Turtles (TMT)</t>
        </is>
      </c>
      <c r="I984" s="13" t="inlineStr">
        <is>
          <t>Não</t>
        </is>
      </c>
      <c r="J984" s="13" t="n">
        <v>2026</v>
      </c>
      <c r="L984" s="13" t="n">
        <v>1</v>
      </c>
      <c r="M984" s="8">
        <f>L984*G984</f>
        <v/>
      </c>
      <c r="P984" s="9" t="n"/>
    </row>
    <row r="985">
      <c r="A985" s="13" t="inlineStr">
        <is>
          <t>Escape Tunnel / Túnel de Fuga</t>
        </is>
      </c>
      <c r="B985" s="13" t="inlineStr">
        <is>
          <t>Land / Terreno</t>
        </is>
      </c>
      <c r="C985" s="13" t="inlineStr">
        <is>
          <t>Common / Comum</t>
        </is>
      </c>
      <c r="D985" s="13"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985" s="13" t="inlineStr">
        <is>
          <t>Incolor</t>
        </is>
      </c>
      <c r="G985" s="8" t="n">
        <v>0.34</v>
      </c>
      <c r="H985" s="13" t="inlineStr">
        <is>
          <t>Teenage Mutant Ninja Turtles (TMT)</t>
        </is>
      </c>
      <c r="I985" s="13" t="inlineStr">
        <is>
          <t>Sim</t>
        </is>
      </c>
      <c r="J985" s="13" t="n">
        <v>2026</v>
      </c>
      <c r="L985" s="13" t="n">
        <v>1</v>
      </c>
      <c r="M985" s="8">
        <f>L985*G985</f>
        <v/>
      </c>
      <c r="P985" s="9" t="n"/>
    </row>
    <row r="986">
      <c r="A986" s="13" t="inlineStr">
        <is>
          <t>Escudo Urrador / Screaming Shield</t>
        </is>
      </c>
      <c r="B986" s="13" t="inlineStr">
        <is>
          <t>Artefato — Equipamento</t>
        </is>
      </c>
      <c r="C986" s="13" t="inlineStr">
        <is>
          <t>Incomum</t>
        </is>
      </c>
      <c r="D986" s="13" t="inlineStr">
        <is>
          <t>A criatura equipada recebe +0/+3 e tem "{2}, {T}: O jogador alvo coloca os três cards do topo do próprio grimório no próprio cemitério." Equipar {3} ({3}: Anexe-o à criatura alvo que você controla. Equipe somente como um feitiço.)</t>
        </is>
      </c>
      <c r="E986" s="13" t="inlineStr">
        <is>
          <t>{1}</t>
        </is>
      </c>
      <c r="F986" s="13" t="inlineStr">
        <is>
          <t>Incolor</t>
        </is>
      </c>
      <c r="G986" s="8" t="n">
        <v>0.06</v>
      </c>
      <c r="H986" s="13" t="inlineStr">
        <is>
          <t>Ravnica Allegiance (RNA)</t>
        </is>
      </c>
      <c r="I986" s="13" t="inlineStr">
        <is>
          <t>Não</t>
        </is>
      </c>
      <c r="J986" s="13" t="n">
        <v>2019</v>
      </c>
      <c r="L986" s="13" t="n">
        <v>4</v>
      </c>
      <c r="M986" s="8">
        <f>L986*G986</f>
        <v/>
      </c>
      <c r="P986" s="9" t="n"/>
    </row>
    <row r="987">
      <c r="A987" s="13" t="inlineStr">
        <is>
          <t>Esfera Mnemônica / Mnemonics Sphere</t>
        </is>
      </c>
      <c r="B987" s="13" t="inlineStr">
        <is>
          <t>Artefato / Artifact</t>
        </is>
      </c>
      <c r="C987" s="13" t="inlineStr">
        <is>
          <t>Comum / Common</t>
        </is>
      </c>
      <c r="D987" s="13" t="inlineStr">
        <is>
          <t>{1}{U}, sacrifique Esfera Mnemônica: Compre dois cards. Canalizar — {U}, descarte Esfera Mnemônica: Compre um card. / {1}{U}, Sacrifice Mnemonics Sphere: Draw two cards. Channel — {U}, Discard Mnemonics Sphere: Draw a card.</t>
        </is>
      </c>
      <c r="E987" s="13" t="inlineStr">
        <is>
          <t>{1}{U}</t>
        </is>
      </c>
      <c r="F987" s="13" t="inlineStr">
        <is>
          <t>Azul</t>
        </is>
      </c>
      <c r="G987" s="8" t="n">
        <v>0.06</v>
      </c>
      <c r="H987" s="13" t="inlineStr">
        <is>
          <t>Kamigawa: Neon Dynasty (NEO)</t>
        </is>
      </c>
      <c r="I987" s="13" t="inlineStr">
        <is>
          <t>Não</t>
        </is>
      </c>
      <c r="J987" s="13" t="n">
        <v>2022</v>
      </c>
      <c r="L987" s="13" t="n">
        <v>1</v>
      </c>
      <c r="M987" s="8">
        <f>L987*G987</f>
        <v/>
      </c>
      <c r="P987" s="9" t="n"/>
    </row>
    <row r="988">
      <c r="A988" s="13" t="inlineStr">
        <is>
          <t>Esguicho de Magma</t>
        </is>
      </c>
      <c r="B988" s="13" t="inlineStr">
        <is>
          <t>Mágica Instantânea</t>
        </is>
      </c>
      <c r="C988" s="13" t="inlineStr">
        <is>
          <t>Comum</t>
        </is>
      </c>
      <c r="D988" s="13" t="inlineStr">
        <is>
          <t>Esguicho de Magma causa 2 pontos de dano à criatura alvo. Se aquela criatura for morrer neste turno, em vez disso, exile-a.</t>
        </is>
      </c>
      <c r="E988" s="13" t="inlineStr">
        <is>
          <t>R</t>
        </is>
      </c>
      <c r="F988" s="13" t="inlineStr">
        <is>
          <t>Vermelha</t>
        </is>
      </c>
      <c r="G988" s="8" t="n">
        <v>0.05</v>
      </c>
      <c r="H988" s="13" t="inlineStr">
        <is>
          <t>Journey into Nyx</t>
        </is>
      </c>
      <c r="I988" s="13" t="inlineStr">
        <is>
          <t>Não</t>
        </is>
      </c>
      <c r="J988" s="13" t="n">
        <v>2014</v>
      </c>
      <c r="L988" s="13" t="n">
        <v>3</v>
      </c>
      <c r="M988" s="8">
        <f>L988*G988</f>
        <v/>
      </c>
      <c r="P988" s="9" t="n"/>
    </row>
    <row r="989">
      <c r="A989" s="13" t="inlineStr">
        <is>
          <t>Esguicho de Magma / Magma Spray</t>
        </is>
      </c>
      <c r="B989" s="13" t="inlineStr">
        <is>
          <t>Mágica Instantânea / Instant</t>
        </is>
      </c>
      <c r="C989" s="13" t="inlineStr">
        <is>
          <t>Comum / Common</t>
        </is>
      </c>
      <c r="D989" s="13" t="inlineStr">
        <is>
          <t>Esguicho de Magma causa 2 pontos de dano à criatura alvo. Se aquela criatura for morrer neste turno, em vez disso, exile-a. / Magma Spray deals 2 damage to target creature. If that creature would die this turn, exile it instead.</t>
        </is>
      </c>
      <c r="E989" s="13" t="inlineStr">
        <is>
          <t>{R}</t>
        </is>
      </c>
      <c r="F989" s="13" t="inlineStr">
        <is>
          <t>Vermelho / Red</t>
        </is>
      </c>
      <c r="G989" s="8" t="n">
        <v>0.05</v>
      </c>
      <c r="H989" s="13" t="inlineStr">
        <is>
          <t>Born of the Gods (BNG)</t>
        </is>
      </c>
      <c r="I989" s="13" t="inlineStr">
        <is>
          <t>Não</t>
        </is>
      </c>
      <c r="J989" s="13" t="n">
        <v>2014</v>
      </c>
      <c r="L989" s="13" t="n">
        <v>1</v>
      </c>
      <c r="M989" s="8">
        <f>L989*G989</f>
        <v/>
      </c>
      <c r="P989" s="9" t="n"/>
    </row>
    <row r="990">
      <c r="A990" s="13" t="inlineStr">
        <is>
          <t>Espantalho da Sucata Alada / Wingrattle Scarecrow</t>
        </is>
      </c>
      <c r="B990" s="13" t="inlineStr">
        <is>
          <t>Criatura Artefato — Espantalho</t>
        </is>
      </c>
      <c r="C990" s="13" t="inlineStr">
        <is>
          <t>Comum</t>
        </is>
      </c>
      <c r="D990" s="13"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990" s="13" t="inlineStr">
        <is>
          <t>{3}</t>
        </is>
      </c>
      <c r="F990" s="13" t="inlineStr">
        <is>
          <t>Incolor</t>
        </is>
      </c>
      <c r="G990" s="8" t="n">
        <v>0.13</v>
      </c>
      <c r="H990" s="13" t="inlineStr">
        <is>
          <t>Shadowmoor (SHM)</t>
        </is>
      </c>
      <c r="I990" s="13" t="inlineStr">
        <is>
          <t>Não</t>
        </is>
      </c>
      <c r="J990" s="13" t="n">
        <v>2008</v>
      </c>
      <c r="K990" s="10" t="n">
        <v>46055</v>
      </c>
      <c r="L990" s="13" t="n">
        <v>2</v>
      </c>
      <c r="M990" s="8">
        <f>L990*G990</f>
        <v/>
      </c>
      <c r="P990" s="9" t="n"/>
    </row>
    <row r="991">
      <c r="A991" s="13" t="inlineStr">
        <is>
          <t>Espantalho do Condado / Shire Scarecrow</t>
        </is>
      </c>
      <c r="B991" s="13" t="inlineStr">
        <is>
          <t>Criatura Artefato — Espantalho</t>
        </is>
      </c>
      <c r="C991" s="13" t="inlineStr">
        <is>
          <t>Comum</t>
        </is>
      </c>
      <c r="D991" s="13" t="inlineStr">
        <is>
          <t>Defensor. {1}: Adicione um mana de qualquer cor. Ative apenas uma vez a cada turno.</t>
        </is>
      </c>
      <c r="E991" s="13" t="n">
        <v>2</v>
      </c>
      <c r="F991" s="13" t="inlineStr">
        <is>
          <t>Incolor</t>
        </is>
      </c>
      <c r="G991" s="8" t="n">
        <v>0.05</v>
      </c>
      <c r="H991" s="13" t="inlineStr">
        <is>
          <t>The Lord of the Rings: Tales of Middle-earth (LTR)</t>
        </is>
      </c>
      <c r="I991" s="13" t="inlineStr">
        <is>
          <t>Não</t>
        </is>
      </c>
      <c r="J991" s="13" t="n">
        <v>2023</v>
      </c>
      <c r="K991" s="13" t="inlineStr">
        <is>
          <t>0/3</t>
        </is>
      </c>
      <c r="L991" s="13" t="n">
        <v>1</v>
      </c>
      <c r="M991" s="8">
        <f>L991*G991</f>
        <v/>
      </c>
      <c r="P991" s="9" t="n"/>
    </row>
    <row r="992">
      <c r="A992" s="13" t="inlineStr">
        <is>
          <t>Espantalho Sinalizador / Heraldic Banner</t>
        </is>
      </c>
      <c r="B992" s="13" t="inlineStr">
        <is>
          <t>Criatura Artefato — Espantalho</t>
        </is>
      </c>
      <c r="C992" s="13" t="inlineStr">
        <is>
          <t>Comum</t>
        </is>
      </c>
      <c r="D992" s="13" t="inlineStr">
        <is>
          <t>Vigilância, {2}: Adicione um mana de qualquer cor.</t>
        </is>
      </c>
      <c r="E992" s="13" t="inlineStr">
        <is>
          <t>{4}</t>
        </is>
      </c>
      <c r="F992" s="13" t="inlineStr">
        <is>
          <t>Incolor</t>
        </is>
      </c>
      <c r="G992" s="8" t="n">
        <v>0.05</v>
      </c>
      <c r="H992" s="13" t="inlineStr">
        <is>
          <t>Throne of Eldraine (ELD)</t>
        </is>
      </c>
      <c r="I992" s="13" t="inlineStr">
        <is>
          <t>Não</t>
        </is>
      </c>
      <c r="J992" s="13" t="n">
        <v>2019</v>
      </c>
      <c r="K992" s="10" t="n">
        <v>46114</v>
      </c>
      <c r="L992" s="13" t="n">
        <v>1</v>
      </c>
      <c r="M992" s="8">
        <f>L992*G992</f>
        <v/>
      </c>
      <c r="P992" s="9" t="n"/>
    </row>
    <row r="993">
      <c r="A993" s="13" t="inlineStr">
        <is>
          <t>Espírito Pestilento / Pestilent Spirit</t>
        </is>
      </c>
      <c r="B993" s="13" t="inlineStr">
        <is>
          <t>Criatura — Espírito / Creature — Spirit</t>
        </is>
      </c>
      <c r="C993" s="13" t="inlineStr">
        <is>
          <t>Rara / Rare</t>
        </is>
      </c>
      <c r="D993" s="13"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993" s="13" t="inlineStr">
        <is>
          <t>{2}{B}</t>
        </is>
      </c>
      <c r="F993" s="13" t="inlineStr">
        <is>
          <t>Preto</t>
        </is>
      </c>
      <c r="G993" s="8" t="n">
        <v>0.35</v>
      </c>
      <c r="H993" s="13" t="inlineStr">
        <is>
          <t>Ravnica Allegiance (RNA)</t>
        </is>
      </c>
      <c r="I993" s="13" t="inlineStr">
        <is>
          <t>Não</t>
        </is>
      </c>
      <c r="J993" s="13" t="n">
        <v>2019</v>
      </c>
      <c r="K993" s="10" t="n">
        <v>46056</v>
      </c>
      <c r="L993" s="13" t="n">
        <v>2</v>
      </c>
      <c r="M993" s="8">
        <f>L993*G993</f>
        <v/>
      </c>
      <c r="P993" s="9" t="n"/>
    </row>
    <row r="994">
      <c r="A994" s="13" t="inlineStr">
        <is>
          <t>Esqueleto do Casarão / Manor Skeleton</t>
        </is>
      </c>
      <c r="B994" s="13" t="inlineStr">
        <is>
          <t>Criatura — Esqueleto / Creature — Skeleton</t>
        </is>
      </c>
      <c r="C994" s="13" t="inlineStr">
        <is>
          <t>Comum / Common</t>
        </is>
      </c>
      <c r="D994" s="13" t="inlineStr">
        <is>
          <t>Ímpeto {1}{B}: Regenere Esqueleto do Casarão. / Haste {1}{B}: Regenerate Manor Skeleton.</t>
        </is>
      </c>
      <c r="E994" s="13" t="inlineStr">
        <is>
          <t>{1}{B}</t>
        </is>
      </c>
      <c r="F994" s="13" t="inlineStr">
        <is>
          <t>Preto / Black</t>
        </is>
      </c>
      <c r="G994" s="8" t="n">
        <v>0.06</v>
      </c>
      <c r="H994" s="13" t="inlineStr">
        <is>
          <t>Innistrad (ISD)</t>
        </is>
      </c>
      <c r="I994" s="13" t="inlineStr">
        <is>
          <t>Não</t>
        </is>
      </c>
      <c r="J994" s="13" t="n">
        <v>2011</v>
      </c>
      <c r="K994" s="10" t="n">
        <v>46023</v>
      </c>
      <c r="L994" s="13" t="n">
        <v>4</v>
      </c>
      <c r="M994" s="8">
        <f>L994*G994</f>
        <v/>
      </c>
      <c r="P994" s="9" t="n"/>
    </row>
    <row r="995">
      <c r="A995" s="13" t="inlineStr">
        <is>
          <t>Essence Capture / Captura de Essência</t>
        </is>
      </c>
      <c r="B995" s="13" t="inlineStr">
        <is>
          <t>Instant / Mágica Instantânea</t>
        </is>
      </c>
      <c r="C995" s="13" t="inlineStr">
        <is>
          <t>Uncommon / Incomum</t>
        </is>
      </c>
      <c r="D995" s="13" t="inlineStr">
        <is>
          <t>Counter target creature spell. Put a +1/+1 counter on up to one target creature you control. / Anule a mágica de criatura alvo. Coloque um marcador +1/+1 em até uma criatura alvo que você controla.</t>
        </is>
      </c>
      <c r="E995" s="13" t="inlineStr">
        <is>
          <t>{U}{U}</t>
        </is>
      </c>
      <c r="F995" s="13" t="inlineStr">
        <is>
          <t>Azul</t>
        </is>
      </c>
      <c r="G995" s="8" t="n">
        <v>0.07000000000000001</v>
      </c>
      <c r="H995" s="13" t="inlineStr">
        <is>
          <t>Ravnica Allegiance (RNA)</t>
        </is>
      </c>
      <c r="I995" s="13" t="inlineStr">
        <is>
          <t>Não</t>
        </is>
      </c>
      <c r="J995" s="13" t="n">
        <v>2019</v>
      </c>
      <c r="L995" s="13" t="n">
        <v>1</v>
      </c>
      <c r="M995" s="8">
        <f>L995*G995</f>
        <v/>
      </c>
      <c r="P995" s="9" t="n"/>
    </row>
    <row r="996">
      <c r="A996" s="13" t="inlineStr">
        <is>
          <t>Essence Vortex</t>
        </is>
      </c>
      <c r="B996" s="13" t="inlineStr">
        <is>
          <t>Mágica Instantânea / Instant</t>
        </is>
      </c>
      <c r="C996" s="13" t="inlineStr">
        <is>
          <t>Rara / Rare</t>
        </is>
      </c>
      <c r="D996" s="13" t="inlineStr">
        <is>
          <t>Bury target creature. That creature's controller may counter this spell by paying the creature's toughness in life. Effects that prevent or redirect damage cannot be used to counter this loss of life.</t>
        </is>
      </c>
      <c r="E996" s="13" t="inlineStr">
        <is>
          <t>{1}{U}{B}</t>
        </is>
      </c>
      <c r="F996" s="13" t="inlineStr">
        <is>
          <t>Azul e Preto / Blue and Black</t>
        </is>
      </c>
      <c r="G996" s="8" t="n">
        <v>0.19</v>
      </c>
      <c r="H996" s="13" t="inlineStr">
        <is>
          <t>Homelands (HML)</t>
        </is>
      </c>
      <c r="I996" s="13" t="inlineStr">
        <is>
          <t>Não</t>
        </is>
      </c>
      <c r="J996" s="13" t="n">
        <v>1995</v>
      </c>
      <c r="L996" s="13" t="n">
        <v>1</v>
      </c>
      <c r="M996" s="8">
        <f>L996*G996</f>
        <v/>
      </c>
      <c r="P996" s="9" t="n"/>
    </row>
    <row r="997">
      <c r="A997" s="13" t="inlineStr">
        <is>
          <t>Essenceknit Scholar / Estudioso do Tecessência</t>
        </is>
      </c>
      <c r="B997" s="13" t="inlineStr">
        <is>
          <t>Criatura — Dríade Bruxo</t>
        </is>
      </c>
      <c r="C997" s="13" t="inlineStr">
        <is>
          <t>Incomum</t>
        </is>
      </c>
      <c r="D997" s="13" t="inlineStr">
        <is>
          <t>Quando esta criatura entrar, crie uma ficha de criatura Praga preta e verde 1/1 com "Sempre que esta ficha atacar, você ganha 1 ponto de vida." No início de sua etapa final, se uma criatura tiver morrido sob o seu controle neste turno, compre um card.</t>
        </is>
      </c>
      <c r="E997" s="13" t="inlineStr">
        <is>
          <t>{B}{B/G}{G}</t>
        </is>
      </c>
      <c r="F997" s="13" t="inlineStr">
        <is>
          <t>Multicolorido</t>
        </is>
      </c>
      <c r="G997" s="8" t="n">
        <v>0.32</v>
      </c>
      <c r="H997" s="13" t="inlineStr">
        <is>
          <t>Strixhaven: School of Mages (SOS)</t>
        </is>
      </c>
      <c r="I997" s="13" t="inlineStr">
        <is>
          <t>Não</t>
        </is>
      </c>
      <c r="J997" s="13" t="n">
        <v>2026</v>
      </c>
      <c r="K997" s="10" t="n">
        <v>46025</v>
      </c>
      <c r="L997" s="13" t="n">
        <v>1</v>
      </c>
      <c r="M997" s="8">
        <f>L997*G997</f>
        <v/>
      </c>
      <c r="P997" s="9" t="n"/>
    </row>
    <row r="998">
      <c r="A998" s="13" t="inlineStr">
        <is>
          <t>Estandarte Sultai / Sultai Banner</t>
        </is>
      </c>
      <c r="B998" s="13" t="inlineStr">
        <is>
          <t>Artifact / Artefato</t>
        </is>
      </c>
      <c r="C998" s="13" t="inlineStr">
        <is>
          <t>Common / Comum</t>
        </is>
      </c>
      <c r="D998" s="13" t="inlineStr">
        <is>
          <t>{T}: Add {B}, {G}, or {U}. {B}{G}{U}, {T}, Sacrifice Sultai Banner: Draw a card. / {T}: Adicione {B}, {G} ou {U} à sua reserva de mana. {B}{G}{U}, {T}, Sacrifique Estandarte Sultai: Compre um card.</t>
        </is>
      </c>
      <c r="E998" s="13" t="inlineStr">
        <is>
          <t>{3}</t>
        </is>
      </c>
      <c r="F998" s="13" t="inlineStr">
        <is>
          <t>Incolor</t>
        </is>
      </c>
      <c r="G998" s="8" t="n">
        <v>0.08</v>
      </c>
      <c r="H998" s="13" t="inlineStr">
        <is>
          <t>Khans of Tarkir (KTK)</t>
        </is>
      </c>
      <c r="I998" s="13" t="inlineStr">
        <is>
          <t>No</t>
        </is>
      </c>
      <c r="J998" s="13" t="n">
        <v>2014</v>
      </c>
      <c r="L998" s="13" t="n">
        <v>1</v>
      </c>
      <c r="M998" s="8">
        <f>L998*G998</f>
        <v/>
      </c>
      <c r="P998" s="9" t="n"/>
    </row>
    <row r="999">
      <c r="A999" s="13" t="inlineStr">
        <is>
          <t>Estante Suspeita / Suspicious Bookcase</t>
        </is>
      </c>
      <c r="B999" s="13" t="inlineStr">
        <is>
          <t>Artifact Creature — Wall / Criatura Artefato — Barreira</t>
        </is>
      </c>
      <c r="C999" s="13" t="inlineStr">
        <is>
          <t>Uncommon / Incomum</t>
        </is>
      </c>
      <c r="D999" s="13" t="inlineStr">
        <is>
          <t>Defender. {3}, {T}: Target creature can't be blocked this turn. / Defensor. {3}, {T}: A criatura alvo não pode ser bloqueada neste turno.</t>
        </is>
      </c>
      <c r="E999" s="13" t="inlineStr">
        <is>
          <t>{2}</t>
        </is>
      </c>
      <c r="F999" s="13" t="inlineStr">
        <is>
          <t>Incolor</t>
        </is>
      </c>
      <c r="G999" s="8" t="n">
        <v>0.12</v>
      </c>
      <c r="H999" s="13" t="inlineStr">
        <is>
          <t>Streets of New Capenna (SNC)</t>
        </is>
      </c>
      <c r="I999" s="13" t="inlineStr">
        <is>
          <t>No</t>
        </is>
      </c>
      <c r="J999" s="13" t="n">
        <v>2022</v>
      </c>
      <c r="K999" s="13" t="inlineStr">
        <is>
          <t>0/4</t>
        </is>
      </c>
      <c r="L999" s="13" t="n">
        <v>1</v>
      </c>
      <c r="M999" s="8">
        <f>L999*G999</f>
        <v/>
      </c>
      <c r="P999" s="9" t="n"/>
    </row>
    <row r="1000">
      <c r="A1000" s="13" t="inlineStr">
        <is>
          <t>Estrela-do-mar Rúnica</t>
        </is>
      </c>
      <c r="B1000" s="13" t="inlineStr">
        <is>
          <t>Criatura — Estrela-do-mar</t>
        </is>
      </c>
      <c r="C1000" s="13" t="inlineStr">
        <is>
          <t>Comum</t>
        </is>
      </c>
      <c r="D1000" s="13" t="inlineStr">
        <is>
          <t>{T}: Vidência 1. (Olhe o card do topo de seu grimório. Você pode colocar aquele card no fundo de seu grimório.)</t>
        </is>
      </c>
      <c r="E1000" s="13" t="inlineStr">
        <is>
          <t>1U</t>
        </is>
      </c>
      <c r="F1000" s="13" t="inlineStr">
        <is>
          <t>Azul</t>
        </is>
      </c>
      <c r="G1000" s="8" t="n">
        <v>0.03</v>
      </c>
      <c r="H1000" s="13" t="inlineStr">
        <is>
          <t>Journey into Nyx</t>
        </is>
      </c>
      <c r="I1000" s="13" t="inlineStr">
        <is>
          <t>Não</t>
        </is>
      </c>
      <c r="J1000" s="13" t="n">
        <v>2014</v>
      </c>
      <c r="K1000" s="13" t="inlineStr">
        <is>
          <t>0/3</t>
        </is>
      </c>
      <c r="L1000" s="13" t="n">
        <v>5</v>
      </c>
      <c r="M1000" s="8">
        <f>L1000*G1000</f>
        <v/>
      </c>
      <c r="P1000" s="9" t="n"/>
    </row>
    <row r="1001">
      <c r="A1001" s="13" t="inlineStr">
        <is>
          <t>Estupefazer / Bedazzle // Embelezar / Biggify</t>
        </is>
      </c>
      <c r="B1001" s="13" t="inlineStr">
        <is>
          <t>Mágica Instantânea / Instant</t>
        </is>
      </c>
      <c r="C1001" s="13" t="inlineStr">
        <is>
          <t>Rara / Rare</t>
        </is>
      </c>
      <c r="D1001" s="13"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001" s="13" t="inlineStr">
        <is>
          <t>{4}{B}{R} // {R/G}{R/G}</t>
        </is>
      </c>
      <c r="F1001" s="13" t="inlineStr">
        <is>
          <t>Preto e Vermelho / Black and Red</t>
        </is>
      </c>
      <c r="G1001" s="8" t="n">
        <v>0.05</v>
      </c>
      <c r="H1001" s="13" t="inlineStr">
        <is>
          <t>Ravnica Allegiance (RNA)</t>
        </is>
      </c>
      <c r="I1001" s="13" t="inlineStr">
        <is>
          <t>Não</t>
        </is>
      </c>
      <c r="J1001" s="13" t="n">
        <v>2019</v>
      </c>
      <c r="L1001" s="13" t="n">
        <v>1</v>
      </c>
      <c r="M1001" s="8">
        <f>L1001*G1001</f>
        <v/>
      </c>
      <c r="P1001" s="9" t="n"/>
    </row>
    <row r="1002">
      <c r="A1002" s="13" t="inlineStr">
        <is>
          <t>Etched Champion / Campeão Entalhado</t>
        </is>
      </c>
      <c r="B1002" s="13" t="inlineStr">
        <is>
          <t>Artifact Creature — Soldier / Criatura Artefato — Soldado</t>
        </is>
      </c>
      <c r="C1002" s="13" t="inlineStr">
        <is>
          <t>Rare / Rara</t>
        </is>
      </c>
      <c r="D1002" s="13" t="inlineStr">
        <is>
          <t>Metalcraft — This creature has protection from each color as long as you control three or more artifacts. / Maestria com Metais — Campeão Entalhado terá proteção contra todas as cores enquanto você controlar três ou mais artefatos.</t>
        </is>
      </c>
      <c r="E1002" s="13" t="inlineStr">
        <is>
          <t>{3}</t>
        </is>
      </c>
      <c r="F1002" s="13" t="inlineStr">
        <is>
          <t>Incolor</t>
        </is>
      </c>
      <c r="G1002" s="8" t="n">
        <v>1.7</v>
      </c>
      <c r="H1002" s="13" t="inlineStr">
        <is>
          <t>Modern Masters 2015 (MM2)</t>
        </is>
      </c>
      <c r="I1002" s="13" t="inlineStr">
        <is>
          <t>Não</t>
        </is>
      </c>
      <c r="J1002" s="13" t="n">
        <v>2015</v>
      </c>
      <c r="K1002" s="10" t="n">
        <v>46055</v>
      </c>
      <c r="L1002" s="13" t="n">
        <v>1</v>
      </c>
      <c r="M1002" s="8">
        <f>L1002*G1002</f>
        <v/>
      </c>
      <c r="N1002" s="13" t="inlineStr">
        <is>
          <t>Pasta</t>
        </is>
      </c>
      <c r="P1002" s="9" t="n"/>
    </row>
    <row r="1003">
      <c r="A1003" s="13" t="inlineStr">
        <is>
          <t>Eternal Warrior / Guerreiro Perpétuo</t>
        </is>
      </c>
      <c r="B1003" s="13" t="inlineStr">
        <is>
          <t>Enchantment — Aura</t>
        </is>
      </c>
      <c r="C1003" s="13" t="inlineStr">
        <is>
          <t>Common / Comum</t>
        </is>
      </c>
      <c r="D1003" s="13" t="inlineStr">
        <is>
          <t>Enchant creature Enchanted creature has vigilance.</t>
        </is>
      </c>
      <c r="E1003" s="13" t="inlineStr">
        <is>
          <t>{R}</t>
        </is>
      </c>
      <c r="F1003" s="13" t="inlineStr">
        <is>
          <t>Vermelho</t>
        </is>
      </c>
      <c r="G1003" s="8" t="n">
        <v>0.05</v>
      </c>
      <c r="H1003" s="13" t="inlineStr">
        <is>
          <t>Quarta Edição</t>
        </is>
      </c>
      <c r="I1003" s="13" t="inlineStr">
        <is>
          <t>Não</t>
        </is>
      </c>
      <c r="J1003" s="13" t="n">
        <v>1995</v>
      </c>
      <c r="L1003" s="13" t="n">
        <v>2</v>
      </c>
      <c r="M1003" s="8">
        <f>L1003*G1003</f>
        <v/>
      </c>
      <c r="P1003" s="9" t="n"/>
    </row>
    <row r="1004">
      <c r="A1004" s="13" t="inlineStr">
        <is>
          <t>Eternal Warrior / Guerreiro Perpétuo</t>
        </is>
      </c>
      <c r="B1004" s="13" t="inlineStr">
        <is>
          <t>Enchantment — Aura</t>
        </is>
      </c>
      <c r="C1004" s="13" t="inlineStr">
        <is>
          <t>Common / Comum</t>
        </is>
      </c>
      <c r="D1004" s="13" t="inlineStr">
        <is>
          <t>Enchant creature Enchanted creature has vigilance.</t>
        </is>
      </c>
      <c r="E1004" s="13" t="inlineStr">
        <is>
          <t>{R}</t>
        </is>
      </c>
      <c r="F1004" s="13" t="inlineStr">
        <is>
          <t>Vermelho</t>
        </is>
      </c>
      <c r="G1004" s="8" t="n">
        <v>0.17</v>
      </c>
      <c r="H1004" s="13" t="inlineStr">
        <is>
          <t>Quarta Edição (BB)</t>
        </is>
      </c>
      <c r="I1004" s="13" t="inlineStr">
        <is>
          <t>Não</t>
        </is>
      </c>
      <c r="J1004" s="13" t="n">
        <v>1995</v>
      </c>
      <c r="L1004" s="13" t="n">
        <v>4</v>
      </c>
      <c r="M1004" s="8">
        <f>L1004*G1004</f>
        <v/>
      </c>
      <c r="P1004" s="9" t="n"/>
    </row>
    <row r="1005">
      <c r="A1005" s="13" t="inlineStr">
        <is>
          <t>Eternal Witness / Testemunha Eterna</t>
        </is>
      </c>
      <c r="B1005" s="13" t="inlineStr">
        <is>
          <t>Creature — Human Shaman / Criatura — Humano Xamã</t>
        </is>
      </c>
      <c r="C1005" s="13" t="inlineStr">
        <is>
          <t>Uncommon / Incomum</t>
        </is>
      </c>
      <c r="D1005" s="13" t="inlineStr">
        <is>
          <t>When Eternal Witness enters the battlefield, you may return target card from your graveyard to your hand. / Quando Testemunha Eterna entrar no campo de batalha, você pode devolver o card alvo de seu cemitério para a sua mão.</t>
        </is>
      </c>
      <c r="E1005" s="13" t="inlineStr">
        <is>
          <t>{1}{G}{G}</t>
        </is>
      </c>
      <c r="F1005" s="13" t="inlineStr">
        <is>
          <t>Verde</t>
        </is>
      </c>
      <c r="G1005" s="8" t="n">
        <v>4.95</v>
      </c>
      <c r="H1005" s="13" t="inlineStr">
        <is>
          <t>30th Anniversary Promos (PRM)</t>
        </is>
      </c>
      <c r="I1005" s="13" t="inlineStr">
        <is>
          <t>Sim</t>
        </is>
      </c>
      <c r="J1005" s="13" t="n">
        <v>2023</v>
      </c>
      <c r="K1005" s="10" t="n">
        <v>46024</v>
      </c>
      <c r="L1005" s="13" t="n">
        <v>1</v>
      </c>
      <c r="M1005" s="8">
        <f>L1005*G1005</f>
        <v/>
      </c>
      <c r="P1005" s="9" t="n"/>
    </row>
    <row r="1006">
      <c r="A1006" s="13" t="inlineStr">
        <is>
          <t>Ether / Éter</t>
        </is>
      </c>
      <c r="B1006" s="13" t="inlineStr">
        <is>
          <t>Artefato</t>
        </is>
      </c>
      <c r="C1006" s="13" t="inlineStr">
        <is>
          <t>Incomum</t>
        </is>
      </c>
      <c r="D1006" s="13" t="inlineStr">
        <is>
          <t>{T}, Exile este artefato: Adicione {U}. Quando você conjurar sua próxima mágica instantânea ou de feitiço neste turno, copie aquela mágica. Você pode escolher novos alvos para a cópia.</t>
        </is>
      </c>
      <c r="E1006" s="13" t="inlineStr">
        <is>
          <t>3{U}</t>
        </is>
      </c>
      <c r="F1006" s="13" t="inlineStr">
        <is>
          <t>Azul</t>
        </is>
      </c>
      <c r="G1006" s="8" t="n">
        <v>0.2</v>
      </c>
      <c r="H1006" s="13" t="inlineStr">
        <is>
          <t>Final Fantasy</t>
        </is>
      </c>
      <c r="I1006" s="13" t="inlineStr">
        <is>
          <t>Não</t>
        </is>
      </c>
      <c r="J1006" s="13" t="n">
        <v>2025</v>
      </c>
      <c r="L1006" s="13" t="n">
        <v>1</v>
      </c>
      <c r="M1006" s="8">
        <f>L1006*G1006</f>
        <v/>
      </c>
      <c r="P1006" s="9" t="n"/>
    </row>
    <row r="1007">
      <c r="A1007" s="13" t="inlineStr">
        <is>
          <t>Etherium Spinner / Propulsor de Etherium</t>
        </is>
      </c>
      <c r="B1007" s="13" t="inlineStr">
        <is>
          <t>Artifact Creature — Human Wizard / Criatura Artefato — Humano Mago</t>
        </is>
      </c>
      <c r="C1007" s="13" t="inlineStr">
        <is>
          <t>Common / Comum</t>
        </is>
      </c>
      <c r="D1007" s="13"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007" s="13" t="inlineStr">
        <is>
          <t>{2}{U}</t>
        </is>
      </c>
      <c r="F1007" s="13" t="inlineStr">
        <is>
          <t>Azul</t>
        </is>
      </c>
      <c r="G1007" s="8" t="n">
        <v>0.1</v>
      </c>
      <c r="H1007" s="13" t="inlineStr">
        <is>
          <t>Modern Horizons 2 (MH2)</t>
        </is>
      </c>
      <c r="I1007" s="13" t="inlineStr">
        <is>
          <t>Não</t>
        </is>
      </c>
      <c r="J1007" s="13" t="n">
        <v>2021</v>
      </c>
      <c r="K1007" s="10" t="n">
        <v>46024</v>
      </c>
      <c r="L1007" s="13" t="n">
        <v>4</v>
      </c>
      <c r="M1007" s="8">
        <f>L1007*G1007</f>
        <v/>
      </c>
      <c r="P1007" s="9" t="n"/>
    </row>
    <row r="1008">
      <c r="A1008" s="13" t="inlineStr">
        <is>
          <t>Eusocial Engineering / Engenharia Eussocial</t>
        </is>
      </c>
      <c r="B1008" s="13" t="inlineStr">
        <is>
          <t>Encantamento</t>
        </is>
      </c>
      <c r="C1008" s="13" t="inlineStr">
        <is>
          <t>Incomum</t>
        </is>
      </c>
      <c r="D1008" s="13"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1008" s="13" t="inlineStr">
        <is>
          <t>3{G}{G}</t>
        </is>
      </c>
      <c r="F1008" s="13" t="inlineStr">
        <is>
          <t>Verde</t>
        </is>
      </c>
      <c r="G1008" s="8" t="n">
        <v>0.15</v>
      </c>
      <c r="H1008" s="13" t="inlineStr">
        <is>
          <t>Edge of Eternity</t>
        </is>
      </c>
      <c r="I1008" s="13" t="inlineStr">
        <is>
          <t>Não</t>
        </is>
      </c>
      <c r="J1008" s="13" t="n">
        <v>2025</v>
      </c>
      <c r="L1008" s="13" t="n">
        <v>1</v>
      </c>
      <c r="M1008" s="8">
        <f>L1008*G1008</f>
        <v/>
      </c>
      <c r="P1008" s="9" t="n"/>
    </row>
    <row r="1009">
      <c r="A1009" s="13" t="inlineStr">
        <is>
          <t>Everything Pizza</t>
        </is>
      </c>
      <c r="B1009" s="13" t="inlineStr">
        <is>
          <t>Artifact — Food</t>
        </is>
      </c>
      <c r="C1009" s="13" t="inlineStr">
        <is>
          <t>Uncommon / Incomum</t>
        </is>
      </c>
      <c r="D1009" s="13"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1009" s="13" t="inlineStr">
        <is>
          <t>{2}</t>
        </is>
      </c>
      <c r="F1009" s="13" t="inlineStr">
        <is>
          <t>Preto, Verde, Vermelho, Azul, Branco</t>
        </is>
      </c>
      <c r="G1009" s="8" t="n">
        <v>0.1</v>
      </c>
      <c r="H1009" s="13" t="inlineStr">
        <is>
          <t>Teenage Mutant Ninja Turtles (TMT)</t>
        </is>
      </c>
      <c r="I1009" s="13" t="inlineStr">
        <is>
          <t>Não</t>
        </is>
      </c>
      <c r="J1009" s="13" t="n">
        <v>2026</v>
      </c>
      <c r="L1009" s="13" t="n">
        <v>1</v>
      </c>
      <c r="M1009" s="8">
        <f>L1009*G1009</f>
        <v/>
      </c>
      <c r="P1009" s="9" t="n"/>
    </row>
    <row r="1010">
      <c r="A1010" s="13" t="inlineStr">
        <is>
          <t>Evil Presence / Presença Maligna</t>
        </is>
      </c>
      <c r="B1010" s="13" t="inlineStr">
        <is>
          <t>Enchantment — Aura / Encantamento — Aura</t>
        </is>
      </c>
      <c r="C1010" s="13" t="inlineStr">
        <is>
          <t>Uncommon / Incomum</t>
        </is>
      </c>
      <c r="D1010" s="13" t="inlineStr">
        <is>
          <t>Enchant land Enchanted land is a Swamp. / Encantar terreno O terreno encantado é um Pântano.</t>
        </is>
      </c>
      <c r="E1010" s="13" t="inlineStr">
        <is>
          <t>{B}</t>
        </is>
      </c>
      <c r="F1010" s="13" t="inlineStr">
        <is>
          <t>Preto</t>
        </is>
      </c>
      <c r="G1010" s="8" t="n">
        <v>0.2</v>
      </c>
      <c r="H1010" s="13" t="inlineStr">
        <is>
          <t>Fourth Edition (4ED)</t>
        </is>
      </c>
      <c r="I1010" s="13" t="inlineStr">
        <is>
          <t>Não</t>
        </is>
      </c>
      <c r="J1010" s="13" t="n">
        <v>1995</v>
      </c>
      <c r="L1010" s="13" t="n">
        <v>2</v>
      </c>
      <c r="M1010" s="8">
        <f>L1010*G1010</f>
        <v/>
      </c>
      <c r="P1010" s="9" t="n"/>
    </row>
    <row r="1011">
      <c r="A1011" s="13" t="inlineStr">
        <is>
          <t>Evil Presence / Presença Maligna</t>
        </is>
      </c>
      <c r="B1011" s="13" t="inlineStr">
        <is>
          <t>Enchantment — Aura / Encantamento — Aura</t>
        </is>
      </c>
      <c r="C1011" s="13" t="inlineStr">
        <is>
          <t>Uncommon / Incomum</t>
        </is>
      </c>
      <c r="D1011" s="13" t="inlineStr">
        <is>
          <t>Enchant land Enchanted land is a Swamp. / Encantar terreno O terreno encantado é um Pântano.</t>
        </is>
      </c>
      <c r="E1011" s="13" t="inlineStr">
        <is>
          <t>{B}</t>
        </is>
      </c>
      <c r="F1011" s="13" t="inlineStr">
        <is>
          <t>Preto</t>
        </is>
      </c>
      <c r="G1011" s="8" t="n">
        <v>0.13</v>
      </c>
      <c r="H1011" s="13" t="inlineStr">
        <is>
          <t>Nova Phyrexia</t>
        </is>
      </c>
      <c r="I1011" s="13" t="inlineStr">
        <is>
          <t>Não</t>
        </is>
      </c>
      <c r="J1011" s="13" t="n">
        <v>2011</v>
      </c>
      <c r="L1011" s="13" t="n">
        <v>1</v>
      </c>
      <c r="M1011" s="8">
        <f>L1011*G1011</f>
        <v/>
      </c>
      <c r="P1011" s="9" t="n"/>
    </row>
    <row r="1012">
      <c r="A1012" s="13" t="inlineStr">
        <is>
          <t>Evil Reawakened / Mal Desperto</t>
        </is>
      </c>
      <c r="B1012" s="13" t="inlineStr">
        <is>
          <t>Feitiço</t>
        </is>
      </c>
      <c r="C1012" s="13" t="inlineStr">
        <is>
          <t>Incomum</t>
        </is>
      </c>
      <c r="D1012" s="13" t="inlineStr">
        <is>
          <t>Devolva o card de criatura alvo de seu cemitério para o campo de batalha com dois marcadores +1/+1 adicionais sobre ele.</t>
        </is>
      </c>
      <c r="E1012" s="13" t="inlineStr">
        <is>
          <t>4{B}</t>
        </is>
      </c>
      <c r="F1012" s="13" t="inlineStr">
        <is>
          <t>Preto</t>
        </is>
      </c>
      <c r="G1012" s="8" t="n">
        <v>0.2</v>
      </c>
      <c r="H1012" s="13" t="inlineStr">
        <is>
          <t>Final Fantasy</t>
        </is>
      </c>
      <c r="I1012" s="13" t="inlineStr">
        <is>
          <t>Não</t>
        </is>
      </c>
      <c r="J1012" s="13" t="n">
        <v>2025</v>
      </c>
      <c r="L1012" s="13" t="n">
        <v>1</v>
      </c>
      <c r="M1012" s="8">
        <f>L1012*G1012</f>
        <v/>
      </c>
      <c r="P1012" s="9" t="n"/>
    </row>
    <row r="1013">
      <c r="A1013" s="13" t="inlineStr">
        <is>
          <t>Evolving Wilds / Terras em Desenvolvimento</t>
        </is>
      </c>
      <c r="B1013" s="13" t="inlineStr">
        <is>
          <t>Land / Terreno</t>
        </is>
      </c>
      <c r="C1013" s="13" t="inlineStr">
        <is>
          <t>Common / Comum</t>
        </is>
      </c>
      <c r="D1013" s="13"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13" s="13" t="inlineStr">
        <is>
          <t>Incolor</t>
        </is>
      </c>
      <c r="G1013" s="8" t="n">
        <v>4.9</v>
      </c>
      <c r="H1013" s="13" t="inlineStr">
        <is>
          <t>Adventures in the Forgotten Realms (AFR)</t>
        </is>
      </c>
      <c r="I1013" s="13" t="inlineStr">
        <is>
          <t>Sim</t>
        </is>
      </c>
      <c r="J1013" s="13" t="n">
        <v>2021</v>
      </c>
      <c r="L1013" s="13" t="n">
        <v>1</v>
      </c>
      <c r="M1013" s="8">
        <f>L1013*G1013</f>
        <v/>
      </c>
      <c r="P1013" s="9" t="n"/>
    </row>
    <row r="1014">
      <c r="A1014" s="13" t="inlineStr">
        <is>
          <t>Evolving Wilds / Terras em Desenvolvimento</t>
        </is>
      </c>
      <c r="B1014" s="13" t="inlineStr">
        <is>
          <t>Land / Terreno</t>
        </is>
      </c>
      <c r="C1014" s="13" t="inlineStr">
        <is>
          <t>Common / Comum</t>
        </is>
      </c>
      <c r="D1014" s="13"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14" s="13" t="inlineStr">
        <is>
          <t>Incolor</t>
        </is>
      </c>
      <c r="G1014" s="8" t="n">
        <v>0.17</v>
      </c>
      <c r="H1014" s="13" t="inlineStr">
        <is>
          <t>Commander 2015 (C15)</t>
        </is>
      </c>
      <c r="I1014" s="13" t="inlineStr">
        <is>
          <t>Não</t>
        </is>
      </c>
      <c r="J1014" s="13" t="n">
        <v>2015</v>
      </c>
      <c r="L1014" s="13" t="n">
        <v>4</v>
      </c>
      <c r="M1014" s="8">
        <f>L1014*G1014</f>
        <v/>
      </c>
      <c r="P1014" s="9" t="n"/>
    </row>
    <row r="1015">
      <c r="A1015" s="13" t="inlineStr">
        <is>
          <t>Evolving Wilds / Terras em Desenvolvimento</t>
        </is>
      </c>
      <c r="B1015" s="13" t="inlineStr">
        <is>
          <t>Land / Terreno</t>
        </is>
      </c>
      <c r="C1015" s="13" t="inlineStr">
        <is>
          <t>Common / Comum</t>
        </is>
      </c>
      <c r="D1015" s="13" t="inlineStr">
        <is>
          <t>{T}, Sacrifice Evolving Wilds: Search your library for a basic land card, put it onto the battlefield tapped,</t>
        </is>
      </c>
      <c r="F1015" s="13" t="inlineStr">
        <is>
          <t>Incolor</t>
        </is>
      </c>
      <c r="G1015" s="8" t="n">
        <v>0.06</v>
      </c>
      <c r="H1015" s="13" t="inlineStr">
        <is>
          <t>Lealdade em Ravnica</t>
        </is>
      </c>
      <c r="I1015" s="13" t="inlineStr">
        <is>
          <t>Não</t>
        </is>
      </c>
      <c r="J1015" s="13" t="n">
        <v>2019</v>
      </c>
      <c r="L1015" s="13" t="n">
        <v>4</v>
      </c>
      <c r="M1015" s="8">
        <f>L1015*G1015</f>
        <v/>
      </c>
      <c r="P1015" s="9" t="n"/>
    </row>
    <row r="1016">
      <c r="A1016" s="13" t="inlineStr">
        <is>
          <t>Evolving Wilds / Terras em Desenvolvimento</t>
        </is>
      </c>
      <c r="B1016" s="13" t="inlineStr">
        <is>
          <t>Land / Terreno</t>
        </is>
      </c>
      <c r="C1016" s="13" t="inlineStr">
        <is>
          <t>Common / Comum</t>
        </is>
      </c>
      <c r="D1016" s="13"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16" s="13" t="inlineStr">
        <is>
          <t>Incolor</t>
        </is>
      </c>
      <c r="G1016" s="8" t="n">
        <v>0.48</v>
      </c>
      <c r="H1016" s="13" t="inlineStr">
        <is>
          <t>Rivals of Ixalan (RIX)</t>
        </is>
      </c>
      <c r="I1016" s="13" t="inlineStr">
        <is>
          <t>Não</t>
        </is>
      </c>
      <c r="J1016" s="13" t="n">
        <v>2018</v>
      </c>
      <c r="L1016" s="13" t="n">
        <v>4</v>
      </c>
      <c r="M1016" s="8">
        <f>L1016*G1016</f>
        <v/>
      </c>
      <c r="P1016" s="9" t="n"/>
    </row>
    <row r="1017">
      <c r="A1017" s="13" t="inlineStr">
        <is>
          <t>Evolving Wilds / Terras em Evolução</t>
        </is>
      </c>
      <c r="B1017" s="13" t="inlineStr">
        <is>
          <t>Terreno</t>
        </is>
      </c>
      <c r="C1017" s="13" t="inlineStr">
        <is>
          <t>Comum</t>
        </is>
      </c>
      <c r="D1017" s="13" t="inlineStr">
        <is>
          <t>T, Sacrifique Evolving Wilds: Procure em seu grimório por um card de terreno básico e coloque-o no campo de batalha virado. Depois, embaralhe seu grimório.</t>
        </is>
      </c>
      <c r="E1017" s="13" t="inlineStr">
        <is>
          <t>Nenhum</t>
        </is>
      </c>
      <c r="F1017" s="13" t="inlineStr">
        <is>
          <t>Incolor</t>
        </is>
      </c>
      <c r="G1017" s="8" t="n">
        <v>0.19</v>
      </c>
      <c r="H1017" s="13" t="inlineStr">
        <is>
          <t>Duel Decks: Speed vs. Cunning</t>
        </is>
      </c>
      <c r="I1017" s="13" t="inlineStr">
        <is>
          <t>Não</t>
        </is>
      </c>
      <c r="J1017" s="13" t="n">
        <v>2014</v>
      </c>
      <c r="L1017" s="13" t="n">
        <v>2</v>
      </c>
      <c r="M1017" s="8">
        <f>L1017*G1017</f>
        <v/>
      </c>
      <c r="P1017" s="9" t="n"/>
    </row>
    <row r="1018">
      <c r="A1018" s="13" t="inlineStr">
        <is>
          <t>Evolving Wilds / Terras em Evolução</t>
        </is>
      </c>
      <c r="B1018" s="13" t="inlineStr">
        <is>
          <t>Terreno</t>
        </is>
      </c>
      <c r="C1018" s="13" t="inlineStr">
        <is>
          <t>Comum</t>
        </is>
      </c>
      <c r="D1018" s="13" t="inlineStr">
        <is>
          <t>T, Sacrifique Evolving Wilds: Procure em seu grimório por um card de terreno básico e coloque-o no campo de batalha virado. Depois, embaralhe seu grimório.</t>
        </is>
      </c>
      <c r="E1018" s="13" t="inlineStr">
        <is>
          <t>Nenhum</t>
        </is>
      </c>
      <c r="F1018" s="13" t="inlineStr">
        <is>
          <t>Incolor</t>
        </is>
      </c>
      <c r="G1018" s="8" t="n">
        <v>0.12</v>
      </c>
      <c r="H1018" s="13" t="inlineStr">
        <is>
          <t xml:space="preserve">Ikoria: Terra de Colossos </t>
        </is>
      </c>
      <c r="I1018" s="13" t="inlineStr">
        <is>
          <t>Não</t>
        </is>
      </c>
      <c r="J1018" s="13" t="n">
        <v>2020</v>
      </c>
      <c r="L1018" s="13" t="n">
        <v>2</v>
      </c>
      <c r="M1018" s="8">
        <f>L1018*G1018</f>
        <v/>
      </c>
      <c r="P1018" s="9" t="n"/>
    </row>
    <row r="1019">
      <c r="A1019" s="13" t="inlineStr">
        <is>
          <t>Exclude / Excluir</t>
        </is>
      </c>
      <c r="B1019" s="13" t="inlineStr">
        <is>
          <t>Instant / Mágica Instantânea</t>
        </is>
      </c>
      <c r="C1019" s="13" t="inlineStr">
        <is>
          <t>Common / Comum</t>
        </is>
      </c>
      <c r="D1019" s="13" t="inlineStr">
        <is>
          <t>Counter target creature spell. Draw a card. / Anule a mágica de criatura alvo. Compre um card.</t>
        </is>
      </c>
      <c r="E1019" s="13" t="inlineStr">
        <is>
          <t>{2}{U}</t>
        </is>
      </c>
      <c r="F1019" s="13" t="inlineStr">
        <is>
          <t>Azul</t>
        </is>
      </c>
      <c r="G1019" s="8" t="n">
        <v>0.25</v>
      </c>
      <c r="H1019" s="13" t="inlineStr">
        <is>
          <t>Commander Masters (CMM)</t>
        </is>
      </c>
      <c r="I1019" s="13" t="inlineStr">
        <is>
          <t>Sim</t>
        </is>
      </c>
      <c r="J1019" s="13" t="n">
        <v>2023</v>
      </c>
      <c r="L1019" s="13" t="n">
        <v>1</v>
      </c>
      <c r="M1019" s="8" t="n"/>
      <c r="P1019" s="9" t="n"/>
    </row>
    <row r="1020">
      <c r="A1020" s="13" t="inlineStr">
        <is>
          <t>Exclude / Excluir</t>
        </is>
      </c>
      <c r="B1020" s="13" t="inlineStr">
        <is>
          <t>Instant / Mágica Instantânea</t>
        </is>
      </c>
      <c r="C1020" s="13" t="inlineStr">
        <is>
          <t>Uncommon / Incomum</t>
        </is>
      </c>
      <c r="D1020" s="13" t="inlineStr">
        <is>
          <t>Counter target creature spell. Draw a card. / Anule a mágica de criatura alvo. Compre um card.</t>
        </is>
      </c>
      <c r="E1020" s="13" t="inlineStr">
        <is>
          <t>{2}{U}</t>
        </is>
      </c>
      <c r="F1020" s="13" t="inlineStr">
        <is>
          <t>Azul</t>
        </is>
      </c>
      <c r="G1020" s="8" t="n">
        <v>0.25</v>
      </c>
      <c r="H1020" s="13" t="inlineStr">
        <is>
          <t>Masters 25 (A25)</t>
        </is>
      </c>
      <c r="I1020" s="13" t="inlineStr">
        <is>
          <t>Não</t>
        </is>
      </c>
      <c r="J1020" s="13" t="n">
        <v>2018</v>
      </c>
      <c r="L1020" s="13" t="n">
        <v>1</v>
      </c>
      <c r="M1020" s="8">
        <f>L1020*G1020</f>
        <v/>
      </c>
      <c r="P1020" s="9" t="n"/>
    </row>
    <row r="1021">
      <c r="A1021" s="13" t="inlineStr">
        <is>
          <t>Exdeath, Void Warlock / Exdeath, Bruxo do Vazio</t>
        </is>
      </c>
      <c r="B1021" s="13" t="inlineStr">
        <is>
          <t>Criatura Lendária — Espírito Bruxo</t>
        </is>
      </c>
      <c r="C1021" s="13" t="inlineStr">
        <is>
          <t>Incomum</t>
        </is>
      </c>
      <c r="D1021" s="13" t="inlineStr">
        <is>
          <t>Quando Exdeath entrar, você ganha 3 de vida. No início de sua etapa final, se houver seis ou mais cards de permanente em seu cemitério, transforme Exdeath.</t>
        </is>
      </c>
      <c r="E1021" s="13" t="inlineStr">
        <is>
          <t>1{B}{G}</t>
        </is>
      </c>
      <c r="F1021" s="13" t="inlineStr">
        <is>
          <t>Multicolorido (Preto/Verde)</t>
        </is>
      </c>
      <c r="G1021" s="8" t="n">
        <v>0.2</v>
      </c>
      <c r="H1021" s="13" t="inlineStr">
        <is>
          <t>Final Fantasy</t>
        </is>
      </c>
      <c r="I1021" s="13" t="inlineStr">
        <is>
          <t>Não</t>
        </is>
      </c>
      <c r="J1021" s="13" t="n">
        <v>2025</v>
      </c>
      <c r="K1021" s="10" t="n">
        <v>46084</v>
      </c>
      <c r="L1021" s="13" t="n">
        <v>1</v>
      </c>
      <c r="M1021" s="8">
        <f>L1021*G1021</f>
        <v/>
      </c>
      <c r="P1021" s="9" t="n"/>
    </row>
    <row r="1022">
      <c r="A1022" s="13" t="inlineStr">
        <is>
          <t>Experimental Frenzy / Frenesi Experimental</t>
        </is>
      </c>
      <c r="B1022" s="13" t="inlineStr">
        <is>
          <t>Encantamento</t>
        </is>
      </c>
      <c r="C1022" s="13" t="inlineStr">
        <is>
          <t>Raro</t>
        </is>
      </c>
      <c r="D1022" s="13" t="inlineStr">
        <is>
          <t>Você pode olhar o card do topo de seu grimório a qualquer momento. Você pode jogar o card do topo de seu grimório. Você não pode jogar cards da sua mão. {3}{R}: Destrua Frenesi Experimental.</t>
        </is>
      </c>
      <c r="E1022" s="13" t="inlineStr">
        <is>
          <t>3{R}</t>
        </is>
      </c>
      <c r="F1022" s="13" t="inlineStr">
        <is>
          <t>Vermelho</t>
        </is>
      </c>
      <c r="G1022" s="8" t="n">
        <v>0.2</v>
      </c>
      <c r="H1022" s="13" t="inlineStr">
        <is>
          <t>Guilds of Ravnica</t>
        </is>
      </c>
      <c r="I1022" s="13" t="inlineStr">
        <is>
          <t>Não</t>
        </is>
      </c>
      <c r="J1022" s="13" t="n">
        <v>2018</v>
      </c>
      <c r="L1022" s="13" t="n">
        <v>1</v>
      </c>
      <c r="M1022" s="8">
        <f>L1022*G1022</f>
        <v/>
      </c>
      <c r="P1022" s="9" t="n"/>
    </row>
    <row r="1023">
      <c r="A1023" s="13" t="inlineStr">
        <is>
          <t>Experimental Synthesizer / Sintetizador Experimental</t>
        </is>
      </c>
      <c r="B1023" s="13" t="inlineStr">
        <is>
          <t>Artifact / Artefato</t>
        </is>
      </c>
      <c r="C1023" s="13" t="inlineStr">
        <is>
          <t>Common / Comum</t>
        </is>
      </c>
      <c r="D1023" s="13"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1023" s="13" t="inlineStr">
        <is>
          <t>{R}</t>
        </is>
      </c>
      <c r="F1023" s="13" t="inlineStr">
        <is>
          <t>Vermelho</t>
        </is>
      </c>
      <c r="G1023" s="8" t="n">
        <v>4</v>
      </c>
      <c r="H1023" s="13" t="inlineStr">
        <is>
          <t>Kamigawa: Neon Dynasty (NEO)</t>
        </is>
      </c>
      <c r="I1023" s="13" t="inlineStr">
        <is>
          <t>Não</t>
        </is>
      </c>
      <c r="J1023" s="13" t="n">
        <v>2022</v>
      </c>
      <c r="L1023" s="13" t="n">
        <v>1</v>
      </c>
      <c r="M1023" s="8">
        <f>L1023*G1023</f>
        <v/>
      </c>
      <c r="N1023" s="13" t="inlineStr">
        <is>
          <t>Pasta</t>
        </is>
      </c>
      <c r="P1023" s="9" t="n"/>
    </row>
    <row r="1024">
      <c r="A1024" s="13" t="inlineStr">
        <is>
          <t>Explorer's Scope / Escopo do Explorador</t>
        </is>
      </c>
      <c r="B1024" s="13" t="inlineStr">
        <is>
          <t>Artifact — Equipment / Artefato — Equipamento</t>
        </is>
      </c>
      <c r="C1024" s="13" t="inlineStr">
        <is>
          <t>Common / Comum</t>
        </is>
      </c>
      <c r="D1024" s="13"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1024" s="13" t="inlineStr">
        <is>
          <t>{1}</t>
        </is>
      </c>
      <c r="F1024" s="13" t="inlineStr">
        <is>
          <t>Incolor</t>
        </is>
      </c>
      <c r="G1024" s="8" t="n">
        <v>0.7</v>
      </c>
      <c r="H1024" s="13" t="inlineStr">
        <is>
          <t>Commander Masters (CMM)</t>
        </is>
      </c>
      <c r="I1024" s="13" t="inlineStr">
        <is>
          <t>Não</t>
        </is>
      </c>
      <c r="J1024" s="13" t="n">
        <v>2023</v>
      </c>
      <c r="L1024" s="13" t="n">
        <v>1</v>
      </c>
      <c r="M1024" s="8">
        <f>L1024*G1024</f>
        <v/>
      </c>
      <c r="P1024" s="9" t="n"/>
    </row>
    <row r="1025">
      <c r="A1025" s="13" t="inlineStr">
        <is>
          <t>Explosive Entry / Entrada Explosiva</t>
        </is>
      </c>
      <c r="B1025" s="13" t="inlineStr">
        <is>
          <t>Sorcery / Feitiço</t>
        </is>
      </c>
      <c r="C1025" s="13" t="inlineStr">
        <is>
          <t>Common / Comum</t>
        </is>
      </c>
      <c r="D1025" s="13" t="inlineStr">
        <is>
          <t>Destroy up to one target artifact. Put a +1/+1 counter on up to one target creature. / Destrua até um artefato alvo. Coloque um marcador +1/+1 em até uma criatura alvo.</t>
        </is>
      </c>
      <c r="E1025" s="13" t="inlineStr">
        <is>
          <t>{1}{R}</t>
        </is>
      </c>
      <c r="F1025" s="13" t="inlineStr">
        <is>
          <t>Vermelho</t>
        </is>
      </c>
      <c r="G1025" s="8" t="n">
        <v>0.06</v>
      </c>
      <c r="H1025" s="13" t="inlineStr">
        <is>
          <t>Kamigawa: Neon Dynasty (NEO)</t>
        </is>
      </c>
      <c r="I1025" s="13" t="inlineStr">
        <is>
          <t>Não</t>
        </is>
      </c>
      <c r="J1025" s="13" t="n">
        <v>2022</v>
      </c>
      <c r="L1025" s="13" t="n">
        <v>1</v>
      </c>
      <c r="M1025" s="8">
        <f>L1025*G1025</f>
        <v/>
      </c>
      <c r="P1025" s="9" t="n"/>
    </row>
    <row r="1026">
      <c r="A1026" s="13" t="inlineStr">
        <is>
          <t>Expressive Firedancer / Dançarino de Fogo Expressivo</t>
        </is>
      </c>
      <c r="B1026" s="13" t="inlineStr">
        <is>
          <t>Creature — Human Sorcerer / Criatura — Humano Feiticeiro</t>
        </is>
      </c>
      <c r="C1026" s="13" t="inlineStr">
        <is>
          <t>Common / Comum</t>
        </is>
      </c>
      <c r="D1026" s="13"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1026" s="13" t="inlineStr">
        <is>
          <t>{1}{R}</t>
        </is>
      </c>
      <c r="F1026" s="13" t="inlineStr">
        <is>
          <t>Vermelho</t>
        </is>
      </c>
      <c r="G1026" s="8" t="n">
        <v>0.06</v>
      </c>
      <c r="H1026" s="13" t="inlineStr">
        <is>
          <t>Shadows of Sothia (SOS)</t>
        </is>
      </c>
      <c r="I1026" s="13" t="inlineStr">
        <is>
          <t>No</t>
        </is>
      </c>
      <c r="J1026" s="13" t="n">
        <v>2026</v>
      </c>
      <c r="K1026" s="10" t="n">
        <v>46055</v>
      </c>
      <c r="L1026" s="13" t="n">
        <v>3</v>
      </c>
      <c r="M1026" s="8">
        <f>L1026*G1026</f>
        <v/>
      </c>
      <c r="P1026" s="9" t="n"/>
    </row>
    <row r="1027">
      <c r="A1027" s="13" t="inlineStr">
        <is>
          <t>Exsanguinate</t>
        </is>
      </c>
      <c r="B1027" s="13" t="inlineStr">
        <is>
          <t>Sorcery</t>
        </is>
      </c>
      <c r="C1027" s="13" t="inlineStr">
        <is>
          <t>Uncommon</t>
        </is>
      </c>
      <c r="D1027" s="13" t="inlineStr">
        <is>
          <t>Each opponent loses X life. You gain life equal to the life lost this way.</t>
        </is>
      </c>
      <c r="E1027" s="13" t="inlineStr">
        <is>
          <t>{X}{B}{B}</t>
        </is>
      </c>
      <c r="F1027" s="13" t="inlineStr">
        <is>
          <t>Black</t>
        </is>
      </c>
      <c r="G1027" s="8" t="n">
        <v>3.41</v>
      </c>
      <c r="H1027" s="13" t="inlineStr">
        <is>
          <t>Foundations (FDN)</t>
        </is>
      </c>
      <c r="I1027" s="13" t="inlineStr">
        <is>
          <t>No</t>
        </is>
      </c>
      <c r="J1027" s="13" t="n">
        <v>2024</v>
      </c>
      <c r="L1027" s="13" t="n">
        <v>1</v>
      </c>
      <c r="M1027" s="8">
        <f>L1027*G1027</f>
        <v/>
      </c>
      <c r="P1027" s="9" t="n"/>
    </row>
    <row r="1028">
      <c r="A1028" s="13" t="inlineStr">
        <is>
          <t>Extract a Confession / Extrair uma Confissão</t>
        </is>
      </c>
      <c r="B1028" s="13" t="inlineStr">
        <is>
          <t>Sorcery / Feitiço</t>
        </is>
      </c>
      <c r="C1028" s="13" t="inlineStr">
        <is>
          <t>Common / Comum</t>
        </is>
      </c>
      <c r="D1028" s="13"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1028" s="13" t="inlineStr">
        <is>
          <t>{1}{B}</t>
        </is>
      </c>
      <c r="F1028" s="13" t="inlineStr">
        <is>
          <t>Preto</t>
        </is>
      </c>
      <c r="G1028" s="8" t="n">
        <v>0.25</v>
      </c>
      <c r="H1028" s="13" t="inlineStr">
        <is>
          <t>Murders at Karlov Manor (MKM)</t>
        </is>
      </c>
      <c r="I1028" s="13" t="inlineStr">
        <is>
          <t>Não</t>
        </is>
      </c>
      <c r="J1028" s="13" t="n">
        <v>2024</v>
      </c>
      <c r="L1028" s="13" t="n">
        <v>1</v>
      </c>
      <c r="M1028" s="8">
        <f>L1028*G1028</f>
        <v/>
      </c>
      <c r="P1028" s="9" t="n"/>
    </row>
    <row r="1029">
      <c r="A1029" s="13" t="inlineStr">
        <is>
          <t>Extraction Specialist / Especialista em Resgates</t>
        </is>
      </c>
      <c r="B1029" s="13" t="inlineStr">
        <is>
          <t>Creature — Human Rogue / Criatura — Humano Ladino</t>
        </is>
      </c>
      <c r="C1029" s="13" t="inlineStr">
        <is>
          <t>Rare / Rara</t>
        </is>
      </c>
      <c r="D1029" s="13"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029" s="13" t="inlineStr">
        <is>
          <t>{2}{W}</t>
        </is>
      </c>
      <c r="F1029" s="13" t="inlineStr">
        <is>
          <t>Branco</t>
        </is>
      </c>
      <c r="G1029" s="8" t="n">
        <v>2</v>
      </c>
      <c r="H1029" s="13" t="inlineStr">
        <is>
          <t>Streets of New Capenna (SNC)</t>
        </is>
      </c>
      <c r="I1029" s="13" t="inlineStr">
        <is>
          <t>Não</t>
        </is>
      </c>
      <c r="J1029" s="13" t="n">
        <v>2022</v>
      </c>
      <c r="K1029" s="10" t="n">
        <v>46056</v>
      </c>
      <c r="L1029" s="13" t="n">
        <v>1</v>
      </c>
      <c r="M1029" s="8">
        <f>L1029*G1029</f>
        <v/>
      </c>
      <c r="P1029" s="9" t="n"/>
    </row>
    <row r="1030">
      <c r="A1030" s="13" t="inlineStr">
        <is>
          <t>Fada Macabra / Faerie Macabre</t>
        </is>
      </c>
      <c r="B1030" s="13" t="inlineStr">
        <is>
          <t>Criatura — Fada Ladino / Creature — Faerie Rogue</t>
        </is>
      </c>
      <c r="C1030" s="13" t="inlineStr">
        <is>
          <t>Comum / Common</t>
        </is>
      </c>
      <c r="D1030" s="13" t="inlineStr">
        <is>
          <t>Voar. Descarte Fada Macabra: Remova do jogo até dois cards alvo em cemitérios. / Flying. Discard Faerie Macabre: Exile up to two target cards from graveyards.</t>
        </is>
      </c>
      <c r="E1030" s="13" t="inlineStr">
        <is>
          <t>{1}{B}{B}</t>
        </is>
      </c>
      <c r="F1030" s="13" t="inlineStr">
        <is>
          <t>Preto</t>
        </is>
      </c>
      <c r="G1030" s="8" t="n">
        <v>41.9</v>
      </c>
      <c r="H1030" s="13" t="inlineStr">
        <is>
          <t>Eventide (EVE)</t>
        </is>
      </c>
      <c r="I1030" s="13" t="inlineStr">
        <is>
          <t>Não</t>
        </is>
      </c>
      <c r="J1030" s="13" t="n">
        <v>2008</v>
      </c>
      <c r="K1030" s="10" t="n">
        <v>46055</v>
      </c>
      <c r="L1030" s="13" t="n">
        <v>1</v>
      </c>
      <c r="M1030" s="8">
        <f>L1030*G1030</f>
        <v/>
      </c>
      <c r="P1030" s="9" t="n"/>
    </row>
    <row r="1031">
      <c r="A1031" s="13" t="inlineStr">
        <is>
          <t>Fade into Antiquity / Desaparecer na Antiguidade</t>
        </is>
      </c>
      <c r="B1031" s="13" t="inlineStr">
        <is>
          <t>Sorcery / Feitiço</t>
        </is>
      </c>
      <c r="C1031" s="13" t="inlineStr">
        <is>
          <t>Common / Comum</t>
        </is>
      </c>
      <c r="D1031" s="13" t="inlineStr">
        <is>
          <t>Exile target artifact or enchantment. / Exile o artefato ou encantamento alvo.</t>
        </is>
      </c>
      <c r="E1031" s="13" t="inlineStr">
        <is>
          <t>{2}{G}</t>
        </is>
      </c>
      <c r="F1031" s="13" t="inlineStr">
        <is>
          <t>Verde</t>
        </is>
      </c>
      <c r="G1031" s="8" t="n">
        <v>0.06</v>
      </c>
      <c r="H1031" s="13" t="inlineStr">
        <is>
          <t>Kamigawa: Neon Dynasty (NEO)</t>
        </is>
      </c>
      <c r="I1031" s="13" t="inlineStr">
        <is>
          <t>Não</t>
        </is>
      </c>
      <c r="J1031" s="13" t="n">
        <v>2022</v>
      </c>
      <c r="L1031" s="13" t="n">
        <v>1</v>
      </c>
      <c r="M1031" s="8">
        <f>L1031*G1031</f>
        <v/>
      </c>
      <c r="P1031" s="9" t="n"/>
    </row>
    <row r="1032">
      <c r="A1032" s="13" t="inlineStr">
        <is>
          <t>Fading Hope / Esperança Evanescente</t>
        </is>
      </c>
      <c r="B1032" s="13" t="inlineStr">
        <is>
          <t>Instant / Mágica Instantânea</t>
        </is>
      </c>
      <c r="C1032" s="13" t="inlineStr">
        <is>
          <t>Uncommon / Incomum</t>
        </is>
      </c>
      <c r="D1032" s="13"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032" s="13" t="inlineStr">
        <is>
          <t>{U}</t>
        </is>
      </c>
      <c r="F1032" s="13" t="inlineStr">
        <is>
          <t>Azul</t>
        </is>
      </c>
      <c r="G1032" s="8" t="n">
        <v>1</v>
      </c>
      <c r="H1032" s="13" t="inlineStr">
        <is>
          <t>Innistrad: Midnight Hunt (MID)</t>
        </is>
      </c>
      <c r="I1032" s="13" t="inlineStr">
        <is>
          <t>Não</t>
        </is>
      </c>
      <c r="J1032" s="13" t="n">
        <v>2021</v>
      </c>
      <c r="L1032" s="13" t="n">
        <v>2</v>
      </c>
      <c r="M1032" s="8">
        <f>L1032*G1032</f>
        <v/>
      </c>
      <c r="P1032" s="9" t="n"/>
    </row>
    <row r="1033">
      <c r="A1033" s="13" t="inlineStr">
        <is>
          <t>Faerie Impostor / Impostor Fada</t>
        </is>
      </c>
      <c r="B1033" s="13" t="inlineStr">
        <is>
          <t>Criatura — Fada Ladino</t>
        </is>
      </c>
      <c r="C1033" s="13" t="inlineStr">
        <is>
          <t>Incomum</t>
        </is>
      </c>
      <c r="D1033" s="13" t="inlineStr">
        <is>
          <t>Voar. Quando Impostor Fada entra no campo de batalha, sacrifique-o, a menos que você devolva outra criatura que controla para a mão de seu dono.</t>
        </is>
      </c>
      <c r="E1033" s="13" t="inlineStr">
        <is>
          <t>U</t>
        </is>
      </c>
      <c r="F1033" s="13" t="inlineStr">
        <is>
          <t>Azul</t>
        </is>
      </c>
      <c r="G1033" s="8" t="n">
        <v>0.09</v>
      </c>
      <c r="H1033" s="13" t="inlineStr">
        <is>
          <t>Duel Decks: Speed vs. Cunning</t>
        </is>
      </c>
      <c r="I1033" s="13" t="inlineStr">
        <is>
          <t>Não</t>
        </is>
      </c>
      <c r="J1033" s="13" t="n">
        <v>2014</v>
      </c>
      <c r="K1033" s="10" t="n">
        <v>46024</v>
      </c>
      <c r="L1033" s="13" t="n">
        <v>2</v>
      </c>
      <c r="M1033" s="8">
        <f>L1033*G1033</f>
        <v/>
      </c>
      <c r="P1033" s="9" t="n"/>
    </row>
    <row r="1034">
      <c r="A1034" s="13" t="inlineStr">
        <is>
          <t>Faerie Invaders / Invasores Fadas</t>
        </is>
      </c>
      <c r="B1034" s="13" t="inlineStr">
        <is>
          <t>Criatura — Fada Ladino</t>
        </is>
      </c>
      <c r="C1034" s="13" t="inlineStr">
        <is>
          <t>Comum</t>
        </is>
      </c>
      <c r="D1034" s="13" t="inlineStr">
        <is>
          <t>Lampejo (Você poderá conjurar esta mágica a qualquer momento em que puder conjurar uma mágica instantânea.) Voar.</t>
        </is>
      </c>
      <c r="E1034" s="13" t="inlineStr">
        <is>
          <t>4U</t>
        </is>
      </c>
      <c r="F1034" s="13" t="inlineStr">
        <is>
          <t>Azul</t>
        </is>
      </c>
      <c r="G1034" s="8" t="n">
        <v>0.06</v>
      </c>
      <c r="H1034" s="13" t="inlineStr">
        <is>
          <t>Duel Decks: Speed vs. Cunning</t>
        </is>
      </c>
      <c r="I1034" s="13" t="inlineStr">
        <is>
          <t>Não</t>
        </is>
      </c>
      <c r="J1034" s="13" t="n">
        <v>2014</v>
      </c>
      <c r="K1034" s="10" t="n">
        <v>46084</v>
      </c>
      <c r="L1034" s="13" t="n">
        <v>1</v>
      </c>
      <c r="M1034" s="8">
        <f>L1034*G1034</f>
        <v/>
      </c>
      <c r="P1034" s="9" t="n"/>
    </row>
    <row r="1035">
      <c r="A1035" s="13" t="inlineStr">
        <is>
          <t>Faith's Shield / Escudo da Fé</t>
        </is>
      </c>
      <c r="B1035" s="13" t="inlineStr">
        <is>
          <t>Instant / Mágica Instantânea</t>
        </is>
      </c>
      <c r="C1035" s="13" t="inlineStr">
        <is>
          <t>Uncommon / Incomum</t>
        </is>
      </c>
      <c r="D1035" s="13"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035" s="13" t="inlineStr">
        <is>
          <t>{W}</t>
        </is>
      </c>
      <c r="F1035" s="13" t="inlineStr">
        <is>
          <t>Branco</t>
        </is>
      </c>
      <c r="G1035" s="8" t="n">
        <v>0.23</v>
      </c>
      <c r="H1035" s="13" t="inlineStr">
        <is>
          <t>Dark Ascension (DKA)</t>
        </is>
      </c>
      <c r="I1035" s="13" t="inlineStr">
        <is>
          <t>Não</t>
        </is>
      </c>
      <c r="J1035" s="13" t="n">
        <v>2012</v>
      </c>
      <c r="L1035" s="13" t="n">
        <v>4</v>
      </c>
      <c r="M1035" s="8">
        <f>L1035*G1035</f>
        <v/>
      </c>
      <c r="P1035" s="9" t="n"/>
    </row>
    <row r="1036">
      <c r="A1036" s="13" t="inlineStr">
        <is>
          <t>Faithless Looting / Pilhagem Infiel</t>
        </is>
      </c>
      <c r="B1036" s="13" t="inlineStr">
        <is>
          <t>Sorcery / Feitiço</t>
        </is>
      </c>
      <c r="C1036" s="13" t="inlineStr">
        <is>
          <t>Common / Comum</t>
        </is>
      </c>
      <c r="D1036" s="13"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036" s="13" t="inlineStr">
        <is>
          <t>{R}</t>
        </is>
      </c>
      <c r="F1036" s="13" t="inlineStr">
        <is>
          <t>Vermelho</t>
        </is>
      </c>
      <c r="G1036" s="8" t="n">
        <v>3.07</v>
      </c>
      <c r="H1036" s="13" t="inlineStr">
        <is>
          <t>Dark Ascension (DKA)</t>
        </is>
      </c>
      <c r="I1036" s="13" t="inlineStr">
        <is>
          <t>Não</t>
        </is>
      </c>
      <c r="J1036" s="13" t="n">
        <v>2012</v>
      </c>
      <c r="L1036" s="13" t="n">
        <v>1</v>
      </c>
      <c r="M1036" s="8">
        <f>L1036*G1036</f>
        <v/>
      </c>
      <c r="P1036" s="9" t="n"/>
    </row>
    <row r="1037">
      <c r="A1037" s="13" t="inlineStr">
        <is>
          <t>Fake Your Own Death / Fingir a Própria Morte</t>
        </is>
      </c>
      <c r="B1037" s="13" t="inlineStr">
        <is>
          <t>Instant / Mágica Instantânea</t>
        </is>
      </c>
      <c r="C1037" s="13" t="inlineStr">
        <is>
          <t>Common / Comum</t>
        </is>
      </c>
      <c r="D1037" s="13"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037" s="13" t="inlineStr">
        <is>
          <t>{1}{B}</t>
        </is>
      </c>
      <c r="F1037" s="13" t="inlineStr">
        <is>
          <t>Preto</t>
        </is>
      </c>
      <c r="G1037" s="8" t="n">
        <v>0.07000000000000001</v>
      </c>
      <c r="H1037" s="13" t="inlineStr">
        <is>
          <t>Outlaws of Thunder Junction (OTJ)</t>
        </is>
      </c>
      <c r="I1037" s="13" t="inlineStr">
        <is>
          <t>Não</t>
        </is>
      </c>
      <c r="J1037" s="13" t="n">
        <v>2024</v>
      </c>
      <c r="L1037" s="13" t="n">
        <v>1</v>
      </c>
      <c r="M1037" s="8">
        <f>L1037*G1037</f>
        <v/>
      </c>
      <c r="P1037" s="9" t="n"/>
    </row>
    <row r="1038">
      <c r="A1038" s="13" t="inlineStr">
        <is>
          <t>Falcon, Winged Wonder / Falcão, Prodígio Alado</t>
        </is>
      </c>
      <c r="B1038" s="13" t="inlineStr">
        <is>
          <t>Criatura Lendária — Humano Herói</t>
        </is>
      </c>
      <c r="C1038" s="13" t="inlineStr">
        <is>
          <t>Incomum</t>
        </is>
      </c>
      <c r="D1038" s="13" t="inlineStr">
        <is>
          <t>Voar. Telepatia Aviária — Quando Falcão entrar, crie Asa Vermelha, uma ficha de criatura lendária Ave Batedor azul 1/1 com voar e "Sempre que Asa Vermelha atacar, vigie 1." (Olhe o card do topo de seu grimório. Você pode colocá-lo em seu cemitério.)</t>
        </is>
      </c>
      <c r="E1038" s="13" t="inlineStr">
        <is>
          <t>4{U}</t>
        </is>
      </c>
      <c r="F1038" s="13" t="inlineStr">
        <is>
          <t>Azul</t>
        </is>
      </c>
      <c r="G1038" s="8" t="n">
        <v>0.6899999999999999</v>
      </c>
      <c r="H1038" s="13" t="inlineStr">
        <is>
          <t>Marvel</t>
        </is>
      </c>
      <c r="I1038" s="13" t="inlineStr">
        <is>
          <t>Não</t>
        </is>
      </c>
      <c r="J1038" s="13" t="n">
        <v>2026</v>
      </c>
      <c r="K1038" s="10" t="n">
        <v>46115</v>
      </c>
      <c r="L1038" s="13" t="n">
        <v>1</v>
      </c>
      <c r="M1038" s="8">
        <f>L1038*G1038</f>
        <v/>
      </c>
      <c r="P1038" s="9" t="n"/>
    </row>
    <row r="1039">
      <c r="A1039" s="13" t="inlineStr">
        <is>
          <t>Falkenrath Celebrants / Celebradores Falkenrath</t>
        </is>
      </c>
      <c r="B1039" s="13" t="inlineStr">
        <is>
          <t>Creature — Vampire / Criatura — Vampiro</t>
        </is>
      </c>
      <c r="C1039" s="13" t="inlineStr">
        <is>
          <t>Common / Comum</t>
        </is>
      </c>
      <c r="D1039" s="13"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1039" s="13" t="inlineStr">
        <is>
          <t>{4}{R}</t>
        </is>
      </c>
      <c r="F1039" s="13" t="inlineStr">
        <is>
          <t>Vermelho</t>
        </is>
      </c>
      <c r="G1039" s="8" t="n">
        <v>0.09</v>
      </c>
      <c r="H1039" s="13" t="inlineStr">
        <is>
          <t>Innistrad: Crimson Vow (VOW)</t>
        </is>
      </c>
      <c r="I1039" s="13" t="inlineStr">
        <is>
          <t>Não</t>
        </is>
      </c>
      <c r="J1039" s="13" t="n">
        <v>2021</v>
      </c>
      <c r="K1039" s="10" t="n">
        <v>46116</v>
      </c>
      <c r="L1039" s="13" t="n">
        <v>1</v>
      </c>
      <c r="M1039" s="8">
        <f>L1039*G1039</f>
        <v/>
      </c>
      <c r="P1039" s="9" t="n"/>
    </row>
    <row r="1040">
      <c r="A1040" s="13" t="inlineStr">
        <is>
          <t>Falkenrath Torturer / Torturador Falkenrath</t>
        </is>
      </c>
      <c r="B1040" s="13" t="inlineStr">
        <is>
          <t>Creature — Vampire / Criatura — Vampiro</t>
        </is>
      </c>
      <c r="C1040" s="13" t="inlineStr">
        <is>
          <t>Common / Comum</t>
        </is>
      </c>
      <c r="D1040" s="13"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040" s="13" t="inlineStr">
        <is>
          <t>{2}{B}</t>
        </is>
      </c>
      <c r="F1040" s="13" t="inlineStr">
        <is>
          <t>Preto</t>
        </is>
      </c>
      <c r="G1040" s="8" t="n">
        <v>0.08</v>
      </c>
      <c r="H1040" s="13" t="inlineStr">
        <is>
          <t>Dark Ascension (DKA)</t>
        </is>
      </c>
      <c r="I1040" s="13" t="inlineStr">
        <is>
          <t>Não</t>
        </is>
      </c>
      <c r="J1040" s="13" t="n">
        <v>2012</v>
      </c>
      <c r="K1040" s="10" t="n">
        <v>46024</v>
      </c>
      <c r="L1040" s="13" t="n">
        <v>1</v>
      </c>
      <c r="M1040" s="8">
        <f>L1040*G1040</f>
        <v/>
      </c>
      <c r="P1040" s="9" t="n"/>
    </row>
    <row r="1041">
      <c r="A1041" s="13" t="inlineStr">
        <is>
          <t>False Dawn / Amanhecer Falso</t>
        </is>
      </c>
      <c r="B1041" s="13" t="inlineStr">
        <is>
          <t>Sorcery</t>
        </is>
      </c>
      <c r="C1041" s="13" t="inlineStr">
        <is>
          <t>Rare</t>
        </is>
      </c>
      <c r="D1041" s="13" t="inlineStr">
        <is>
          <t>Colored mana symbols on all permanents you control and on all cards you own that aren't in play become {W} until end of turn. Draw a card.</t>
        </is>
      </c>
      <c r="E1041" s="13" t="inlineStr">
        <is>
          <t>{1}{W}</t>
        </is>
      </c>
      <c r="F1041" s="13" t="inlineStr">
        <is>
          <t>White</t>
        </is>
      </c>
      <c r="G1041" s="8" t="n">
        <v>0.62</v>
      </c>
      <c r="H1041" s="13" t="inlineStr">
        <is>
          <t>Apocalypse (APC)</t>
        </is>
      </c>
      <c r="I1041" s="13" t="inlineStr">
        <is>
          <t>No</t>
        </is>
      </c>
      <c r="J1041" s="13" t="n">
        <v>2001</v>
      </c>
      <c r="L1041" s="13" t="n">
        <v>1</v>
      </c>
      <c r="M1041" s="8">
        <f>L1041*G1041</f>
        <v/>
      </c>
      <c r="P1041" s="9" t="n"/>
    </row>
    <row r="1042">
      <c r="A1042" s="13" t="inlineStr">
        <is>
          <t>Familiar de Filigrana / Filigree Familiar</t>
        </is>
      </c>
      <c r="B1042" s="13" t="inlineStr">
        <is>
          <t>Criatura Artefato — Raposa</t>
        </is>
      </c>
      <c r="C1042" s="13" t="inlineStr">
        <is>
          <t>Comum</t>
        </is>
      </c>
      <c r="D1042" s="13" t="inlineStr">
        <is>
          <t>Quando Familiar de Filigrana entra no campo de batalha, você ganha 2 pontos de vida. Quando Familiar de Filigrana morrer, compre um card.</t>
        </is>
      </c>
      <c r="E1042" s="13" t="inlineStr">
        <is>
          <t>{3}</t>
        </is>
      </c>
      <c r="F1042" s="13" t="inlineStr">
        <is>
          <t>Incolor</t>
        </is>
      </c>
      <c r="G1042" s="8" t="n">
        <v>0.1</v>
      </c>
      <c r="H1042" s="13" t="inlineStr">
        <is>
          <t>Commander Legends (CMR)</t>
        </is>
      </c>
      <c r="I1042" s="13" t="inlineStr">
        <is>
          <t>Não</t>
        </is>
      </c>
      <c r="J1042" s="13" t="n">
        <v>2020</v>
      </c>
      <c r="K1042" s="10" t="n">
        <v>46055</v>
      </c>
      <c r="L1042" s="13" t="n">
        <v>4</v>
      </c>
      <c r="M1042" s="8">
        <f>L1042*G1042</f>
        <v/>
      </c>
      <c r="P1042" s="9" t="n"/>
    </row>
    <row r="1043">
      <c r="A1043" s="13" t="inlineStr">
        <is>
          <t>Familiar de Nightscape / Nightscape Familiar</t>
        </is>
      </c>
      <c r="B1043" s="13" t="inlineStr">
        <is>
          <t>Criatura — Zumbi / Creature — Zombie</t>
        </is>
      </c>
      <c r="C1043" s="13" t="inlineStr">
        <is>
          <t>Comum / Common</t>
        </is>
      </c>
      <c r="D1043" s="13"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043" s="13" t="inlineStr">
        <is>
          <t>{1}{B}</t>
        </is>
      </c>
      <c r="F1043" s="13" t="inlineStr">
        <is>
          <t>Preto / Black</t>
        </is>
      </c>
      <c r="G1043" s="8" t="n">
        <v>1.19</v>
      </c>
      <c r="H1043" s="13" t="inlineStr">
        <is>
          <t>Dominaria Remastered (DMR)</t>
        </is>
      </c>
      <c r="I1043" s="13" t="inlineStr">
        <is>
          <t>Não</t>
        </is>
      </c>
      <c r="J1043" s="13" t="n">
        <v>2023</v>
      </c>
      <c r="K1043" s="10" t="n">
        <v>46023</v>
      </c>
      <c r="L1043" s="13" t="n">
        <v>3</v>
      </c>
      <c r="M1043" s="8">
        <f>L1043*G1043</f>
        <v/>
      </c>
      <c r="P1043" s="9" t="n"/>
    </row>
    <row r="1044">
      <c r="A1044" s="13" t="inlineStr">
        <is>
          <t>Familiar de Nightscape / Nightscape Familiar</t>
        </is>
      </c>
      <c r="B1044" s="13" t="inlineStr">
        <is>
          <t>Creature — Zombie</t>
        </is>
      </c>
      <c r="C1044" s="13" t="inlineStr">
        <is>
          <t>Common</t>
        </is>
      </c>
      <c r="D1044" s="13" t="inlineStr">
        <is>
          <t>Blue spells and red spells you cast cost {1} less to cast. {1}{B}: Regenerate Nightscape Familiar.</t>
        </is>
      </c>
      <c r="E1044" s="13" t="inlineStr">
        <is>
          <t>{1}{B}</t>
        </is>
      </c>
      <c r="F1044" s="13" t="inlineStr">
        <is>
          <t>Black</t>
        </is>
      </c>
      <c r="G1044" s="8" t="n">
        <v>1.4</v>
      </c>
      <c r="H1044" s="13" t="inlineStr">
        <is>
          <t>Duel Decks: Ajani vs. Nicol Bolas</t>
        </is>
      </c>
      <c r="I1044" s="13" t="inlineStr">
        <is>
          <t>No</t>
        </is>
      </c>
      <c r="J1044" s="13" t="n">
        <v>2011</v>
      </c>
      <c r="K1044" s="10" t="n">
        <v>46023</v>
      </c>
      <c r="L1044" s="13" t="n">
        <v>1</v>
      </c>
      <c r="M1044" s="8">
        <f>L1044*G1044</f>
        <v/>
      </c>
      <c r="P1044" s="9" t="n"/>
    </row>
    <row r="1045">
      <c r="A1045" s="13" t="inlineStr">
        <is>
          <t>Familiar Protetor de Pulso / Patchwork Rats</t>
        </is>
      </c>
      <c r="B1045" s="13" t="inlineStr">
        <is>
          <t>Criatura Artefato — Equipamento Besta / Artifact Creature — Equipment Beast</t>
        </is>
      </c>
      <c r="C1045" s="13" t="inlineStr">
        <is>
          <t>Comum / Common</t>
        </is>
      </c>
      <c r="D1045" s="13" t="inlineStr">
        <is>
          <t>Salvaguarda {2}. A criatura equipada recebe +2/+1 e tem salvaguarda {2}. Reconfigurar {4}. / Ward {2}. Equipped creature gets +2/+1 and has ward {2}. Reconfigure {4}.</t>
        </is>
      </c>
      <c r="E1045" s="13" t="inlineStr">
        <is>
          <t>{1}{U}</t>
        </is>
      </c>
      <c r="F1045" s="13" t="inlineStr">
        <is>
          <t>Azul</t>
        </is>
      </c>
      <c r="G1045" s="8" t="n">
        <v>0.09</v>
      </c>
      <c r="H1045" s="13" t="inlineStr">
        <is>
          <t>Kamigawa: Neon Dynasty (NEO)</t>
        </is>
      </c>
      <c r="I1045" s="13" t="inlineStr">
        <is>
          <t>Não</t>
        </is>
      </c>
      <c r="J1045" s="13" t="n">
        <v>2022</v>
      </c>
      <c r="K1045" s="10" t="n">
        <v>46024</v>
      </c>
      <c r="L1045" s="13" t="n">
        <v>1</v>
      </c>
      <c r="M1045" s="8">
        <f>L1045*G1045</f>
        <v/>
      </c>
      <c r="P1045" s="9" t="n"/>
    </row>
    <row r="1046">
      <c r="A1046" s="13" t="inlineStr">
        <is>
          <t>Fanatical Firebrand / Instigador Fanático</t>
        </is>
      </c>
      <c r="B1046" s="13" t="inlineStr">
        <is>
          <t>Creature — Goblin Pirate / Criatura — Goblin Pirata</t>
        </is>
      </c>
      <c r="C1046" s="13" t="inlineStr">
        <is>
          <t>Common / Comum</t>
        </is>
      </c>
      <c r="D1046" s="13" t="inlineStr">
        <is>
          <t>Haste (This creature can attack and {T} as soon as it comes under your control.) {T}, Sacrifice this creature: It deals 1 damage to any target. / Ímpeto {T}, sacrifique Instigador Fanático: Ele causa 1 ponto de dano à criatura ou ao jogador alvo.</t>
        </is>
      </c>
      <c r="E1046" s="13" t="inlineStr">
        <is>
          <t>{R}</t>
        </is>
      </c>
      <c r="F1046" s="13" t="inlineStr">
        <is>
          <t>Vermelho</t>
        </is>
      </c>
      <c r="G1046" s="8" t="n">
        <v>0.06</v>
      </c>
      <c r="H1046" s="13" t="inlineStr">
        <is>
          <t>Rivals of Ixalan (RIX)</t>
        </is>
      </c>
      <c r="I1046" s="13" t="inlineStr">
        <is>
          <t>Não</t>
        </is>
      </c>
      <c r="J1046" s="13" t="n">
        <v>2018</v>
      </c>
      <c r="K1046" s="10" t="n">
        <v>46023</v>
      </c>
      <c r="L1046" s="13" t="n">
        <v>3</v>
      </c>
      <c r="M1046" s="8">
        <f>L1046*G1046</f>
        <v/>
      </c>
      <c r="P1046" s="9" t="n"/>
    </row>
    <row r="1047">
      <c r="A1047" s="13" t="inlineStr">
        <is>
          <t>Fancy Footwork</t>
        </is>
      </c>
      <c r="B1047" s="13" t="inlineStr">
        <is>
          <t>Instant — Lesson</t>
        </is>
      </c>
      <c r="C1047" s="13" t="inlineStr">
        <is>
          <t>Uncommon / Incomum</t>
        </is>
      </c>
      <c r="D1047" s="13" t="inlineStr">
        <is>
          <t>Untap one or two target creatures. They each get +2/+2 until end of turn.</t>
        </is>
      </c>
      <c r="E1047" s="13" t="inlineStr">
        <is>
          <t>{2}{W}</t>
        </is>
      </c>
      <c r="F1047" s="13" t="inlineStr">
        <is>
          <t>Branco</t>
        </is>
      </c>
      <c r="G1047" s="8" t="n">
        <v>0.1</v>
      </c>
      <c r="H1047" s="13" t="inlineStr">
        <is>
          <t>Avatar: The Last Airbender (TLA)</t>
        </is>
      </c>
      <c r="I1047" s="13" t="inlineStr">
        <is>
          <t>Não</t>
        </is>
      </c>
      <c r="J1047" s="13" t="n">
        <v>2025</v>
      </c>
      <c r="L1047" s="13" t="n">
        <v>1</v>
      </c>
      <c r="M1047" s="8">
        <f>L1047*G1047</f>
        <v/>
      </c>
      <c r="P1047" s="9" t="n"/>
    </row>
    <row r="1048">
      <c r="A1048" s="13" t="inlineStr">
        <is>
          <t>Fang Guardian</t>
        </is>
      </c>
      <c r="B1048" s="13" t="inlineStr">
        <is>
          <t>Creature — Ape Druid</t>
        </is>
      </c>
      <c r="C1048" s="13" t="inlineStr">
        <is>
          <t>Uncommon / Incomum</t>
        </is>
      </c>
      <c r="D1048" s="13" t="inlineStr">
        <is>
          <t>Flash When this creature enters, another target creature or Vehicle you control gets +2/+2 until end of turn.</t>
        </is>
      </c>
      <c r="E1048" s="13" t="inlineStr">
        <is>
          <t>{3}{G}</t>
        </is>
      </c>
      <c r="F1048" s="13" t="inlineStr">
        <is>
          <t>Verde</t>
        </is>
      </c>
      <c r="G1048" s="8" t="n">
        <v>0.1</v>
      </c>
      <c r="H1048" s="13" t="inlineStr">
        <is>
          <t>Aetherdrift (DFT)</t>
        </is>
      </c>
      <c r="I1048" s="13" t="inlineStr">
        <is>
          <t>Não</t>
        </is>
      </c>
      <c r="J1048" s="13" t="n">
        <v>2025</v>
      </c>
      <c r="K1048" s="10" t="n">
        <v>46057</v>
      </c>
      <c r="L1048" s="13" t="n">
        <v>1</v>
      </c>
      <c r="M1048" s="8">
        <f>L1048*G1048</f>
        <v/>
      </c>
      <c r="P1048" s="9" t="n"/>
    </row>
    <row r="1049">
      <c r="A1049" s="13" t="inlineStr">
        <is>
          <t>Fang, Fearless l'Cie / Fang, l'Cie Destemida</t>
        </is>
      </c>
      <c r="B1049" s="13" t="inlineStr">
        <is>
          <t>Criatura Lendária — Humano Guerreiro</t>
        </is>
      </c>
      <c r="C1049" s="13" t="inlineStr">
        <is>
          <t>Incomum</t>
        </is>
      </c>
      <c r="D1049" s="13" t="inlineStr">
        <is>
          <t>Sempre que um ou mais cards deixarem o seu cemitério, você compra um card e perde 1 de vida. Esta habilidade é ativada apenas uma vez a cada turno. (Funde-se com Vanille, Cheerful l'Cie.)</t>
        </is>
      </c>
      <c r="E1049" s="13" t="inlineStr">
        <is>
          <t>2{B}</t>
        </is>
      </c>
      <c r="F1049" s="13" t="inlineStr">
        <is>
          <t>Preto</t>
        </is>
      </c>
      <c r="G1049" s="8" t="n">
        <v>0.2</v>
      </c>
      <c r="H1049" s="13" t="inlineStr">
        <is>
          <t>Final Fantasy</t>
        </is>
      </c>
      <c r="I1049" s="13" t="inlineStr">
        <is>
          <t>Não</t>
        </is>
      </c>
      <c r="J1049" s="13" t="n">
        <v>2025</v>
      </c>
      <c r="K1049" s="10" t="n">
        <v>46083</v>
      </c>
      <c r="L1049" s="13" t="n">
        <v>1</v>
      </c>
      <c r="M1049" s="8">
        <f>L1049*G1049</f>
        <v/>
      </c>
      <c r="P1049" s="9" t="n"/>
    </row>
    <row r="1050">
      <c r="A1050" s="13" t="inlineStr">
        <is>
          <t>Fanged Flames / Chamas Dentadas</t>
        </is>
      </c>
      <c r="B1050" s="13" t="inlineStr">
        <is>
          <t>Sorcery / Feitiço</t>
        </is>
      </c>
      <c r="C1050" s="13" t="inlineStr">
        <is>
          <t>Common / Comum</t>
        </is>
      </c>
      <c r="D1050" s="13"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050" s="13" t="inlineStr">
        <is>
          <t>{1}{R}</t>
        </is>
      </c>
      <c r="F1050" s="13" t="inlineStr">
        <is>
          <t>Vermelho</t>
        </is>
      </c>
      <c r="G1050" s="8" t="n">
        <v>0.28</v>
      </c>
      <c r="H1050" s="13" t="inlineStr">
        <is>
          <t>Modern Horizons 3 (MH3)</t>
        </is>
      </c>
      <c r="I1050" s="13" t="inlineStr">
        <is>
          <t>Não</t>
        </is>
      </c>
      <c r="J1050" s="13" t="n">
        <v>2024</v>
      </c>
      <c r="L1050" s="13" t="n">
        <v>2</v>
      </c>
      <c r="M1050" s="8">
        <f>L1050*G1050</f>
        <v/>
      </c>
      <c r="P1050" s="9" t="n"/>
    </row>
    <row r="1051">
      <c r="A1051" s="13" t="inlineStr">
        <is>
          <t>Fangs of Kalonia / Presas de Kalonia</t>
        </is>
      </c>
      <c r="B1051" s="13" t="inlineStr">
        <is>
          <t>Sorcery / Feitiço</t>
        </is>
      </c>
      <c r="C1051" s="13" t="inlineStr">
        <is>
          <t>Uncommon / Incomum</t>
        </is>
      </c>
      <c r="D1051" s="13"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1051" s="13" t="inlineStr">
        <is>
          <t>{1}{G}</t>
        </is>
      </c>
      <c r="F1051" s="13" t="inlineStr">
        <is>
          <t>Verde</t>
        </is>
      </c>
      <c r="G1051" s="8" t="n">
        <v>0.15</v>
      </c>
      <c r="H1051" s="13" t="inlineStr">
        <is>
          <t>Modern Horizons 3 (MH3)</t>
        </is>
      </c>
      <c r="I1051" s="13" t="inlineStr">
        <is>
          <t>Não</t>
        </is>
      </c>
      <c r="J1051" s="13" t="n">
        <v>2024</v>
      </c>
      <c r="L1051" s="13" t="n">
        <v>1</v>
      </c>
      <c r="M1051" s="8">
        <f>L1051*G1051</f>
        <v/>
      </c>
      <c r="P1051" s="9" t="n"/>
    </row>
    <row r="1052">
      <c r="A1052" s="13" t="inlineStr">
        <is>
          <t>Faramir, Field Commander / Faramir, Comandante de Campo</t>
        </is>
      </c>
      <c r="B1052" s="13" t="inlineStr">
        <is>
          <t>Legendary Creature — Human Soldier / Criatura Lendária — Humano Soldado</t>
        </is>
      </c>
      <c r="C1052" s="13" t="inlineStr">
        <is>
          <t>Uncommon / Incomum</t>
        </is>
      </c>
      <c r="D1052" s="13"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1052" s="13" t="inlineStr">
        <is>
          <t>{3}{W}</t>
        </is>
      </c>
      <c r="F1052" s="13" t="inlineStr">
        <is>
          <t>Branco</t>
        </is>
      </c>
      <c r="G1052" s="8" t="n">
        <v>0.2</v>
      </c>
      <c r="H1052" s="13" t="inlineStr">
        <is>
          <t>The Lord of the Rings: Tales of Middle-earth (LTR)</t>
        </is>
      </c>
      <c r="I1052" s="13" t="inlineStr">
        <is>
          <t>Não</t>
        </is>
      </c>
      <c r="J1052" s="13" t="n">
        <v>2023</v>
      </c>
      <c r="K1052" s="10" t="n">
        <v>46084</v>
      </c>
      <c r="L1052" s="13" t="n">
        <v>1</v>
      </c>
      <c r="M1052" s="8">
        <f>L1052*G1052</f>
        <v/>
      </c>
      <c r="P1052" s="9" t="n"/>
    </row>
    <row r="1053">
      <c r="A1053" s="13" t="inlineStr">
        <is>
          <t>Farhaven Elf / Elfo Porto-longínquo</t>
        </is>
      </c>
      <c r="B1053" s="13" t="inlineStr">
        <is>
          <t>Creature — Elf Druid / Criatura — Elfo Druida</t>
        </is>
      </c>
      <c r="C1053" s="13" t="inlineStr">
        <is>
          <t>Rare / Rara</t>
        </is>
      </c>
      <c r="D1053" s="13"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1053" s="13" t="inlineStr">
        <is>
          <t>{2}{G}</t>
        </is>
      </c>
      <c r="F1053" s="13" t="inlineStr">
        <is>
          <t>Verde</t>
        </is>
      </c>
      <c r="G1053" s="8" t="n">
        <v>1</v>
      </c>
      <c r="H1053" s="13" t="inlineStr">
        <is>
          <t>Wizards Play Network 2026 (PW26)</t>
        </is>
      </c>
      <c r="I1053" s="13" t="inlineStr">
        <is>
          <t>Não</t>
        </is>
      </c>
      <c r="J1053" s="13" t="n">
        <v>2026</v>
      </c>
      <c r="K1053" s="10" t="n">
        <v>46023</v>
      </c>
      <c r="L1053" s="13" t="n">
        <v>1</v>
      </c>
      <c r="M1053" s="8">
        <f>L1053*G1053</f>
        <v/>
      </c>
      <c r="N1053" s="13" t="inlineStr">
        <is>
          <t>Pasta</t>
        </is>
      </c>
      <c r="P1053" s="9" t="n"/>
    </row>
    <row r="1054">
      <c r="A1054" s="13" t="inlineStr">
        <is>
          <t>Farrel's Mantle / Manto de Farrel</t>
        </is>
      </c>
      <c r="B1054" s="13" t="inlineStr">
        <is>
          <t>Enchant Creature</t>
        </is>
      </c>
      <c r="C1054" s="13" t="inlineStr">
        <is>
          <t>Uncommon</t>
        </is>
      </c>
      <c r="D1054" s="13"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1054" s="8" t="n">
        <v>0.27</v>
      </c>
      <c r="H1054" s="13" t="inlineStr">
        <is>
          <t>Fallen empires</t>
        </is>
      </c>
      <c r="I1054" s="13" t="inlineStr">
        <is>
          <t>Não</t>
        </is>
      </c>
      <c r="J1054" s="13" t="n">
        <v>1994</v>
      </c>
      <c r="L1054" s="13" t="n">
        <v>1</v>
      </c>
      <c r="M1054" s="8">
        <f>L1054*G1054</f>
        <v/>
      </c>
      <c r="P1054" s="9" t="n"/>
    </row>
    <row r="1055">
      <c r="A1055" s="13" t="inlineStr">
        <is>
          <t>Fatal Fissure</t>
        </is>
      </c>
      <c r="B1055" s="13" t="inlineStr">
        <is>
          <t>Instant</t>
        </is>
      </c>
      <c r="C1055" s="13" t="inlineStr">
        <is>
          <t>Uncommon / Incomum</t>
        </is>
      </c>
      <c r="D1055" s="13" t="inlineStr">
        <is>
          <t>Choose target creature. When that creature dies this turn, you earthbend 4. (Target land you control becomes a 0/0 creature with haste that's still a land. Put four +1/+1 counters on it. When it dies or is exiled, return it to the battlefield tapped.)</t>
        </is>
      </c>
      <c r="E1055" s="13" t="inlineStr">
        <is>
          <t>{1}{B}</t>
        </is>
      </c>
      <c r="F1055" s="13" t="inlineStr">
        <is>
          <t>Preto</t>
        </is>
      </c>
      <c r="G1055" s="8" t="n">
        <v>0.07000000000000001</v>
      </c>
      <c r="H1055" s="13" t="inlineStr">
        <is>
          <t>Avatar: The Last Airbender (TLA)</t>
        </is>
      </c>
      <c r="I1055" s="13" t="inlineStr">
        <is>
          <t>Não</t>
        </is>
      </c>
      <c r="J1055" s="13" t="n">
        <v>2025</v>
      </c>
      <c r="L1055" s="13" t="n">
        <v>2</v>
      </c>
      <c r="M1055" s="8">
        <f>L1055*G1055</f>
        <v/>
      </c>
      <c r="P1055" s="9" t="n"/>
    </row>
    <row r="1056">
      <c r="A1056" s="13" t="inlineStr">
        <is>
          <t>Fatal Lore / Conhecimento Fatal</t>
        </is>
      </c>
      <c r="B1056" s="13" t="inlineStr">
        <is>
          <t>Sorcery</t>
        </is>
      </c>
      <c r="C1056" s="13" t="inlineStr">
        <is>
          <t>Rare / Rara</t>
        </is>
      </c>
      <c r="D1056" s="13" t="inlineStr">
        <is>
          <t>An opponent chooses one — • You draw three cards. • You destroy up to two target creatures that player controls. They can't be regenerated. That player draws up to three cards.</t>
        </is>
      </c>
      <c r="E1056" s="13" t="inlineStr">
        <is>
          <t>{2}{B}{B}</t>
        </is>
      </c>
      <c r="F1056" s="13" t="inlineStr">
        <is>
          <t>Preto</t>
        </is>
      </c>
      <c r="G1056" s="8" t="n">
        <v>2.48</v>
      </c>
      <c r="H1056" s="13" t="inlineStr">
        <is>
          <t>Alliances (ALL)</t>
        </is>
      </c>
      <c r="I1056" s="13" t="inlineStr">
        <is>
          <t>Não</t>
        </is>
      </c>
      <c r="J1056" s="13" t="n">
        <v>1996</v>
      </c>
      <c r="L1056" s="13" t="n">
        <v>1</v>
      </c>
      <c r="M1056" s="8">
        <f>L1056*G1056</f>
        <v/>
      </c>
      <c r="P1056" s="9" t="n"/>
    </row>
    <row r="1057">
      <c r="A1057" s="13" t="inlineStr">
        <is>
          <t>Fate of the Sun-Cryst</t>
        </is>
      </c>
      <c r="B1057" s="13" t="inlineStr">
        <is>
          <t>Instant</t>
        </is>
      </c>
      <c r="C1057" s="13" t="inlineStr">
        <is>
          <t>Comum</t>
        </is>
      </c>
      <c r="D1057" s="13" t="inlineStr">
        <is>
          <t>This spell costs 2 less to cast if it targets a tapped creature. Destroy target nonland permanent.</t>
        </is>
      </c>
      <c r="E1057" s="13" t="inlineStr">
        <is>
          <t>4W</t>
        </is>
      </c>
      <c r="F1057" s="13" t="inlineStr">
        <is>
          <t>Branca</t>
        </is>
      </c>
      <c r="G1057" s="8" t="n">
        <v>0.04</v>
      </c>
      <c r="H1057" s="13" t="inlineStr">
        <is>
          <t>Final Fantasy (FFXII)</t>
        </is>
      </c>
      <c r="I1057" s="13" t="inlineStr">
        <is>
          <t>Não</t>
        </is>
      </c>
      <c r="J1057" s="13" t="n">
        <v>2025</v>
      </c>
      <c r="L1057" s="13" t="n">
        <v>6</v>
      </c>
      <c r="M1057" s="8">
        <f>L1057*G1057</f>
        <v/>
      </c>
      <c r="P1057" s="9" t="n"/>
    </row>
    <row r="1058">
      <c r="A1058" s="13" t="inlineStr">
        <is>
          <t>Fate Transfer / Transferência de Destino</t>
        </is>
      </c>
      <c r="B1058" s="13" t="inlineStr">
        <is>
          <t>Instant / Mágica Instantânea</t>
        </is>
      </c>
      <c r="C1058" s="13" t="inlineStr">
        <is>
          <t>Common / Comum</t>
        </is>
      </c>
      <c r="D1058" s="13" t="inlineStr">
        <is>
          <t>Move all counters from target creature onto another target creature. / Mova todos os marcadores da criatura alvo para outra criatura alvo.</t>
        </is>
      </c>
      <c r="E1058" s="13" t="inlineStr">
        <is>
          <t>{1}{U/B}</t>
        </is>
      </c>
      <c r="F1058" s="13" t="inlineStr">
        <is>
          <t>Preto, Azul</t>
        </is>
      </c>
      <c r="G1058" s="8" t="n">
        <v>0.2</v>
      </c>
      <c r="H1058" s="13" t="inlineStr">
        <is>
          <t>Shadowmoor (SHM)</t>
        </is>
      </c>
      <c r="I1058" s="13" t="inlineStr">
        <is>
          <t>Não</t>
        </is>
      </c>
      <c r="J1058" s="13" t="n">
        <v>2008</v>
      </c>
      <c r="L1058" s="13" t="n">
        <v>1</v>
      </c>
      <c r="M1058" s="8">
        <f>L1058*G1058</f>
        <v/>
      </c>
      <c r="P1058" s="9" t="n"/>
    </row>
    <row r="1059">
      <c r="A1059" s="13" t="inlineStr">
        <is>
          <t>Fathom Feeder / Alimentador das Profundezas</t>
        </is>
      </c>
      <c r="B1059" s="13" t="inlineStr">
        <is>
          <t>Creature — Eldrazi Drone / Criatura — Eldrazi Zangão</t>
        </is>
      </c>
      <c r="C1059" s="13" t="inlineStr">
        <is>
          <t>Rare / Rara</t>
        </is>
      </c>
      <c r="D1059" s="13"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059" s="13" t="inlineStr">
        <is>
          <t>{U}{B}</t>
        </is>
      </c>
      <c r="F1059" s="13" t="inlineStr">
        <is>
          <t>Preto, Azul</t>
        </is>
      </c>
      <c r="G1059" s="8" t="n">
        <v>0.1</v>
      </c>
      <c r="H1059" s="13" t="inlineStr">
        <is>
          <t>Battle for Zendikar (BFZ)</t>
        </is>
      </c>
      <c r="I1059" s="13" t="inlineStr">
        <is>
          <t>Não</t>
        </is>
      </c>
      <c r="J1059" s="13" t="n">
        <v>2015</v>
      </c>
      <c r="K1059" s="10" t="n">
        <v>46023</v>
      </c>
      <c r="L1059" s="13" t="n">
        <v>1</v>
      </c>
      <c r="M1059" s="8">
        <f>L1059*G1059</f>
        <v/>
      </c>
      <c r="P1059" s="9" t="n"/>
    </row>
    <row r="1060">
      <c r="A1060" s="13" t="inlineStr">
        <is>
          <t>Fathom Fleet Cutthroat / Degoladora da Frota Abissal</t>
        </is>
      </c>
      <c r="B1060" s="13" t="inlineStr">
        <is>
          <t>Creature — Human Pirate / Criatura — Humano Pirata</t>
        </is>
      </c>
      <c r="C1060" s="13" t="inlineStr">
        <is>
          <t>Common / Comum</t>
        </is>
      </c>
      <c r="D1060" s="13" t="inlineStr">
        <is>
          <t>When this creature enters, destroy target creature an opponent controls that was dealt damage this turn. / Quando Degoladora da Frota Abissal entrar no campo de batalha, destrua a criatura alvo que um oponente controla que sofreu dano neste turno.</t>
        </is>
      </c>
      <c r="E1060" s="13" t="inlineStr">
        <is>
          <t>{3}{B}</t>
        </is>
      </c>
      <c r="F1060" s="13" t="inlineStr">
        <is>
          <t>Preto</t>
        </is>
      </c>
      <c r="G1060" s="8" t="n">
        <v>0.03</v>
      </c>
      <c r="H1060" s="13" t="inlineStr">
        <is>
          <t>Ixalan (XLN)</t>
        </is>
      </c>
      <c r="I1060" s="13" t="inlineStr">
        <is>
          <t>Não</t>
        </is>
      </c>
      <c r="J1060" s="13" t="n">
        <v>2017</v>
      </c>
      <c r="K1060" s="10" t="n">
        <v>46084</v>
      </c>
      <c r="L1060" s="13" t="n">
        <v>1</v>
      </c>
      <c r="M1060" s="8">
        <f>L1060*G1060</f>
        <v/>
      </c>
      <c r="P1060" s="9" t="n"/>
    </row>
    <row r="1061">
      <c r="A1061" s="13" t="inlineStr">
        <is>
          <t>Fathom Seer / Vidente das Profundezas</t>
        </is>
      </c>
      <c r="B1061" s="13" t="inlineStr">
        <is>
          <t>Criatura — Ilusão</t>
        </is>
      </c>
      <c r="C1061" s="13" t="inlineStr">
        <is>
          <t>Comum</t>
        </is>
      </c>
      <c r="D1061" s="13"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061" s="13" t="inlineStr">
        <is>
          <t>1U</t>
        </is>
      </c>
      <c r="F1061" s="13" t="inlineStr">
        <is>
          <t>Azul</t>
        </is>
      </c>
      <c r="G1061" s="8" t="n">
        <v>0.06</v>
      </c>
      <c r="H1061" s="13" t="inlineStr">
        <is>
          <t>Duel Decks: Speed vs. Cunning</t>
        </is>
      </c>
      <c r="I1061" s="13" t="inlineStr">
        <is>
          <t>Não</t>
        </is>
      </c>
      <c r="J1061" s="13" t="n">
        <v>2014</v>
      </c>
      <c r="K1061" s="10" t="n">
        <v>46082</v>
      </c>
      <c r="L1061" s="13" t="n">
        <v>1</v>
      </c>
      <c r="M1061" s="8">
        <f>L1061*G1061</f>
        <v/>
      </c>
      <c r="P1061" s="9" t="n"/>
    </row>
    <row r="1062">
      <c r="A1062" s="13" t="inlineStr">
        <is>
          <t>Fatia de Sombra / Shadow Slice</t>
        </is>
      </c>
      <c r="B1062" s="13" t="inlineStr">
        <is>
          <t>Feitiço / Sorcery</t>
        </is>
      </c>
      <c r="C1062" s="13" t="inlineStr">
        <is>
          <t>Comum / Common</t>
        </is>
      </c>
      <c r="D1062" s="13"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62" s="13" t="inlineStr">
        <is>
          <t>{4}{B}</t>
        </is>
      </c>
      <c r="F1062" s="13" t="inlineStr">
        <is>
          <t>Preto</t>
        </is>
      </c>
      <c r="G1062" s="8" t="n">
        <v>0.05</v>
      </c>
      <c r="H1062" s="13" t="inlineStr">
        <is>
          <t>Gatecrash (GTC)</t>
        </is>
      </c>
      <c r="I1062" s="13" t="inlineStr">
        <is>
          <t>Não</t>
        </is>
      </c>
      <c r="J1062" s="13" t="n">
        <v>2013</v>
      </c>
      <c r="L1062" s="13" t="n">
        <v>4</v>
      </c>
      <c r="M1062" s="8">
        <f>L1062*G1062</f>
        <v/>
      </c>
      <c r="P1062" s="9" t="n"/>
    </row>
    <row r="1063">
      <c r="A1063" s="13" t="inlineStr">
        <is>
          <t>Faunsbane Troll / Trol Ruína dos Faunos</t>
        </is>
      </c>
      <c r="B1063" s="13" t="inlineStr">
        <is>
          <t>Creature — Troll / Criatura — Trol</t>
        </is>
      </c>
      <c r="C1063" s="13" t="inlineStr">
        <is>
          <t>Rare / Rara</t>
        </is>
      </c>
      <c r="D1063" s="13"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1063" s="13" t="inlineStr">
        <is>
          <t>{2}{B}{G}</t>
        </is>
      </c>
      <c r="F1063" s="13" t="inlineStr">
        <is>
          <t>Preto, Verde</t>
        </is>
      </c>
      <c r="G1063" s="8" t="n">
        <v>0.11</v>
      </c>
      <c r="H1063" s="13" t="inlineStr">
        <is>
          <t>Wilds of Eldraine (WOE)</t>
        </is>
      </c>
      <c r="I1063" s="13" t="inlineStr">
        <is>
          <t>Não</t>
        </is>
      </c>
      <c r="J1063" s="13" t="n">
        <v>2023</v>
      </c>
      <c r="K1063" s="10" t="n">
        <v>46116</v>
      </c>
      <c r="L1063" s="13" t="n">
        <v>2</v>
      </c>
      <c r="M1063" s="8">
        <f>L1063*G1063</f>
        <v/>
      </c>
      <c r="P1063" s="9" t="n"/>
    </row>
    <row r="1064">
      <c r="A1064" s="13" t="inlineStr">
        <is>
          <t>Favor of Jukai / Proteção de Jukai</t>
        </is>
      </c>
      <c r="B1064" s="13" t="inlineStr">
        <is>
          <t>Enchantment — Aura / Encantamento — Aura</t>
        </is>
      </c>
      <c r="C1064" s="13" t="inlineStr">
        <is>
          <t>Common / Comum</t>
        </is>
      </c>
      <c r="D1064" s="13"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1064" s="13" t="inlineStr">
        <is>
          <t>{3}{G}</t>
        </is>
      </c>
      <c r="F1064" s="13" t="inlineStr">
        <is>
          <t>Verde</t>
        </is>
      </c>
      <c r="G1064" s="8" t="n">
        <v>0.04</v>
      </c>
      <c r="H1064" s="13" t="inlineStr">
        <is>
          <t>Kamigawa: Neon Dynasty (NEO)</t>
        </is>
      </c>
      <c r="I1064" s="13" t="inlineStr">
        <is>
          <t>Não</t>
        </is>
      </c>
      <c r="J1064" s="13" t="n">
        <v>2022</v>
      </c>
      <c r="L1064" s="13" t="n">
        <v>1</v>
      </c>
      <c r="M1064" s="8">
        <f>L1064*G1064</f>
        <v/>
      </c>
      <c r="P1064" s="9" t="n"/>
    </row>
    <row r="1065">
      <c r="A1065" s="13" t="inlineStr">
        <is>
          <t>Fear / Amedrontar</t>
        </is>
      </c>
      <c r="B1065" s="13" t="inlineStr">
        <is>
          <t>Enchantment — Aura / Encantamento — Aura</t>
        </is>
      </c>
      <c r="C1065" s="13" t="inlineStr">
        <is>
          <t>Common / Comum</t>
        </is>
      </c>
      <c r="D1065" s="13"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065" s="13" t="inlineStr">
        <is>
          <t>{B}{B}</t>
        </is>
      </c>
      <c r="F1065" s="13" t="inlineStr">
        <is>
          <t>Preto</t>
        </is>
      </c>
      <c r="G1065" s="8" t="n">
        <v>0.08</v>
      </c>
      <c r="H1065" s="13" t="inlineStr">
        <is>
          <t>Quarta Edição</t>
        </is>
      </c>
      <c r="I1065" s="13" t="inlineStr">
        <is>
          <t>Não</t>
        </is>
      </c>
      <c r="J1065" s="13" t="n">
        <v>1995</v>
      </c>
      <c r="L1065" s="13" t="n">
        <v>3</v>
      </c>
      <c r="M1065" s="8">
        <f>L1065*G1065</f>
        <v/>
      </c>
      <c r="P1065" s="9" t="n"/>
    </row>
    <row r="1066">
      <c r="A1066" s="13" t="inlineStr">
        <is>
          <t>Fear / Amedrontar</t>
        </is>
      </c>
      <c r="B1066" s="13" t="inlineStr">
        <is>
          <t>Enchantment — Aura / Encantamento — Aura</t>
        </is>
      </c>
      <c r="C1066" s="13" t="inlineStr">
        <is>
          <t>Common / Comum</t>
        </is>
      </c>
      <c r="D1066" s="13"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066" s="13" t="inlineStr">
        <is>
          <t>{B}{B}</t>
        </is>
      </c>
      <c r="F1066" s="13" t="inlineStr">
        <is>
          <t>Preto</t>
        </is>
      </c>
      <c r="G1066" s="8" t="n">
        <v>0.21</v>
      </c>
      <c r="H1066" s="13" t="inlineStr">
        <is>
          <t>Quarta Edição (BB)</t>
        </is>
      </c>
      <c r="I1066" s="13" t="inlineStr">
        <is>
          <t>Não</t>
        </is>
      </c>
      <c r="J1066" s="13" t="n">
        <v>1995</v>
      </c>
      <c r="L1066" s="13" t="n">
        <v>3</v>
      </c>
      <c r="M1066" s="8">
        <f>L1066*G1066</f>
        <v/>
      </c>
      <c r="P1066" s="9" t="n"/>
    </row>
    <row r="1067">
      <c r="A1067" s="13" t="inlineStr">
        <is>
          <t>Fear / Amedrontar</t>
        </is>
      </c>
      <c r="B1067" s="13" t="inlineStr">
        <is>
          <t>Enchantment — Aura / Encantamento — Aura</t>
        </is>
      </c>
      <c r="C1067" s="13" t="inlineStr">
        <is>
          <t>Common / Comum</t>
        </is>
      </c>
      <c r="D1067" s="13"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067" s="13" t="inlineStr">
        <is>
          <t>{B}{B}</t>
        </is>
      </c>
      <c r="F1067" s="13" t="inlineStr">
        <is>
          <t>Preto</t>
        </is>
      </c>
      <c r="G1067" s="8" t="n">
        <v>0.15</v>
      </c>
      <c r="H1067" s="13" t="inlineStr">
        <is>
          <t>Revised Edition</t>
        </is>
      </c>
      <c r="I1067" s="13" t="inlineStr">
        <is>
          <t>Não</t>
        </is>
      </c>
      <c r="J1067" s="13" t="n">
        <v>1995</v>
      </c>
      <c r="L1067" s="13" t="n">
        <v>2</v>
      </c>
      <c r="M1067" s="8">
        <f>L1067*G1067</f>
        <v/>
      </c>
      <c r="P1067" s="9" t="n"/>
    </row>
    <row r="1068">
      <c r="A1068" s="13" t="inlineStr">
        <is>
          <t>Fear of Burning Alive</t>
        </is>
      </c>
      <c r="B1068" s="13" t="inlineStr">
        <is>
          <t>Enchantment Creature — Nightmare</t>
        </is>
      </c>
      <c r="C1068" s="13" t="inlineStr">
        <is>
          <t>Uncommon / Incomum</t>
        </is>
      </c>
      <c r="D1068" s="13"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1068" s="13" t="inlineStr">
        <is>
          <t>{4}{R}{R}</t>
        </is>
      </c>
      <c r="F1068" s="13" t="inlineStr">
        <is>
          <t>Vermelho</t>
        </is>
      </c>
      <c r="G1068" s="8" t="n">
        <v>0.09</v>
      </c>
      <c r="H1068" s="13" t="inlineStr">
        <is>
          <t>Duskmourn: House of Horror (DSK)</t>
        </is>
      </c>
      <c r="I1068" s="13" t="inlineStr">
        <is>
          <t>Não</t>
        </is>
      </c>
      <c r="J1068" s="13" t="n">
        <v>2024</v>
      </c>
      <c r="K1068" s="10" t="n">
        <v>46116</v>
      </c>
      <c r="L1068" s="13" t="n">
        <v>1</v>
      </c>
      <c r="M1068" s="8">
        <f>L1068*G1068</f>
        <v/>
      </c>
      <c r="P1068" s="9" t="n"/>
    </row>
    <row r="1069">
      <c r="A1069" s="13" t="inlineStr">
        <is>
          <t>Fear of Impostors</t>
        </is>
      </c>
      <c r="B1069" s="13" t="inlineStr">
        <is>
          <t>Enchantment Creature — Nightmare</t>
        </is>
      </c>
      <c r="C1069" s="13" t="inlineStr">
        <is>
          <t>Uncommon / Incomum</t>
        </is>
      </c>
      <c r="D1069" s="13"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1069" s="13" t="inlineStr">
        <is>
          <t>{1}{U}{U}</t>
        </is>
      </c>
      <c r="F1069" s="13" t="inlineStr">
        <is>
          <t>Azul</t>
        </is>
      </c>
      <c r="G1069" s="8" t="n">
        <v>0.19</v>
      </c>
      <c r="H1069" s="13" t="inlineStr">
        <is>
          <t>Duskmourn: House of Horror (DSK)</t>
        </is>
      </c>
      <c r="I1069" s="13" t="inlineStr">
        <is>
          <t>Não</t>
        </is>
      </c>
      <c r="J1069" s="13" t="n">
        <v>2024</v>
      </c>
      <c r="K1069" s="10" t="n">
        <v>46056</v>
      </c>
      <c r="L1069" s="13" t="n">
        <v>1</v>
      </c>
      <c r="M1069" s="8">
        <f>L1069*G1069</f>
        <v/>
      </c>
      <c r="P1069" s="9" t="n"/>
    </row>
    <row r="1070">
      <c r="A1070" s="13" t="inlineStr">
        <is>
          <t>Fear of Surveillance</t>
        </is>
      </c>
      <c r="B1070" s="13" t="inlineStr">
        <is>
          <t>Enchantment Creature — Nightmare</t>
        </is>
      </c>
      <c r="C1070" s="13" t="inlineStr">
        <is>
          <t>Common / Comum</t>
        </is>
      </c>
      <c r="D1070" s="13" t="inlineStr">
        <is>
          <t>Vigilance Whenever this creature attacks, surveil 1. (Look at the top card of your library. You may put it into your graveyard.)</t>
        </is>
      </c>
      <c r="E1070" s="13" t="inlineStr">
        <is>
          <t>{1}{W}</t>
        </is>
      </c>
      <c r="F1070" s="13" t="inlineStr">
        <is>
          <t>Branco</t>
        </is>
      </c>
      <c r="G1070" s="8" t="n">
        <v>0.05</v>
      </c>
      <c r="H1070" s="13" t="inlineStr">
        <is>
          <t>Duskmourn: House of Horror (DSK)</t>
        </is>
      </c>
      <c r="I1070" s="13" t="inlineStr">
        <is>
          <t>Não</t>
        </is>
      </c>
      <c r="J1070" s="13" t="n">
        <v>2024</v>
      </c>
      <c r="K1070" s="10" t="n">
        <v>46055</v>
      </c>
      <c r="L1070" s="13" t="n">
        <v>1</v>
      </c>
      <c r="M1070" s="8">
        <f>L1070*G1070</f>
        <v/>
      </c>
      <c r="P1070" s="9" t="n"/>
    </row>
    <row r="1071">
      <c r="A1071" s="13" t="inlineStr">
        <is>
          <t>Fear of the Dark</t>
        </is>
      </c>
      <c r="B1071" s="13" t="inlineStr">
        <is>
          <t>Enchantment Creature — Nightmare</t>
        </is>
      </c>
      <c r="C1071" s="13" t="inlineStr">
        <is>
          <t>Common / Comum</t>
        </is>
      </c>
      <c r="D1071" s="13" t="inlineStr">
        <is>
          <t>Whenever this creature attacks, if defending player controls no Glimmer creatures, it gains menace and deathtouch until end of turn. (A creature with menace can't be blocked except by two or more creatures.)</t>
        </is>
      </c>
      <c r="E1071" s="13" t="inlineStr">
        <is>
          <t>{4}{B}</t>
        </is>
      </c>
      <c r="F1071" s="13" t="inlineStr">
        <is>
          <t>Preto</t>
        </is>
      </c>
      <c r="G1071" s="8" t="n">
        <v>0.03</v>
      </c>
      <c r="H1071" s="13" t="inlineStr">
        <is>
          <t>Duskmourn: House of Horror (DSK)</t>
        </is>
      </c>
      <c r="I1071" s="13" t="inlineStr">
        <is>
          <t>Não</t>
        </is>
      </c>
      <c r="J1071" s="13" t="n">
        <v>2024</v>
      </c>
      <c r="K1071" s="10" t="n">
        <v>46147</v>
      </c>
      <c r="L1071" s="13" t="n">
        <v>1</v>
      </c>
      <c r="M1071" s="8">
        <f>L1071*G1071</f>
        <v/>
      </c>
      <c r="P1071" s="9" t="n"/>
    </row>
    <row r="1072">
      <c r="A1072" s="13" t="inlineStr">
        <is>
          <t>Fearsome Temper / Temperamento Medonho</t>
        </is>
      </c>
      <c r="B1072" s="13" t="inlineStr">
        <is>
          <t>Enchantment — Aura / Encantamento — Aura</t>
        </is>
      </c>
      <c r="C1072" s="13" t="inlineStr">
        <is>
          <t>Common / Comum</t>
        </is>
      </c>
      <c r="D1072" s="13" t="inlineStr">
        <is>
          <t>Enchant creature Enchanted creature gets +2/+2 and has "{2}{R}: Target creature can't block this creature this turn." / Encantar criatura A criatura encantada recebe +2/+2 e tem "{2}{R}: A criatura alvo não pode bloquear esta criatura neste turno."</t>
        </is>
      </c>
      <c r="E1072" s="13" t="inlineStr">
        <is>
          <t>{2}{R}</t>
        </is>
      </c>
      <c r="F1072" s="13" t="inlineStr">
        <is>
          <t>Vermelho</t>
        </is>
      </c>
      <c r="G1072" s="8" t="n">
        <v>0.03</v>
      </c>
      <c r="H1072" s="13" t="inlineStr">
        <is>
          <t>Born of the Gods (BNG)</t>
        </is>
      </c>
      <c r="I1072" s="13" t="inlineStr">
        <is>
          <t>Não</t>
        </is>
      </c>
      <c r="J1072" s="13" t="n">
        <v>2014</v>
      </c>
      <c r="L1072" s="13" t="n">
        <v>1</v>
      </c>
      <c r="M1072" s="8">
        <f>L1072*G1072</f>
        <v/>
      </c>
      <c r="P1072" s="9" t="n"/>
    </row>
    <row r="1073">
      <c r="A1073" s="13" t="inlineStr">
        <is>
          <t>Feast of Dreams / Banquete de Sonhos</t>
        </is>
      </c>
      <c r="B1073" s="13" t="inlineStr">
        <is>
          <t>Instant / Mágica Instantânea</t>
        </is>
      </c>
      <c r="C1073" s="13" t="inlineStr">
        <is>
          <t>Common / Comum</t>
        </is>
      </c>
      <c r="D1073" s="13" t="inlineStr">
        <is>
          <t>Destroy target enchanted creature or enchantment creature. / Destrua a criatura encantada ou a criatura encantamento alvo.</t>
        </is>
      </c>
      <c r="E1073" s="13" t="inlineStr">
        <is>
          <t>{1}{B}</t>
        </is>
      </c>
      <c r="F1073" s="13" t="inlineStr">
        <is>
          <t>Preto</t>
        </is>
      </c>
      <c r="G1073" s="8" t="n">
        <v>0.06</v>
      </c>
      <c r="H1073" s="13" t="inlineStr">
        <is>
          <t>Journey into Nyx (JOU)</t>
        </is>
      </c>
      <c r="I1073" s="13" t="inlineStr">
        <is>
          <t>Não</t>
        </is>
      </c>
      <c r="J1073" s="13" t="n">
        <v>2014</v>
      </c>
      <c r="L1073" s="13" t="n">
        <v>4</v>
      </c>
      <c r="M1073" s="8">
        <f>L1073*G1073</f>
        <v/>
      </c>
      <c r="P1073" s="9" t="n"/>
    </row>
    <row r="1074">
      <c r="A1074" s="13" t="inlineStr">
        <is>
          <t>Feast of Flesh / Banquete de Carne</t>
        </is>
      </c>
      <c r="B1074" s="13" t="inlineStr">
        <is>
          <t>Sorcery / Feitiço</t>
        </is>
      </c>
      <c r="C1074" s="13" t="inlineStr">
        <is>
          <t>Common / Comum</t>
        </is>
      </c>
      <c r="D1074" s="13"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074" s="13" t="inlineStr">
        <is>
          <t>{B}</t>
        </is>
      </c>
      <c r="F1074" s="13" t="inlineStr">
        <is>
          <t>Preto</t>
        </is>
      </c>
      <c r="G1074" s="8" t="n">
        <v>0.09</v>
      </c>
      <c r="H1074" s="13" t="inlineStr">
        <is>
          <t>Coldsnap (CSP)</t>
        </is>
      </c>
      <c r="I1074" s="13" t="inlineStr">
        <is>
          <t>Não</t>
        </is>
      </c>
      <c r="J1074" s="13" t="n">
        <v>2006</v>
      </c>
      <c r="L1074" s="13" t="n">
        <v>2</v>
      </c>
      <c r="M1074" s="8">
        <f>L1074*G1074</f>
        <v/>
      </c>
      <c r="P1074" s="9" t="n"/>
    </row>
    <row r="1075">
      <c r="A1075" s="13" t="inlineStr">
        <is>
          <t>Feast of Succession / Banquete da Sucessão</t>
        </is>
      </c>
      <c r="B1075" s="13" t="inlineStr">
        <is>
          <t>Sorcery / Feitiço</t>
        </is>
      </c>
      <c r="C1075" s="13" t="inlineStr">
        <is>
          <t>Uncommon / Incomum</t>
        </is>
      </c>
      <c r="D1075" s="13" t="inlineStr">
        <is>
          <t>All creatures get -4/-4 until end of turn. You become the monarch. / Todas as criaturas recebem -4/-4 até o final do turno. Você se torna o monarca.</t>
        </is>
      </c>
      <c r="E1075" s="13" t="inlineStr">
        <is>
          <t>{4}{B}{B}</t>
        </is>
      </c>
      <c r="F1075" s="13" t="inlineStr">
        <is>
          <t>Preto</t>
        </is>
      </c>
      <c r="G1075" s="8" t="n">
        <v>0.2</v>
      </c>
      <c r="H1075" s="13" t="inlineStr">
        <is>
          <t>Commander Masters (CMM)</t>
        </is>
      </c>
      <c r="I1075" s="13" t="inlineStr">
        <is>
          <t>Não</t>
        </is>
      </c>
      <c r="J1075" s="13" t="n">
        <v>2023</v>
      </c>
      <c r="L1075" s="13" t="n">
        <v>1</v>
      </c>
      <c r="M1075" s="8">
        <f>L1075*G1075</f>
        <v/>
      </c>
      <c r="P1075" s="9" t="n"/>
    </row>
    <row r="1076">
      <c r="A1076" s="13" t="inlineStr">
        <is>
          <t>Feast of the Unicorn / Festim de Unicórnio</t>
        </is>
      </c>
      <c r="B1076" s="13" t="inlineStr">
        <is>
          <t>Enchantment — Aura</t>
        </is>
      </c>
      <c r="C1076" s="13" t="inlineStr">
        <is>
          <t>Common / Comum</t>
        </is>
      </c>
      <c r="D1076" s="13" t="inlineStr">
        <is>
          <t>Enchant creature Enchanted creature gets +4/+0.</t>
        </is>
      </c>
      <c r="E1076" s="13" t="inlineStr">
        <is>
          <t>{3}{B}</t>
        </is>
      </c>
      <c r="F1076" s="13" t="inlineStr">
        <is>
          <t>Preto</t>
        </is>
      </c>
      <c r="G1076" s="8" t="n">
        <v>0.09</v>
      </c>
      <c r="H1076" s="13" t="inlineStr">
        <is>
          <t>Homelands (HML)</t>
        </is>
      </c>
      <c r="I1076" s="13" t="inlineStr">
        <is>
          <t>Não</t>
        </is>
      </c>
      <c r="J1076" s="13" t="n">
        <v>1995</v>
      </c>
      <c r="L1076" s="13" t="n">
        <v>1</v>
      </c>
      <c r="M1076" s="8">
        <f>L1076*G1076</f>
        <v/>
      </c>
      <c r="P1076" s="9" t="n"/>
    </row>
    <row r="1077">
      <c r="A1077" s="13" t="inlineStr">
        <is>
          <t>Feast or Famine / Fartura ou Penúria</t>
        </is>
      </c>
      <c r="B1077" s="13" t="inlineStr">
        <is>
          <t>Instant</t>
        </is>
      </c>
      <c r="C1077" s="13" t="inlineStr">
        <is>
          <t>Common / Comum</t>
        </is>
      </c>
      <c r="D1077" s="13" t="inlineStr">
        <is>
          <t>Choose one — • Create a 2/2 black Zombie creature token. • Destroy target nonartifact, nonblack creature. It can't be regenerated.</t>
        </is>
      </c>
      <c r="E1077" s="13" t="inlineStr">
        <is>
          <t>{3}{B}</t>
        </is>
      </c>
      <c r="F1077" s="13" t="inlineStr">
        <is>
          <t>Preto</t>
        </is>
      </c>
      <c r="G1077" s="8" t="n">
        <v>0.08</v>
      </c>
      <c r="H1077" s="13" t="inlineStr">
        <is>
          <t>Alliances (ALL)</t>
        </is>
      </c>
      <c r="I1077" s="13" t="inlineStr">
        <is>
          <t>Não</t>
        </is>
      </c>
      <c r="J1077" s="13" t="n">
        <v>1996</v>
      </c>
      <c r="L1077" s="13" t="n">
        <v>2</v>
      </c>
      <c r="M1077" s="8">
        <f>L1077*G1077</f>
        <v/>
      </c>
      <c r="P1077" s="9" t="n"/>
    </row>
    <row r="1078">
      <c r="A1078" s="13" t="inlineStr">
        <is>
          <t>Feaster of Fools / Devorador de Tolos</t>
        </is>
      </c>
      <c r="B1078" s="13" t="inlineStr">
        <is>
          <t>Creature — Demon / Criatura — Demônio</t>
        </is>
      </c>
      <c r="C1078" s="13" t="inlineStr">
        <is>
          <t>Uncommon / Incomum</t>
        </is>
      </c>
      <c r="D1078" s="13"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1078" s="13" t="inlineStr">
        <is>
          <t>{4}{B}{B}</t>
        </is>
      </c>
      <c r="F1078" s="13" t="inlineStr">
        <is>
          <t>Preto</t>
        </is>
      </c>
      <c r="G1078" s="8" t="n">
        <v>0.1</v>
      </c>
      <c r="H1078" s="13" t="inlineStr">
        <is>
          <t>Modern Horizons (MH1)</t>
        </is>
      </c>
      <c r="I1078" s="13" t="inlineStr">
        <is>
          <t>Não</t>
        </is>
      </c>
      <c r="J1078" s="13" t="n">
        <v>2019</v>
      </c>
      <c r="K1078" s="10" t="n">
        <v>46084</v>
      </c>
      <c r="L1078" s="13" t="n">
        <v>1</v>
      </c>
      <c r="M1078" s="8">
        <f>L1078*G1078</f>
        <v/>
      </c>
      <c r="P1078" s="9" t="n"/>
    </row>
    <row r="1079">
      <c r="A1079" s="13" t="inlineStr">
        <is>
          <t>Featherbrained Filcher</t>
        </is>
      </c>
      <c r="B1079" s="13" t="inlineStr">
        <is>
          <t>Creature — Bird Mutant</t>
        </is>
      </c>
      <c r="C1079" s="13" t="inlineStr">
        <is>
          <t>Uncommon / Incomum</t>
        </is>
      </c>
      <c r="D1079" s="13" t="inlineStr">
        <is>
          <t>Flying When this creature leaves the battlefield, create a Food token. (It's an artifact with "{2}, {T}, Sacrifice this token: You gain 3 life.")</t>
        </is>
      </c>
      <c r="E1079" s="13" t="inlineStr">
        <is>
          <t>{W}</t>
        </is>
      </c>
      <c r="F1079" s="13" t="inlineStr">
        <is>
          <t>Branco</t>
        </is>
      </c>
      <c r="G1079" s="8" t="n">
        <v>0.11</v>
      </c>
      <c r="H1079" s="13" t="inlineStr">
        <is>
          <t>Teenage Mutant Ninja Turtles (TMT)</t>
        </is>
      </c>
      <c r="I1079" s="13" t="inlineStr">
        <is>
          <t>Não</t>
        </is>
      </c>
      <c r="J1079" s="13" t="n">
        <v>2026</v>
      </c>
      <c r="K1079" s="13" t="inlineStr">
        <is>
          <t>0/2</t>
        </is>
      </c>
      <c r="L1079" s="13" t="n">
        <v>2</v>
      </c>
      <c r="M1079" s="8">
        <f>L1079*G1079</f>
        <v/>
      </c>
      <c r="P1079" s="9" t="n"/>
    </row>
    <row r="1080">
      <c r="A1080" s="13" t="inlineStr">
        <is>
          <t>Feed the Cauldron / Alimentar o Caldeirão</t>
        </is>
      </c>
      <c r="B1080" s="13" t="inlineStr">
        <is>
          <t>Instant / Mágica Instantânea</t>
        </is>
      </c>
      <c r="C1080" s="13" t="inlineStr">
        <is>
          <t>Common / Comum</t>
        </is>
      </c>
      <c r="D1080" s="13"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080" s="13" t="inlineStr">
        <is>
          <t>{2}{B}</t>
        </is>
      </c>
      <c r="F1080" s="13" t="inlineStr">
        <is>
          <t>Preto</t>
        </is>
      </c>
      <c r="G1080" s="8" t="n">
        <v>0.05</v>
      </c>
      <c r="H1080" s="13" t="inlineStr">
        <is>
          <t>Wilds of Eldraine (WOE)</t>
        </is>
      </c>
      <c r="I1080" s="13" t="inlineStr">
        <is>
          <t>Não</t>
        </is>
      </c>
      <c r="J1080" s="13" t="n">
        <v>2023</v>
      </c>
      <c r="L1080" s="13" t="n">
        <v>1</v>
      </c>
      <c r="M1080" s="8">
        <f>L1080*G1080</f>
        <v/>
      </c>
      <c r="P1080" s="9" t="n"/>
    </row>
    <row r="1081">
      <c r="A1081" s="13" t="inlineStr">
        <is>
          <t>Feed the Cycle</t>
        </is>
      </c>
      <c r="B1081" s="13" t="inlineStr">
        <is>
          <t>Instant</t>
        </is>
      </c>
      <c r="C1081" s="13" t="inlineStr">
        <is>
          <t>Uncommon / Incomum</t>
        </is>
      </c>
      <c r="D1081" s="13" t="inlineStr">
        <is>
          <t>As an additional cost to cast this spell, forage or pay {B}. (To forage, exile three cards from your graveyard or sacrifice a Food.) Destroy target creature or planeswalker.</t>
        </is>
      </c>
      <c r="E1081" s="13" t="inlineStr">
        <is>
          <t>{1}{B}</t>
        </is>
      </c>
      <c r="F1081" s="13" t="inlineStr">
        <is>
          <t>Preto</t>
        </is>
      </c>
      <c r="G1081" s="8" t="n">
        <v>0.45</v>
      </c>
      <c r="H1081" s="13" t="inlineStr">
        <is>
          <t>Bloomburrow (BLB)</t>
        </is>
      </c>
      <c r="I1081" s="13" t="inlineStr">
        <is>
          <t>Não</t>
        </is>
      </c>
      <c r="J1081" s="13" t="n">
        <v>2024</v>
      </c>
      <c r="L1081" s="13" t="n">
        <v>1</v>
      </c>
      <c r="M1081" s="8">
        <f>L1081*G1081</f>
        <v/>
      </c>
      <c r="P1081" s="9" t="n"/>
    </row>
    <row r="1082">
      <c r="A1082" s="13" t="inlineStr">
        <is>
          <t>Feed the Flames</t>
        </is>
      </c>
      <c r="B1082" s="13" t="inlineStr">
        <is>
          <t>Instant</t>
        </is>
      </c>
      <c r="C1082" s="13" t="inlineStr">
        <is>
          <t>Common</t>
        </is>
      </c>
      <c r="D1082" s="13" t="inlineStr">
        <is>
          <t>Feed the Flames deals 5 damage to target creature. If that creature would die this turn, exile it instead.</t>
        </is>
      </c>
      <c r="E1082" s="13" t="inlineStr">
        <is>
          <t>{3}{R}</t>
        </is>
      </c>
      <c r="F1082" s="13" t="inlineStr">
        <is>
          <t>Red</t>
        </is>
      </c>
      <c r="G1082" s="8" t="n">
        <v>0.05</v>
      </c>
      <c r="H1082" s="13" t="inlineStr">
        <is>
          <t>Lorwyn Eclipsed (ECL)</t>
        </is>
      </c>
      <c r="I1082" s="13" t="inlineStr">
        <is>
          <t>No</t>
        </is>
      </c>
      <c r="J1082" s="13" t="n">
        <v>2026</v>
      </c>
      <c r="L1082" s="13" t="n">
        <v>1</v>
      </c>
      <c r="M1082" s="8">
        <f>L1082*G1082</f>
        <v/>
      </c>
      <c r="P1082" s="9" t="n"/>
    </row>
    <row r="1083">
      <c r="A1083" s="13" t="inlineStr">
        <is>
          <t>Feign Death / Simular Morte</t>
        </is>
      </c>
      <c r="B1083" s="13" t="inlineStr">
        <is>
          <t>Instant / Mágica Instantânea</t>
        </is>
      </c>
      <c r="C1083" s="13" t="inlineStr">
        <is>
          <t>Common / Comum</t>
        </is>
      </c>
      <c r="D1083" s="13"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1083" s="13" t="inlineStr">
        <is>
          <t>{B}</t>
        </is>
      </c>
      <c r="F1083" s="13" t="inlineStr">
        <is>
          <t>Preto</t>
        </is>
      </c>
      <c r="G1083" s="8" t="n">
        <v>2.49</v>
      </c>
      <c r="H1083" s="13" t="inlineStr">
        <is>
          <t>Dungeons &amp; Dragons: Adventures in the Forgotten Realms (AFR)</t>
        </is>
      </c>
      <c r="I1083" s="13" t="inlineStr">
        <is>
          <t>Não</t>
        </is>
      </c>
      <c r="J1083" s="13" t="n">
        <v>2021</v>
      </c>
      <c r="L1083" s="13" t="n">
        <v>2</v>
      </c>
      <c r="M1083" s="8">
        <f>L1083*G1083</f>
        <v/>
      </c>
      <c r="P1083" s="9" t="n"/>
    </row>
    <row r="1084">
      <c r="A1084" s="13" t="inlineStr">
        <is>
          <t>Feldon's Cane / Bengala de Feldon</t>
        </is>
      </c>
      <c r="B1084" s="13" t="inlineStr">
        <is>
          <t>Artifact</t>
        </is>
      </c>
      <c r="C1084" s="13" t="inlineStr">
        <is>
          <t>Uncommon</t>
        </is>
      </c>
      <c r="D1084" s="13" t="inlineStr">
        <is>
          <t>{T}, Remove Feldon's Cane from the game: Shuffle your graveyard into your library.</t>
        </is>
      </c>
      <c r="E1084" s="13" t="inlineStr">
        <is>
          <t>{1}</t>
        </is>
      </c>
      <c r="F1084" s="13" t="inlineStr">
        <is>
          <t>Colorless</t>
        </is>
      </c>
      <c r="G1084" s="8" t="n">
        <v>0.9</v>
      </c>
      <c r="H1084" s="13" t="inlineStr">
        <is>
          <t>Fifth Edition (5ED)</t>
        </is>
      </c>
      <c r="I1084" s="13" t="inlineStr">
        <is>
          <t>No</t>
        </is>
      </c>
      <c r="J1084" s="13" t="n">
        <v>1997</v>
      </c>
      <c r="L1084" s="13" t="n">
        <v>1</v>
      </c>
      <c r="M1084" s="8">
        <f>L1084*G1084</f>
        <v/>
      </c>
      <c r="P1084" s="9" t="n"/>
    </row>
    <row r="1085">
      <c r="A1085" s="13" t="inlineStr">
        <is>
          <t>Felidar Savior</t>
        </is>
      </c>
      <c r="B1085" s="13" t="inlineStr">
        <is>
          <t>Creature — Cat Beast</t>
        </is>
      </c>
      <c r="C1085" s="13" t="inlineStr">
        <is>
          <t>Common / Comum</t>
        </is>
      </c>
      <c r="D1085" s="13" t="inlineStr">
        <is>
          <t>Lifelink (Damage dealt by this creature also causes you to gain that much life.) When this creature enters, put a +1/+1 counter on each of up to two other target creatures you control.</t>
        </is>
      </c>
      <c r="E1085" s="13" t="inlineStr">
        <is>
          <t>{3}{W}</t>
        </is>
      </c>
      <c r="F1085" s="13" t="inlineStr">
        <is>
          <t>Branco</t>
        </is>
      </c>
      <c r="G1085" s="8" t="n">
        <v>0.07000000000000001</v>
      </c>
      <c r="H1085" s="13" t="inlineStr">
        <is>
          <t>Foundations (FDN)</t>
        </is>
      </c>
      <c r="I1085" s="13" t="inlineStr">
        <is>
          <t>Não</t>
        </is>
      </c>
      <c r="J1085" s="13" t="n">
        <v>2024</v>
      </c>
      <c r="K1085" s="10" t="n">
        <v>46083</v>
      </c>
      <c r="L1085" s="13" t="n">
        <v>1</v>
      </c>
      <c r="M1085" s="8">
        <f>L1085*G1085</f>
        <v/>
      </c>
      <c r="P1085" s="9" t="n"/>
    </row>
    <row r="1086">
      <c r="A1086" s="13" t="inlineStr">
        <is>
          <t>Fencing Ace / Ás da Esgrima</t>
        </is>
      </c>
      <c r="B1086" s="13" t="inlineStr">
        <is>
          <t>Creature — Human Soldier / Criatura — Humano Soldado</t>
        </is>
      </c>
      <c r="C1086" s="13" t="inlineStr">
        <is>
          <t>Common / Comum</t>
        </is>
      </c>
      <c r="D1086" s="13" t="inlineStr">
        <is>
          <t>Double strike (This creature deals both first-strike and regular combat damage.) / Golpe duplo (Esta criatura causa tanto o dano de iniciativa quanto o de combate normal.)</t>
        </is>
      </c>
      <c r="E1086" s="13" t="inlineStr">
        <is>
          <t>{1}{W}</t>
        </is>
      </c>
      <c r="F1086" s="13" t="inlineStr">
        <is>
          <t>Branco</t>
        </is>
      </c>
      <c r="G1086" s="8" t="n">
        <v>0.06</v>
      </c>
      <c r="H1086" s="13" t="inlineStr">
        <is>
          <t>Masters 25 (A25)</t>
        </is>
      </c>
      <c r="I1086" s="13" t="inlineStr">
        <is>
          <t>Não</t>
        </is>
      </c>
      <c r="J1086" s="13" t="n">
        <v>2018</v>
      </c>
      <c r="K1086" s="10" t="n">
        <v>46023</v>
      </c>
      <c r="L1086" s="13" t="n">
        <v>4</v>
      </c>
      <c r="M1086" s="8">
        <f>L1086*G1086</f>
        <v/>
      </c>
      <c r="P1086" s="9" t="n"/>
    </row>
    <row r="1087">
      <c r="A1087" s="13" t="inlineStr">
        <is>
          <t>Fera Atroz Voraz / Voracious Fell Beast</t>
        </is>
      </c>
      <c r="B1087" s="13" t="inlineStr">
        <is>
          <t>Criatura — Dragonete Fera</t>
        </is>
      </c>
      <c r="C1087" s="13" t="inlineStr">
        <is>
          <t>Incomum</t>
        </is>
      </c>
      <c r="D1087" s="13"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1087" s="13" t="inlineStr">
        <is>
          <t>4{B}{B}</t>
        </is>
      </c>
      <c r="F1087" s="13" t="inlineStr">
        <is>
          <t>Preto</t>
        </is>
      </c>
      <c r="G1087" s="8" t="n">
        <v>0.15</v>
      </c>
      <c r="H1087" s="13" t="inlineStr">
        <is>
          <t>The Lord of the Rings: Tales of Middle-earth (LTR)</t>
        </is>
      </c>
      <c r="I1087" s="13" t="inlineStr">
        <is>
          <t>Não</t>
        </is>
      </c>
      <c r="J1087" s="13" t="n">
        <v>2023</v>
      </c>
      <c r="K1087" s="10" t="n">
        <v>46116</v>
      </c>
      <c r="L1087" s="13" t="n">
        <v>1</v>
      </c>
      <c r="M1087" s="8">
        <f>L1087*G1087</f>
        <v/>
      </c>
      <c r="P1087" s="9" t="n"/>
    </row>
    <row r="1088">
      <c r="A1088" s="13" t="inlineStr">
        <is>
          <t>Fera Atroz Voraz / Voracious Fell Beast</t>
        </is>
      </c>
      <c r="B1088" s="13" t="inlineStr">
        <is>
          <t>Criatura — Dragonete Fera</t>
        </is>
      </c>
      <c r="C1088" s="13" t="inlineStr">
        <is>
          <t>Incomum</t>
        </is>
      </c>
      <c r="D1088" s="13" t="inlineStr">
        <is>
          <t>Voar. Quando Fera Atroz Voraz entra no campo de batalha, cada oponente sacrifica uma criatura. Crie uma ficha de Comida para cada criatura sacrificada dessa forma.</t>
        </is>
      </c>
      <c r="E1088" s="13" t="inlineStr">
        <is>
          <t>4{B}{B}</t>
        </is>
      </c>
      <c r="F1088" s="13" t="inlineStr">
        <is>
          <t>Preto</t>
        </is>
      </c>
      <c r="G1088" s="8" t="n">
        <v>0.39</v>
      </c>
      <c r="H1088" s="13" t="inlineStr">
        <is>
          <t>The Lord of the Rings: Tales of Middle-earth (LTR)</t>
        </is>
      </c>
      <c r="I1088" s="13" t="inlineStr">
        <is>
          <t>Não</t>
        </is>
      </c>
      <c r="J1088" s="13" t="n">
        <v>2023</v>
      </c>
      <c r="K1088" s="10" t="n">
        <v>46116</v>
      </c>
      <c r="L1088" s="13" t="n">
        <v>1</v>
      </c>
      <c r="M1088" s="8">
        <f>L1088*G1088</f>
        <v/>
      </c>
      <c r="P1088" s="9" t="n"/>
    </row>
    <row r="1089">
      <c r="A1089" s="13" t="inlineStr">
        <is>
          <t>Feral Invocation / Invocação Feral</t>
        </is>
      </c>
      <c r="B1089" s="13" t="inlineStr">
        <is>
          <t>Enchantment — Aura / Encantamento — Aura</t>
        </is>
      </c>
      <c r="C1089" s="13" t="inlineStr">
        <is>
          <t>Common / Comum</t>
        </is>
      </c>
      <c r="D1089" s="13"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089" s="13" t="inlineStr">
        <is>
          <t>{2}{G}</t>
        </is>
      </c>
      <c r="F1089" s="13" t="inlineStr">
        <is>
          <t>Verde</t>
        </is>
      </c>
      <c r="G1089" s="8" t="n">
        <v>0.03</v>
      </c>
      <c r="H1089" s="13" t="inlineStr">
        <is>
          <t>Core Set 2020 (M20)</t>
        </is>
      </c>
      <c r="I1089" s="13" t="inlineStr">
        <is>
          <t>Não</t>
        </is>
      </c>
      <c r="J1089" s="13" t="n">
        <v>2019</v>
      </c>
      <c r="L1089" s="13" t="n">
        <v>1</v>
      </c>
      <c r="M1089" s="8">
        <f>L1089*G1089</f>
        <v/>
      </c>
      <c r="P1089" s="9" t="n"/>
    </row>
    <row r="1090">
      <c r="A1090" s="13" t="inlineStr">
        <is>
          <t>Feral Shadow / Vulto Feroz</t>
        </is>
      </c>
      <c r="B1090" s="13" t="inlineStr">
        <is>
          <t>Creature — Nightstalker</t>
        </is>
      </c>
      <c r="C1090" s="13" t="inlineStr">
        <is>
          <t>Common / Comum</t>
        </is>
      </c>
      <c r="D1090" s="13" t="inlineStr">
        <is>
          <t>Flying</t>
        </is>
      </c>
      <c r="E1090" s="13" t="inlineStr">
        <is>
          <t>{2}{B}</t>
        </is>
      </c>
      <c r="F1090" s="13" t="inlineStr">
        <is>
          <t>Preto</t>
        </is>
      </c>
      <c r="G1090" s="8" t="n">
        <v>0.05</v>
      </c>
      <c r="H1090" s="13" t="inlineStr">
        <is>
          <t>Mirage (MIR)</t>
        </is>
      </c>
      <c r="I1090" s="13" t="inlineStr">
        <is>
          <t>Não</t>
        </is>
      </c>
      <c r="J1090" s="13" t="n">
        <v>1996</v>
      </c>
      <c r="K1090" s="10" t="n">
        <v>46024</v>
      </c>
      <c r="L1090" s="13" t="n">
        <v>1</v>
      </c>
      <c r="M1090" s="8">
        <f>L1090*G1090</f>
        <v/>
      </c>
      <c r="P1090" s="9" t="n"/>
    </row>
    <row r="1091">
      <c r="A1091" s="13" t="inlineStr">
        <is>
          <t>Fertilid / Fertilídio</t>
        </is>
      </c>
      <c r="B1091" s="13" t="inlineStr">
        <is>
          <t>Creature — Elemental / Criatura — Elemental</t>
        </is>
      </c>
      <c r="C1091" s="13" t="inlineStr">
        <is>
          <t>Common / Comum</t>
        </is>
      </c>
      <c r="D1091" s="13"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1091" s="13" t="inlineStr">
        <is>
          <t>{2}{G}</t>
        </is>
      </c>
      <c r="F1091" s="13" t="inlineStr">
        <is>
          <t>Verde</t>
        </is>
      </c>
      <c r="G1091" s="8" t="n">
        <v>0.14</v>
      </c>
      <c r="H1091" s="13" t="inlineStr">
        <is>
          <t>Jumpstart 2022 (J22)</t>
        </is>
      </c>
      <c r="I1091" s="13" t="inlineStr">
        <is>
          <t>Não</t>
        </is>
      </c>
      <c r="J1091" s="13" t="n">
        <v>2022</v>
      </c>
      <c r="K1091" s="13" t="inlineStr">
        <is>
          <t>0/0</t>
        </is>
      </c>
      <c r="L1091" s="13" t="n">
        <v>1</v>
      </c>
      <c r="M1091" s="8">
        <f>L1091*G1091</f>
        <v/>
      </c>
      <c r="P1091" s="9" t="n"/>
    </row>
    <row r="1092">
      <c r="A1092" s="13" t="inlineStr">
        <is>
          <t>Festering Goblin / Goblin Apodrecido</t>
        </is>
      </c>
      <c r="B1092" s="13" t="inlineStr">
        <is>
          <t>Creature — Zombie Goblin / Criatura — Zumbi Goblin</t>
        </is>
      </c>
      <c r="C1092" s="13" t="inlineStr">
        <is>
          <t>Common / Comum</t>
        </is>
      </c>
      <c r="D1092" s="13" t="inlineStr">
        <is>
          <t>When this creature dies, target creature gets -1/-1 until end of turn. / Quando Goblin Apodrecido é colocado num cemitério vindo de jogo, a criatura alvo recebe -1/-1 até o final do turno.</t>
        </is>
      </c>
      <c r="E1092" s="13" t="inlineStr">
        <is>
          <t>{B}</t>
        </is>
      </c>
      <c r="F1092" s="13" t="inlineStr">
        <is>
          <t>Preto</t>
        </is>
      </c>
      <c r="G1092" s="8" t="n">
        <v>0.12</v>
      </c>
      <c r="H1092" s="13" t="inlineStr">
        <is>
          <t>Dominaria Remastered (DMR)</t>
        </is>
      </c>
      <c r="I1092" s="13" t="inlineStr">
        <is>
          <t>Não</t>
        </is>
      </c>
      <c r="J1092" s="13" t="n">
        <v>2023</v>
      </c>
      <c r="K1092" s="10" t="n">
        <v>46023</v>
      </c>
      <c r="L1092" s="13" t="n">
        <v>1</v>
      </c>
      <c r="M1092" s="8">
        <f>L1092*G1092</f>
        <v/>
      </c>
      <c r="P1092" s="9" t="n"/>
    </row>
    <row r="1093">
      <c r="A1093" s="13" t="inlineStr">
        <is>
          <t>Festive Funeral / Funeral Festivo</t>
        </is>
      </c>
      <c r="B1093" s="13" t="inlineStr">
        <is>
          <t>Instant / Mágica Instantânea</t>
        </is>
      </c>
      <c r="C1093" s="13" t="inlineStr">
        <is>
          <t>Common / Comum</t>
        </is>
      </c>
      <c r="D1093" s="13" t="inlineStr">
        <is>
          <t>Target creature gets -X/-X until end of turn, where X is the number of cards in your graveyard. / A criatura alvo recebe -X/-X até o final do turno, sendo X o número de cards em seu cemitério.</t>
        </is>
      </c>
      <c r="E1093" s="13" t="inlineStr">
        <is>
          <t>{4}{B}</t>
        </is>
      </c>
      <c r="F1093" s="13" t="inlineStr">
        <is>
          <t>Preto</t>
        </is>
      </c>
      <c r="G1093" s="8" t="n">
        <v>0.05</v>
      </c>
      <c r="H1093" s="13" t="inlineStr">
        <is>
          <t>Throne of Eldraine (ELD)</t>
        </is>
      </c>
      <c r="I1093" s="13" t="inlineStr">
        <is>
          <t>Não</t>
        </is>
      </c>
      <c r="J1093" s="13" t="n">
        <v>2019</v>
      </c>
      <c r="L1093" s="13" t="n">
        <v>1</v>
      </c>
      <c r="M1093" s="8">
        <f>L1093*G1093</f>
        <v/>
      </c>
      <c r="P1093" s="9" t="n"/>
    </row>
    <row r="1094">
      <c r="A1094" s="13" t="inlineStr">
        <is>
          <t>Fevered Strength / Força Febril</t>
        </is>
      </c>
      <c r="B1094" s="13" t="inlineStr">
        <is>
          <t>Instant</t>
        </is>
      </c>
      <c r="C1094" s="13" t="inlineStr">
        <is>
          <t>Common / Comum</t>
        </is>
      </c>
      <c r="D1094" s="13" t="inlineStr">
        <is>
          <t>Target creature gets +2/+0 until end of turn. Draw a card at the beginning of the next turn's upkeep.</t>
        </is>
      </c>
      <c r="E1094" s="13" t="inlineStr">
        <is>
          <t>{2}{B}</t>
        </is>
      </c>
      <c r="F1094" s="13" t="inlineStr">
        <is>
          <t>Preto</t>
        </is>
      </c>
      <c r="G1094" s="8" t="n">
        <v>0.05</v>
      </c>
      <c r="H1094" s="13" t="inlineStr">
        <is>
          <t>Alliances (ALL)</t>
        </is>
      </c>
      <c r="I1094" s="13" t="inlineStr">
        <is>
          <t>Não</t>
        </is>
      </c>
      <c r="J1094" s="13" t="n">
        <v>1996</v>
      </c>
      <c r="L1094" s="13" t="n">
        <v>1</v>
      </c>
      <c r="M1094" s="8">
        <f>L1094*G1094</f>
        <v/>
      </c>
      <c r="P1094" s="9" t="n"/>
    </row>
    <row r="1095">
      <c r="A1095" s="13" t="inlineStr">
        <is>
          <t>Fiery Fall / Queda Flamejante</t>
        </is>
      </c>
      <c r="B1095" s="13" t="inlineStr">
        <is>
          <t>Mágica Instantânea</t>
        </is>
      </c>
      <c r="C1095" s="13" t="inlineStr">
        <is>
          <t>Comum</t>
        </is>
      </c>
      <c r="D1095" s="13" t="inlineStr">
        <is>
          <t>Queda Flamejante causa 5 de dano à criatura alvo. Reciclagem de terreno básico 1R (1R, descarte este card: Procure em seu grimório por um card de terreno básico, revele-o e coloque-o em sua mão. Depois, embaralhe seu grimório.)</t>
        </is>
      </c>
      <c r="E1095" s="13" t="inlineStr">
        <is>
          <t>5R</t>
        </is>
      </c>
      <c r="F1095" s="13" t="inlineStr">
        <is>
          <t>Vermelho</t>
        </is>
      </c>
      <c r="G1095" s="8" t="n">
        <v>0.06</v>
      </c>
      <c r="H1095" s="13" t="inlineStr">
        <is>
          <t>Duel Decks: Speed vs. Cunning</t>
        </is>
      </c>
      <c r="I1095" s="13" t="inlineStr">
        <is>
          <t>Não</t>
        </is>
      </c>
      <c r="J1095" s="13" t="n">
        <v>2014</v>
      </c>
      <c r="L1095" s="13" t="n">
        <v>2</v>
      </c>
      <c r="M1095" s="8">
        <f>L1095*G1095</f>
        <v/>
      </c>
      <c r="P1095" s="9" t="n"/>
    </row>
    <row r="1096">
      <c r="A1096" s="13" t="inlineStr">
        <is>
          <t>Fiery Impulse / Impulso Flamejante</t>
        </is>
      </c>
      <c r="B1096" s="13" t="inlineStr">
        <is>
          <t>Instant / Mágica Instantânea</t>
        </is>
      </c>
      <c r="C1096" s="13" t="inlineStr">
        <is>
          <t>Common / Comum</t>
        </is>
      </c>
      <c r="D1096" s="13"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96" s="13" t="inlineStr">
        <is>
          <t>{R}</t>
        </is>
      </c>
      <c r="F1096" s="13" t="inlineStr">
        <is>
          <t>Vermelho</t>
        </is>
      </c>
      <c r="G1096" s="8" t="n">
        <v>0.2</v>
      </c>
      <c r="H1096" s="13" t="inlineStr">
        <is>
          <t>Magic Origins (ORI)</t>
        </is>
      </c>
      <c r="I1096" s="13" t="inlineStr">
        <is>
          <t>Não</t>
        </is>
      </c>
      <c r="J1096" s="13" t="n">
        <v>2015</v>
      </c>
      <c r="L1096" s="13" t="n">
        <v>4</v>
      </c>
      <c r="M1096" s="8">
        <f>L1096*G1096</f>
        <v/>
      </c>
      <c r="P1096" s="9" t="n"/>
    </row>
    <row r="1097">
      <c r="A1097" s="13" t="inlineStr">
        <is>
          <t>Fight On! / Continuar Luta!</t>
        </is>
      </c>
      <c r="B1097" s="13" t="inlineStr">
        <is>
          <t>Mágica Instantânea</t>
        </is>
      </c>
      <c r="C1097" s="13" t="inlineStr">
        <is>
          <t>Comum</t>
        </is>
      </c>
      <c r="D1097" s="13" t="inlineStr">
        <is>
          <t>Devolva até dois cards de criatura alvos de seu cemitério para sua mão.</t>
        </is>
      </c>
      <c r="E1097" s="13" t="inlineStr">
        <is>
          <t>2{B}</t>
        </is>
      </c>
      <c r="F1097" s="13" t="inlineStr">
        <is>
          <t>Preto</t>
        </is>
      </c>
      <c r="G1097" s="8" t="n">
        <v>0.1</v>
      </c>
      <c r="H1097" s="13" t="inlineStr">
        <is>
          <t>Final Fantasy</t>
        </is>
      </c>
      <c r="I1097" s="13" t="inlineStr">
        <is>
          <t>Não</t>
        </is>
      </c>
      <c r="J1097" s="13" t="n">
        <v>2025</v>
      </c>
      <c r="L1097" s="13" t="n">
        <v>9</v>
      </c>
      <c r="M1097" s="8">
        <f>L1097*G1097</f>
        <v/>
      </c>
      <c r="P1097" s="9" t="n"/>
    </row>
    <row r="1098">
      <c r="A1098" s="13" t="inlineStr">
        <is>
          <t>Fight On! / Continuar Luta!</t>
        </is>
      </c>
      <c r="B1098" s="13" t="inlineStr">
        <is>
          <t>Mágica Instantânea</t>
        </is>
      </c>
      <c r="C1098" s="13" t="inlineStr">
        <is>
          <t>Comum</t>
        </is>
      </c>
      <c r="D1098" s="13" t="inlineStr">
        <is>
          <t>Devolva até dois cards de criatura alvos de seu cemitério para sua mão.</t>
        </is>
      </c>
      <c r="E1098" s="13" t="inlineStr">
        <is>
          <t>2{B}</t>
        </is>
      </c>
      <c r="F1098" s="13" t="inlineStr">
        <is>
          <t>Preto</t>
        </is>
      </c>
      <c r="G1098" s="8" t="n">
        <v>0.4</v>
      </c>
      <c r="H1098" s="13" t="inlineStr">
        <is>
          <t>Final Fantasy</t>
        </is>
      </c>
      <c r="I1098" s="13" t="inlineStr">
        <is>
          <t>Sim</t>
        </is>
      </c>
      <c r="J1098" s="13" t="n">
        <v>2025</v>
      </c>
      <c r="L1098" s="13" t="n">
        <v>1</v>
      </c>
      <c r="M1098" s="8">
        <f>L1098*G1098</f>
        <v/>
      </c>
      <c r="P1098" s="9" t="n"/>
    </row>
    <row r="1099">
      <c r="A1099" s="13" t="inlineStr">
        <is>
          <t>Fight with Fire / Enfrentar com Fogo</t>
        </is>
      </c>
      <c r="B1099" s="13" t="inlineStr">
        <is>
          <t>Sorcery / Feitiço</t>
        </is>
      </c>
      <c r="C1099" s="13" t="inlineStr">
        <is>
          <t>Uncommon / Incomum</t>
        </is>
      </c>
      <c r="D1099" s="13"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099" s="13" t="inlineStr">
        <is>
          <t>{2}{R}</t>
        </is>
      </c>
      <c r="F1099" s="13" t="inlineStr">
        <is>
          <t>Vermelho</t>
        </is>
      </c>
      <c r="G1099" s="8" t="n">
        <v>0.04</v>
      </c>
      <c r="H1099" s="13" t="inlineStr">
        <is>
          <t>Dominaria (DOM)</t>
        </is>
      </c>
      <c r="I1099" s="13" t="inlineStr">
        <is>
          <t>Não</t>
        </is>
      </c>
      <c r="J1099" s="13" t="n">
        <v>2018</v>
      </c>
      <c r="L1099" s="13" t="n">
        <v>2</v>
      </c>
      <c r="M1099" s="8">
        <f>L1099*G1099</f>
        <v/>
      </c>
      <c r="P1099" s="9" t="n"/>
    </row>
    <row r="1100">
      <c r="A1100" s="13" t="inlineStr">
        <is>
          <t>Filtrar / Filter Out</t>
        </is>
      </c>
      <c r="B1100" s="13" t="inlineStr">
        <is>
          <t>Mágica Instantânea / Instant</t>
        </is>
      </c>
      <c r="C1100" s="13" t="inlineStr">
        <is>
          <t>Uncommon / Incomum</t>
        </is>
      </c>
      <c r="D1100" s="13" t="inlineStr">
        <is>
          <t>Devolva todas as permanentes não de criatura e não de terreno para as mãos de seus donos. / Return all noncreature, nonland permanents to their owners' hands.</t>
        </is>
      </c>
      <c r="E1100" s="13" t="inlineStr">
        <is>
          <t>{1}{U}{U}</t>
        </is>
      </c>
      <c r="F1100" s="13" t="inlineStr">
        <is>
          <t>Azul</t>
        </is>
      </c>
      <c r="G1100" s="8" t="n">
        <v>1.9</v>
      </c>
      <c r="H1100" s="13" t="inlineStr">
        <is>
          <t>March of the Machine: The Aftermath (MAT)</t>
        </is>
      </c>
      <c r="I1100" s="13" t="inlineStr">
        <is>
          <t>Sim</t>
        </is>
      </c>
      <c r="J1100" s="13" t="n">
        <v>2023</v>
      </c>
      <c r="L1100" s="13" t="n">
        <v>1</v>
      </c>
      <c r="M1100" s="8">
        <f>L1100*G1100</f>
        <v/>
      </c>
      <c r="N1100" s="13" t="inlineStr">
        <is>
          <t>Pasta</t>
        </is>
      </c>
      <c r="P1100" s="9" t="n"/>
    </row>
    <row r="1101">
      <c r="A1101" s="13" t="inlineStr">
        <is>
          <t>Fim da Querela / Quarrel's End</t>
        </is>
      </c>
      <c r="B1101" s="13" t="inlineStr">
        <is>
          <t>Feitiço</t>
        </is>
      </c>
      <c r="C1101" s="13" t="inlineStr">
        <is>
          <t>Comum</t>
        </is>
      </c>
      <c r="D1101" s="13" t="inlineStr">
        <is>
          <t>Como custo adicional para conjurar esta mágica, descarte um card. Compre dois cards e crie uma ficha de criatura Humano Soldado branca 1/1.</t>
        </is>
      </c>
      <c r="E1101" s="13" t="inlineStr">
        <is>
          <t>2{R}</t>
        </is>
      </c>
      <c r="F1101" s="13" t="inlineStr">
        <is>
          <t>Vermelho</t>
        </is>
      </c>
      <c r="G1101" s="8" t="n">
        <v>0.08</v>
      </c>
      <c r="H1101" s="13" t="inlineStr">
        <is>
          <t>The Lord of the Rings: Tales of Middle-earth (LTR)</t>
        </is>
      </c>
      <c r="I1101" s="13" t="inlineStr">
        <is>
          <t>Não</t>
        </is>
      </c>
      <c r="J1101" s="13" t="n">
        <v>2023</v>
      </c>
      <c r="L1101" s="13" t="n">
        <v>1</v>
      </c>
      <c r="M1101" s="8">
        <f>L1101*G1101</f>
        <v/>
      </c>
      <c r="P1101" s="9" t="n"/>
    </row>
    <row r="1102">
      <c r="A1102" s="13" t="inlineStr">
        <is>
          <t>Final Flare / Fulgor Final</t>
        </is>
      </c>
      <c r="B1102" s="13" t="inlineStr">
        <is>
          <t>Instant / Mágica Instantânea</t>
        </is>
      </c>
      <c r="C1102" s="13" t="inlineStr">
        <is>
          <t>Common / Comum</t>
        </is>
      </c>
      <c r="D1102" s="13"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102" s="13" t="inlineStr">
        <is>
          <t>{2}{R}</t>
        </is>
      </c>
      <c r="F1102" s="13" t="inlineStr">
        <is>
          <t>Vermelho</t>
        </is>
      </c>
      <c r="G1102" s="8" t="n">
        <v>0.03</v>
      </c>
      <c r="H1102" s="13" t="inlineStr">
        <is>
          <t>Theros Beyond Death (THB)</t>
        </is>
      </c>
      <c r="I1102" s="13" t="inlineStr">
        <is>
          <t>Não</t>
        </is>
      </c>
      <c r="J1102" s="13" t="n">
        <v>2020</v>
      </c>
      <c r="L1102" s="13" t="n">
        <v>1</v>
      </c>
      <c r="M1102" s="8">
        <f>L1102*G1102</f>
        <v/>
      </c>
      <c r="P1102" s="9" t="n"/>
    </row>
    <row r="1103">
      <c r="A1103" s="13" t="inlineStr">
        <is>
          <t>Find the Path / Encontrar o Caminho</t>
        </is>
      </c>
      <c r="B1103" s="13" t="inlineStr">
        <is>
          <t>Enchantment — Aura / Encantamento — Aura</t>
        </is>
      </c>
      <c r="C1103" s="13" t="inlineStr">
        <is>
          <t>Common / Comum</t>
        </is>
      </c>
      <c r="D1103" s="13"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103" s="13" t="inlineStr">
        <is>
          <t>{2}{G}</t>
        </is>
      </c>
      <c r="F1103" s="13" t="inlineStr">
        <is>
          <t>Verde</t>
        </is>
      </c>
      <c r="G1103" s="8" t="n">
        <v>0.04</v>
      </c>
      <c r="H1103" s="13" t="inlineStr">
        <is>
          <t>Adventures in the Forgotten Realms (AFR)</t>
        </is>
      </c>
      <c r="I1103" s="13" t="inlineStr">
        <is>
          <t>Não</t>
        </is>
      </c>
      <c r="J1103" s="13" t="n">
        <v>2021</v>
      </c>
      <c r="L1103" s="13" t="n">
        <v>1</v>
      </c>
      <c r="M1103" s="8">
        <f>L1103*G1103</f>
        <v/>
      </c>
      <c r="P1103" s="9" t="n"/>
    </row>
    <row r="1104">
      <c r="A1104" s="13" t="inlineStr">
        <is>
          <t>Fire Diamond / Diamante de Fogo</t>
        </is>
      </c>
      <c r="B1104" s="13" t="inlineStr">
        <is>
          <t>Artifact</t>
        </is>
      </c>
      <c r="C1104" s="13" t="inlineStr">
        <is>
          <t>Uncommon</t>
        </is>
      </c>
      <c r="D1104" s="13" t="inlineStr">
        <is>
          <t>Fire Diamond comes into play tapped. {T}: Add {R} to your mana pool. Play this ability as a mana source.</t>
        </is>
      </c>
      <c r="E1104" s="13" t="inlineStr">
        <is>
          <t>{2}</t>
        </is>
      </c>
      <c r="F1104" s="13" t="inlineStr">
        <is>
          <t>Colorless</t>
        </is>
      </c>
      <c r="G1104" s="8" t="n">
        <v>5.1</v>
      </c>
      <c r="H1104" s="13" t="inlineStr">
        <is>
          <t>Mirage (MIR)</t>
        </is>
      </c>
      <c r="I1104" s="13" t="inlineStr">
        <is>
          <t>No</t>
        </is>
      </c>
      <c r="J1104" s="13" t="n">
        <v>1996</v>
      </c>
      <c r="L1104" s="13" t="n">
        <v>1</v>
      </c>
      <c r="M1104" s="8">
        <f>L1104*G1104</f>
        <v/>
      </c>
      <c r="P1104" s="9" t="n"/>
    </row>
    <row r="1105">
      <c r="A1105" s="13" t="inlineStr">
        <is>
          <t>Fire Drake / Dragonete de Fogo</t>
        </is>
      </c>
      <c r="B1105" s="13" t="inlineStr">
        <is>
          <t>Creature — Drake</t>
        </is>
      </c>
      <c r="C1105" s="13" t="inlineStr">
        <is>
          <t>Uncommon / Incomum</t>
        </is>
      </c>
      <c r="D1105" s="13" t="inlineStr">
        <is>
          <t>Flying {R}: This creature gets +1/+0 until end of turn. Activate only once each turn.</t>
        </is>
      </c>
      <c r="E1105" s="13" t="inlineStr">
        <is>
          <t>{1}{R}{R}</t>
        </is>
      </c>
      <c r="F1105" s="13" t="inlineStr">
        <is>
          <t>Vermelho</t>
        </is>
      </c>
      <c r="G1105" s="8" t="n">
        <v>0.2</v>
      </c>
      <c r="H1105" s="13" t="inlineStr">
        <is>
          <t>Chronicles</t>
        </is>
      </c>
      <c r="I1105" s="13" t="inlineStr">
        <is>
          <t>Não</t>
        </is>
      </c>
      <c r="J1105" s="13" t="n">
        <v>1995</v>
      </c>
      <c r="K1105" s="10" t="n">
        <v>46054</v>
      </c>
      <c r="L1105" s="13" t="n">
        <v>1</v>
      </c>
      <c r="M1105" s="8">
        <f>L1105*G1105</f>
        <v/>
      </c>
      <c r="P1105" s="9" t="n"/>
    </row>
    <row r="1106">
      <c r="A1106" s="13" t="inlineStr">
        <is>
          <t>Fire Elemental / Elemental do Fogo</t>
        </is>
      </c>
      <c r="B1106" s="13" t="inlineStr">
        <is>
          <t>Creature — Elemental / Criatura — Elemental</t>
        </is>
      </c>
      <c r="C1106" s="13" t="inlineStr">
        <is>
          <t>Common / Comum</t>
        </is>
      </c>
      <c r="E1106" s="13" t="inlineStr">
        <is>
          <t>{3}{R}{R}</t>
        </is>
      </c>
      <c r="F1106" s="13" t="inlineStr">
        <is>
          <t>Vermelho</t>
        </is>
      </c>
      <c r="G1106" s="8" t="n">
        <v>0.03</v>
      </c>
      <c r="H1106" s="13" t="inlineStr">
        <is>
          <t>Dominaria (DOM)</t>
        </is>
      </c>
      <c r="I1106" s="13" t="inlineStr">
        <is>
          <t>Não</t>
        </is>
      </c>
      <c r="J1106" s="13" t="n">
        <v>2018</v>
      </c>
      <c r="K1106" s="10" t="n">
        <v>46117</v>
      </c>
      <c r="L1106" s="13" t="n">
        <v>2</v>
      </c>
      <c r="M1106" s="8">
        <f>L1106*G1106</f>
        <v/>
      </c>
      <c r="P1106" s="9" t="n"/>
    </row>
    <row r="1107">
      <c r="A1107" s="13" t="inlineStr">
        <is>
          <t>Fire Elemental / Elemental do Fogo</t>
        </is>
      </c>
      <c r="B1107" s="13" t="inlineStr">
        <is>
          <t>Creature — Elemental / Criatura — Elemental</t>
        </is>
      </c>
      <c r="C1107" s="13" t="inlineStr">
        <is>
          <t>Uncommon / Incomum</t>
        </is>
      </c>
      <c r="E1107" s="13" t="inlineStr">
        <is>
          <t>{3}{R}{R}</t>
        </is>
      </c>
      <c r="F1107" s="13" t="inlineStr">
        <is>
          <t>Vermelho</t>
        </is>
      </c>
      <c r="G1107" s="8" t="n">
        <v>0.1</v>
      </c>
      <c r="H1107" s="13" t="inlineStr">
        <is>
          <t>Fourth Edition</t>
        </is>
      </c>
      <c r="I1107" s="13" t="inlineStr">
        <is>
          <t>Não</t>
        </is>
      </c>
      <c r="J1107" s="13" t="n">
        <v>1995</v>
      </c>
      <c r="K1107" s="10" t="n">
        <v>46117</v>
      </c>
      <c r="L1107" s="13" t="n">
        <v>1</v>
      </c>
      <c r="M1107" s="8">
        <f>L1107*G1107</f>
        <v/>
      </c>
      <c r="P1107" s="9" t="n"/>
    </row>
    <row r="1108">
      <c r="A1108" s="13" t="inlineStr">
        <is>
          <t>Fire Elemental / Elemental do Fogo</t>
        </is>
      </c>
      <c r="B1108" s="13" t="inlineStr">
        <is>
          <t>Creature — Elemental / Criatura — Elemental</t>
        </is>
      </c>
      <c r="C1108" s="13" t="inlineStr">
        <is>
          <t>Uncommon / Incomum</t>
        </is>
      </c>
      <c r="E1108" s="13" t="inlineStr">
        <is>
          <t>{3}{R}{R}</t>
        </is>
      </c>
      <c r="F1108" s="13" t="inlineStr">
        <is>
          <t>Vermelho</t>
        </is>
      </c>
      <c r="G1108" s="8" t="n">
        <v>0.2</v>
      </c>
      <c r="H1108" s="13" t="inlineStr">
        <is>
          <t>Fourth Edition (BB)</t>
        </is>
      </c>
      <c r="I1108" s="13" t="inlineStr">
        <is>
          <t>Não</t>
        </is>
      </c>
      <c r="J1108" s="13" t="n">
        <v>1995</v>
      </c>
      <c r="K1108" s="10" t="n">
        <v>46117</v>
      </c>
      <c r="L1108" s="13" t="n">
        <v>1</v>
      </c>
      <c r="M1108" s="8">
        <f>L1108*G1108</f>
        <v/>
      </c>
      <c r="P1108" s="9" t="n"/>
    </row>
    <row r="1109">
      <c r="A1109" s="13" t="inlineStr">
        <is>
          <t>Fire Nation Cadets</t>
        </is>
      </c>
      <c r="B1109" s="13" t="inlineStr">
        <is>
          <t>Creature — Human Soldier</t>
        </is>
      </c>
      <c r="C1109" s="13" t="inlineStr">
        <is>
          <t>Common / Comum</t>
        </is>
      </c>
      <c r="D1109" s="13" t="inlineStr">
        <is>
          <t>This creature has firebending 2 as long as there's a Lesson card in your graveyard. (Whenever this creature attacks, add {R}{R}. This mana lasts until end of combat.) {2}: This creature gets +1/+0 until end of turn.</t>
        </is>
      </c>
      <c r="E1109" s="13" t="inlineStr">
        <is>
          <t>{R}</t>
        </is>
      </c>
      <c r="F1109" s="13" t="inlineStr">
        <is>
          <t>Vermelho</t>
        </is>
      </c>
      <c r="G1109" s="8" t="n">
        <v>0.09</v>
      </c>
      <c r="H1109" s="13" t="inlineStr">
        <is>
          <t>Avatar: The Last Airbender (TLA)</t>
        </is>
      </c>
      <c r="I1109" s="13" t="inlineStr">
        <is>
          <t>Não</t>
        </is>
      </c>
      <c r="J1109" s="13" t="n">
        <v>2025</v>
      </c>
      <c r="K1109" s="10" t="n">
        <v>46054</v>
      </c>
      <c r="L1109" s="13" t="n">
        <v>4</v>
      </c>
      <c r="M1109" s="8">
        <f>L1109*G1109</f>
        <v/>
      </c>
      <c r="P1109" s="9" t="n"/>
    </row>
    <row r="1110">
      <c r="A1110" s="13" t="inlineStr">
        <is>
          <t>Fire Nation Engineer</t>
        </is>
      </c>
      <c r="B1110" s="13" t="inlineStr">
        <is>
          <t>Creature — Human Artificer</t>
        </is>
      </c>
      <c r="C1110" s="13" t="inlineStr">
        <is>
          <t>Uncommon / Incomum</t>
        </is>
      </c>
      <c r="D1110" s="13" t="inlineStr">
        <is>
          <t>Raid — At the beginning of your end step, if you attacked this turn, put a +1/+1 counter on another target creature or Vehicle you control.</t>
        </is>
      </c>
      <c r="E1110" s="13" t="inlineStr">
        <is>
          <t>{2}{B}</t>
        </is>
      </c>
      <c r="F1110" s="13" t="inlineStr">
        <is>
          <t>Preto</t>
        </is>
      </c>
      <c r="G1110" s="8" t="n">
        <v>0.06</v>
      </c>
      <c r="H1110" s="13" t="inlineStr">
        <is>
          <t>Avatar: The Last Airbender (TLA)</t>
        </is>
      </c>
      <c r="I1110" s="13" t="inlineStr">
        <is>
          <t>Não</t>
        </is>
      </c>
      <c r="J1110" s="13" t="n">
        <v>2025</v>
      </c>
      <c r="K1110" s="10" t="n">
        <v>46083</v>
      </c>
      <c r="L1110" s="13" t="n">
        <v>1</v>
      </c>
      <c r="M1110" s="8">
        <f>L1110*G1110</f>
        <v/>
      </c>
      <c r="P1110" s="9" t="n"/>
    </row>
    <row r="1111">
      <c r="A1111" s="13" t="inlineStr">
        <is>
          <t>Fire Nation Raider</t>
        </is>
      </c>
      <c r="B1111" s="13" t="inlineStr">
        <is>
          <t>Creature — Human Soldier</t>
        </is>
      </c>
      <c r="C1111" s="13" t="inlineStr">
        <is>
          <t>Common / Comum</t>
        </is>
      </c>
      <c r="D1111" s="13" t="inlineStr">
        <is>
          <t>Raid — When this creature enters, if you attacked this turn, create a Clue token. (It's an artifact with "{2}, Sacrifice this token: Draw a card.")</t>
        </is>
      </c>
      <c r="E1111" s="13" t="inlineStr">
        <is>
          <t>{3}{R}</t>
        </is>
      </c>
      <c r="F1111" s="13" t="inlineStr">
        <is>
          <t>Vermelho</t>
        </is>
      </c>
      <c r="G1111" s="8" t="n">
        <v>0.06</v>
      </c>
      <c r="H1111" s="13" t="inlineStr">
        <is>
          <t>Avatar: The Last Airbender (TLA)</t>
        </is>
      </c>
      <c r="I1111" s="13" t="inlineStr">
        <is>
          <t>Não</t>
        </is>
      </c>
      <c r="J1111" s="13" t="n">
        <v>2025</v>
      </c>
      <c r="K1111" s="10" t="n">
        <v>46057</v>
      </c>
      <c r="L1111" s="13" t="n">
        <v>1</v>
      </c>
      <c r="M1111" s="8">
        <f>L1111*G1111</f>
        <v/>
      </c>
      <c r="P1111" s="9" t="n"/>
    </row>
    <row r="1112">
      <c r="A1112" s="13" t="inlineStr">
        <is>
          <t>Fire Nation Warship</t>
        </is>
      </c>
      <c r="B1112" s="13" t="inlineStr">
        <is>
          <t>Artifact — Vehicle</t>
        </is>
      </c>
      <c r="C1112" s="13" t="inlineStr">
        <is>
          <t>Uncommon / Incomum</t>
        </is>
      </c>
      <c r="D1112" s="13" t="inlineStr">
        <is>
          <t>Reach When this Vehicle dies, create a Clue token. (It's an artifact with "{2}, Sacrifice this token: Draw a card.") Crew 2 (Tap any number of creatures you control with total power 2 or more: This Vehicle becomes an artifact creature until end of turn.)</t>
        </is>
      </c>
      <c r="E1112" s="13" t="inlineStr">
        <is>
          <t>{3}</t>
        </is>
      </c>
      <c r="F1112" s="13" t="inlineStr">
        <is>
          <t>Incolor</t>
        </is>
      </c>
      <c r="G1112" s="8" t="n">
        <v>0.06</v>
      </c>
      <c r="H1112" s="13" t="inlineStr">
        <is>
          <t>Avatar: The Last Airbender (TLA)</t>
        </is>
      </c>
      <c r="I1112" s="13" t="inlineStr">
        <is>
          <t>Não</t>
        </is>
      </c>
      <c r="J1112" s="13" t="n">
        <v>2025</v>
      </c>
      <c r="K1112" s="10" t="n">
        <v>46116</v>
      </c>
      <c r="L1112" s="13" t="n">
        <v>1</v>
      </c>
      <c r="M1112" s="8">
        <f>L1112*G1112</f>
        <v/>
      </c>
      <c r="P1112" s="9" t="n"/>
    </row>
    <row r="1113">
      <c r="A1113" s="13" t="inlineStr">
        <is>
          <t>Fire Navy Trebuchet</t>
        </is>
      </c>
      <c r="B1113" s="13" t="inlineStr">
        <is>
          <t>Artifact Creature — Wall</t>
        </is>
      </c>
      <c r="C1113" s="13" t="inlineStr">
        <is>
          <t>Uncommon / Incomum</t>
        </is>
      </c>
      <c r="D1113" s="13" t="inlineStr">
        <is>
          <t>Defender, reach Whenever you attack, create a 2/1 colorless Construct artifact creature token with flying named Ballistic Boulder that's tapped and attacking. Sacrifice that token at the beginning of the next end step.</t>
        </is>
      </c>
      <c r="E1113" s="13" t="inlineStr">
        <is>
          <t>{2}{B}</t>
        </is>
      </c>
      <c r="F1113" s="13" t="inlineStr">
        <is>
          <t>Preto</t>
        </is>
      </c>
      <c r="G1113" s="8" t="n">
        <v>0.4</v>
      </c>
      <c r="H1113" s="13" t="inlineStr">
        <is>
          <t>Avatar: The Last Airbender (TLA)</t>
        </is>
      </c>
      <c r="I1113" s="13" t="inlineStr">
        <is>
          <t>Sim</t>
        </is>
      </c>
      <c r="J1113" s="13" t="n">
        <v>2025</v>
      </c>
      <c r="K1113" s="13" t="inlineStr">
        <is>
          <t>0/4</t>
        </is>
      </c>
      <c r="L1113" s="13" t="n">
        <v>1</v>
      </c>
      <c r="M1113" s="8">
        <f>L1113*G1113</f>
        <v/>
      </c>
      <c r="P1113" s="9" t="n"/>
    </row>
    <row r="1114">
      <c r="A1114" s="13" t="inlineStr">
        <is>
          <t>Fire Sages</t>
        </is>
      </c>
      <c r="B1114" s="13" t="inlineStr">
        <is>
          <t>Creature — Human Cleric</t>
        </is>
      </c>
      <c r="C1114" s="13" t="inlineStr">
        <is>
          <t>Uncommon / Incomum</t>
        </is>
      </c>
      <c r="D1114" s="13" t="inlineStr">
        <is>
          <t>Firebending 1 (Whenever this creature attacks, add {R}. This mana lasts until end of combat.) {1}{R}{R}: Put a +1/+1 counter on this creature.</t>
        </is>
      </c>
      <c r="E1114" s="13" t="inlineStr">
        <is>
          <t>{1}{R}</t>
        </is>
      </c>
      <c r="F1114" s="13" t="inlineStr">
        <is>
          <t>Vermelho</t>
        </is>
      </c>
      <c r="G1114" s="8" t="n">
        <v>0.15</v>
      </c>
      <c r="H1114" s="13" t="inlineStr">
        <is>
          <t>Avatar: The Last Airbender (TLA)</t>
        </is>
      </c>
      <c r="I1114" s="13" t="inlineStr">
        <is>
          <t>Não</t>
        </is>
      </c>
      <c r="J1114" s="13" t="n">
        <v>2025</v>
      </c>
      <c r="K1114" s="10" t="n">
        <v>46055</v>
      </c>
      <c r="L1114" s="13" t="n">
        <v>1</v>
      </c>
      <c r="M1114" s="8">
        <f>L1114*G1114</f>
        <v/>
      </c>
      <c r="P1114" s="9" t="n"/>
    </row>
    <row r="1115">
      <c r="A1115" s="13" t="inlineStr">
        <is>
          <t>Fireball / Bola de Fogo</t>
        </is>
      </c>
      <c r="B1115" s="13" t="inlineStr">
        <is>
          <t>Sorcery / Feitiço</t>
        </is>
      </c>
      <c r="C1115" s="13" t="inlineStr">
        <is>
          <t>Common / Comum</t>
        </is>
      </c>
      <c r="D1115" s="13"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1115" s="13" t="inlineStr">
        <is>
          <t>{X}{R}</t>
        </is>
      </c>
      <c r="F1115" s="13" t="inlineStr">
        <is>
          <t>Vermelho</t>
        </is>
      </c>
      <c r="G1115" s="8" t="n">
        <v>0.1</v>
      </c>
      <c r="H1115" s="13" t="inlineStr">
        <is>
          <t xml:space="preserve">Quarta Edição </t>
        </is>
      </c>
      <c r="I1115" s="13" t="inlineStr">
        <is>
          <t>Não</t>
        </is>
      </c>
      <c r="J1115" s="13" t="n">
        <v>1995</v>
      </c>
      <c r="L1115" s="13" t="n">
        <v>4</v>
      </c>
      <c r="M1115" s="8">
        <f>L1115*G1115</f>
        <v/>
      </c>
      <c r="P1115" s="9" t="n"/>
    </row>
    <row r="1116">
      <c r="A1116" s="13" t="inlineStr">
        <is>
          <t>Firebending Lesson</t>
        </is>
      </c>
      <c r="B1116" s="13" t="inlineStr">
        <is>
          <t>Instant — Lesson</t>
        </is>
      </c>
      <c r="C1116" s="13" t="inlineStr">
        <is>
          <t>Common / Comum</t>
        </is>
      </c>
      <c r="D1116" s="13" t="inlineStr">
        <is>
          <t>Kicker {4} (You may pay an additional {4} as you cast this spell.) Firebending Lesson deals 2 damage to target creature. If this spell was kicked, it deals 5 damage to that creature instead.</t>
        </is>
      </c>
      <c r="E1116" s="13" t="inlineStr">
        <is>
          <t>{R}</t>
        </is>
      </c>
      <c r="F1116" s="13" t="inlineStr">
        <is>
          <t>Vermelho</t>
        </is>
      </c>
      <c r="G1116" s="8" t="n">
        <v>0.2</v>
      </c>
      <c r="H1116" s="13" t="inlineStr">
        <is>
          <t>Avatar: The Last Airbender (TLA)</t>
        </is>
      </c>
      <c r="I1116" s="13" t="inlineStr">
        <is>
          <t>Não</t>
        </is>
      </c>
      <c r="J1116" s="13" t="n">
        <v>2025</v>
      </c>
      <c r="L1116" s="13" t="n">
        <v>1</v>
      </c>
      <c r="M1116" s="8">
        <f>L1116*G1116</f>
        <v/>
      </c>
      <c r="P1116" s="9" t="n"/>
    </row>
    <row r="1117">
      <c r="A1117" s="13" t="inlineStr">
        <is>
          <t>Fireblade Artist / Artista da Lâmina de Fogo</t>
        </is>
      </c>
      <c r="B1117" s="13" t="inlineStr">
        <is>
          <t>Creature — Human Shaman / Criatura — Humano Xamã</t>
        </is>
      </c>
      <c r="C1117" s="13" t="inlineStr">
        <is>
          <t>Uncommon / Incomum</t>
        </is>
      </c>
      <c r="D1117" s="13"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117" s="13" t="inlineStr">
        <is>
          <t>{B}{R}</t>
        </is>
      </c>
      <c r="F1117" s="13" t="inlineStr">
        <is>
          <t>Preto, Vermelho</t>
        </is>
      </c>
      <c r="G1117" s="8" t="n">
        <v>0.1</v>
      </c>
      <c r="H1117" s="13" t="inlineStr">
        <is>
          <t>Ravnica Allegiance (RNA)</t>
        </is>
      </c>
      <c r="I1117" s="13" t="inlineStr">
        <is>
          <t>Não</t>
        </is>
      </c>
      <c r="J1117" s="13" t="n">
        <v>2019</v>
      </c>
      <c r="K1117" s="10" t="n">
        <v>46055</v>
      </c>
      <c r="L1117" s="13" t="n">
        <v>4</v>
      </c>
      <c r="M1117" s="8">
        <f>L1117*G1117</f>
        <v/>
      </c>
      <c r="P1117" s="9" t="n"/>
    </row>
    <row r="1118">
      <c r="A1118" s="13" t="inlineStr">
        <is>
          <t>Firebolt / Raio de Fogo</t>
        </is>
      </c>
      <c r="B1118" s="13" t="inlineStr">
        <is>
          <t>Sorcery / Feitiço</t>
        </is>
      </c>
      <c r="C1118" s="13" t="inlineStr">
        <is>
          <t>Common / Comum</t>
        </is>
      </c>
      <c r="D1118" s="13"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118" s="13" t="inlineStr">
        <is>
          <t>{R}</t>
        </is>
      </c>
      <c r="F1118" s="13" t="inlineStr">
        <is>
          <t>Vermelho</t>
        </is>
      </c>
      <c r="G1118" s="8" t="n">
        <v>0.14</v>
      </c>
      <c r="H1118" s="13" t="inlineStr">
        <is>
          <t>Eternal Masters (EMA)</t>
        </is>
      </c>
      <c r="I1118" s="13" t="inlineStr">
        <is>
          <t>Não</t>
        </is>
      </c>
      <c r="J1118" s="13" t="n">
        <v>2016</v>
      </c>
      <c r="L1118" s="13" t="n">
        <v>2</v>
      </c>
      <c r="M1118" s="8">
        <f>L1118*G1118</f>
        <v/>
      </c>
      <c r="P1118" s="9" t="n"/>
    </row>
    <row r="1119">
      <c r="A1119" s="13" t="inlineStr">
        <is>
          <t>Firebrand Archer / Arqueira Agitadora</t>
        </is>
      </c>
      <c r="B1119" s="13" t="inlineStr">
        <is>
          <t>Creature — Human Archer / Criatura — Humano Arqueiro</t>
        </is>
      </c>
      <c r="C1119" s="13" t="inlineStr">
        <is>
          <t>Common / Comum</t>
        </is>
      </c>
      <c r="D1119" s="13" t="inlineStr">
        <is>
          <t>Whenever you cast a noncreature spell, this creature deals 1 damage to each opponent. / Toda vez que você conjura uma mágica que não seja de criatura, Arqueira Agitadora causa 1 ponto de dano a cada oponente.</t>
        </is>
      </c>
      <c r="E1119" s="13" t="inlineStr">
        <is>
          <t>{1}{R}</t>
        </is>
      </c>
      <c r="F1119" s="13" t="inlineStr">
        <is>
          <t>Vermelho</t>
        </is>
      </c>
      <c r="G1119" s="8" t="n">
        <v>0.2</v>
      </c>
      <c r="H1119" s="13" t="inlineStr">
        <is>
          <t>Foundations (FDN)</t>
        </is>
      </c>
      <c r="I1119" s="13" t="inlineStr">
        <is>
          <t>Não</t>
        </is>
      </c>
      <c r="J1119" s="13" t="n">
        <v>2024</v>
      </c>
      <c r="K1119" s="10" t="n">
        <v>46024</v>
      </c>
      <c r="L1119" s="13" t="n">
        <v>1</v>
      </c>
      <c r="M1119" s="8">
        <f>L1119*G1119</f>
        <v/>
      </c>
      <c r="P1119" s="9" t="n"/>
    </row>
    <row r="1120">
      <c r="A1120" s="13" t="inlineStr">
        <is>
          <t>Firebreathing / Hálito de Fogo</t>
        </is>
      </c>
      <c r="B1120" s="13" t="inlineStr">
        <is>
          <t>Enchantment — Aura / Encantamento — Aura</t>
        </is>
      </c>
      <c r="C1120" s="13" t="inlineStr">
        <is>
          <t>Common / Comum</t>
        </is>
      </c>
      <c r="D1120" s="13" t="inlineStr">
        <is>
          <t>Enchant creature {R}: Enchanted creature gets +1/+0 until end of turn. / Encantar criatura {R}: A criatura encantada recebe +1/+0 até o final do turno.</t>
        </is>
      </c>
      <c r="E1120" s="13" t="inlineStr">
        <is>
          <t>{R}</t>
        </is>
      </c>
      <c r="F1120" s="13" t="inlineStr">
        <is>
          <t>Vermelho</t>
        </is>
      </c>
      <c r="G1120" s="8" t="n">
        <v>0.05</v>
      </c>
      <c r="H1120" s="13" t="inlineStr">
        <is>
          <t>Quarta Edição</t>
        </is>
      </c>
      <c r="I1120" s="13" t="inlineStr">
        <is>
          <t>Não</t>
        </is>
      </c>
      <c r="J1120" s="13" t="n">
        <v>1995</v>
      </c>
      <c r="L1120" s="13" t="n">
        <v>6</v>
      </c>
      <c r="M1120" s="8">
        <f>L1120*G1120</f>
        <v/>
      </c>
      <c r="P1120" s="9" t="n"/>
    </row>
    <row r="1121">
      <c r="A1121" s="13" t="inlineStr">
        <is>
          <t>Firebreathing / Hálito de Fogo</t>
        </is>
      </c>
      <c r="B1121" s="13" t="inlineStr">
        <is>
          <t>Enchantment — Aura / Encantamento — Aura</t>
        </is>
      </c>
      <c r="C1121" s="13" t="inlineStr">
        <is>
          <t>Common / Comum</t>
        </is>
      </c>
      <c r="D1121" s="13" t="inlineStr">
        <is>
          <t>Enchant creature {R}: Enchanted creature gets +1/+0 until end of turn. / Encantar criatura {R}: A criatura encantada recebe +1/+0 até o final do turno.</t>
        </is>
      </c>
      <c r="E1121" s="13" t="inlineStr">
        <is>
          <t>{R}</t>
        </is>
      </c>
      <c r="F1121" s="13" t="inlineStr">
        <is>
          <t>Vermelho</t>
        </is>
      </c>
      <c r="G1121" s="8" t="n">
        <v>0.17</v>
      </c>
      <c r="H1121" s="13" t="inlineStr">
        <is>
          <t>Quarta Edição (BB)</t>
        </is>
      </c>
      <c r="I1121" s="13" t="inlineStr">
        <is>
          <t>Não</t>
        </is>
      </c>
      <c r="J1121" s="13" t="n">
        <v>1995</v>
      </c>
      <c r="L1121" s="13" t="n">
        <v>1</v>
      </c>
      <c r="M1121" s="8">
        <f>L1121*G1121</f>
        <v/>
      </c>
      <c r="P1121" s="9" t="n"/>
    </row>
    <row r="1122">
      <c r="A1122" s="13" t="inlineStr">
        <is>
          <t>Firespitter Whelp</t>
        </is>
      </c>
      <c r="B1122" s="13" t="inlineStr">
        <is>
          <t>Creature — Dragon</t>
        </is>
      </c>
      <c r="C1122" s="13" t="inlineStr">
        <is>
          <t>Uncommon / Incomum</t>
        </is>
      </c>
      <c r="D1122" s="13" t="inlineStr">
        <is>
          <t>Flying Whenever you cast a noncreature or Dragon spell, this creature deals 1 damage to each opponent.</t>
        </is>
      </c>
      <c r="E1122" s="13" t="inlineStr">
        <is>
          <t>{2}{R}</t>
        </is>
      </c>
      <c r="F1122" s="13" t="inlineStr">
        <is>
          <t>Vermelho</t>
        </is>
      </c>
      <c r="G1122" s="8" t="n">
        <v>0.99</v>
      </c>
      <c r="H1122" s="13" t="inlineStr">
        <is>
          <t>Foundations Jumpstart (J25)</t>
        </is>
      </c>
      <c r="I1122" s="13" t="inlineStr">
        <is>
          <t>Não</t>
        </is>
      </c>
      <c r="J1122" s="13" t="n">
        <v>2024</v>
      </c>
      <c r="K1122" s="10" t="n">
        <v>46055</v>
      </c>
      <c r="L1122" s="13" t="n">
        <v>1</v>
      </c>
      <c r="M1122" s="8">
        <f>L1122*G1122</f>
        <v/>
      </c>
      <c r="N1122" s="13" t="inlineStr">
        <is>
          <t>Pasta</t>
        </is>
      </c>
      <c r="P1122" s="9" t="n"/>
    </row>
    <row r="1123">
      <c r="A1123" s="13" t="inlineStr">
        <is>
          <t>Firja, Judge of Valor / Firja, Juíza do Valor</t>
        </is>
      </c>
      <c r="B1123" s="13" t="inlineStr">
        <is>
          <t>Legendary Creature — Angel Cleric / Criatura Lendária — Anjo Clérigo</t>
        </is>
      </c>
      <c r="C1123" s="13" t="inlineStr">
        <is>
          <t>Uncommon / Incomum</t>
        </is>
      </c>
      <c r="D1123" s="13"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1123" s="13" t="inlineStr">
        <is>
          <t>{2}{W}{B}{B}</t>
        </is>
      </c>
      <c r="F1123" s="13" t="inlineStr">
        <is>
          <t>Preto, Branco</t>
        </is>
      </c>
      <c r="G1123" s="8" t="n">
        <v>0.15</v>
      </c>
      <c r="H1123" s="13" t="inlineStr">
        <is>
          <t>Multiverse Legends (MUL)</t>
        </is>
      </c>
      <c r="I1123" s="13" t="inlineStr">
        <is>
          <t>Não</t>
        </is>
      </c>
      <c r="J1123" s="13" t="n">
        <v>2023</v>
      </c>
      <c r="K1123" s="10" t="n">
        <v>46114</v>
      </c>
      <c r="L1123" s="13" t="n">
        <v>1</v>
      </c>
      <c r="M1123" s="8">
        <f>L1123*G1123</f>
        <v/>
      </c>
      <c r="P1123" s="9" t="n"/>
    </row>
    <row r="1124">
      <c r="A1124" s="13" t="inlineStr">
        <is>
          <t>First-Time Flyer</t>
        </is>
      </c>
      <c r="B1124" s="13" t="inlineStr">
        <is>
          <t>Creature — Human Pilot Ally</t>
        </is>
      </c>
      <c r="C1124" s="13" t="inlineStr">
        <is>
          <t>Common / Comum</t>
        </is>
      </c>
      <c r="D1124" s="13" t="inlineStr">
        <is>
          <t>Flying This creature gets +1/+1 as long as there's a Lesson card in your graveyard.</t>
        </is>
      </c>
      <c r="E1124" s="13" t="inlineStr">
        <is>
          <t>{1}{U}</t>
        </is>
      </c>
      <c r="F1124" s="13" t="inlineStr">
        <is>
          <t>Azul</t>
        </is>
      </c>
      <c r="G1124" s="8" t="n">
        <v>0.1</v>
      </c>
      <c r="H1124" s="13" t="inlineStr">
        <is>
          <t>Avatar: The Last Airbender (TLA)</t>
        </is>
      </c>
      <c r="I1124" s="13" t="inlineStr">
        <is>
          <t>Não</t>
        </is>
      </c>
      <c r="J1124" s="13" t="n">
        <v>2025</v>
      </c>
      <c r="K1124" s="10" t="n">
        <v>46054</v>
      </c>
      <c r="L1124" s="13" t="n">
        <v>2</v>
      </c>
      <c r="M1124" s="8">
        <f>L1124*G1124</f>
        <v/>
      </c>
      <c r="P1124" s="9" t="n"/>
    </row>
    <row r="1125">
      <c r="A1125" s="13" t="inlineStr">
        <is>
          <t>Fissure / Fissura</t>
        </is>
      </c>
      <c r="B1125" s="13" t="inlineStr">
        <is>
          <t>Instant</t>
        </is>
      </c>
      <c r="C1125" s="13" t="inlineStr">
        <is>
          <t>Common / Comum</t>
        </is>
      </c>
      <c r="D1125" s="13" t="inlineStr">
        <is>
          <t>Destroy target creature or land. It can't be regenerated.</t>
        </is>
      </c>
      <c r="E1125" s="13" t="inlineStr">
        <is>
          <t>{3}{R}{R}</t>
        </is>
      </c>
      <c r="F1125" s="13" t="inlineStr">
        <is>
          <t>Vermelho</t>
        </is>
      </c>
      <c r="G1125" s="8" t="n">
        <v>0.09</v>
      </c>
      <c r="H1125" s="13" t="inlineStr">
        <is>
          <t xml:space="preserve">Quarta Edição </t>
        </is>
      </c>
      <c r="I1125" s="13" t="inlineStr">
        <is>
          <t>Não</t>
        </is>
      </c>
      <c r="J1125" s="13" t="n">
        <v>1995</v>
      </c>
      <c r="L1125" s="13" t="n">
        <v>1</v>
      </c>
      <c r="M1125" s="8">
        <f>L1125*G1125</f>
        <v/>
      </c>
      <c r="P1125" s="9" t="n"/>
    </row>
    <row r="1126">
      <c r="A1126" s="13" t="inlineStr">
        <is>
          <t>Fissure / Fissura</t>
        </is>
      </c>
      <c r="B1126" s="13" t="inlineStr">
        <is>
          <t>Instant</t>
        </is>
      </c>
      <c r="C1126" s="13" t="inlineStr">
        <is>
          <t>Common / Comum</t>
        </is>
      </c>
      <c r="D1126" s="13" t="inlineStr">
        <is>
          <t>Destroy target creature or land. It can't be regenerated.</t>
        </is>
      </c>
      <c r="E1126" s="13" t="inlineStr">
        <is>
          <t>{3}{R}{R}</t>
        </is>
      </c>
      <c r="F1126" s="13" t="inlineStr">
        <is>
          <t>Vermelho</t>
        </is>
      </c>
      <c r="G1126" s="8" t="n">
        <v>0.09</v>
      </c>
      <c r="H1126" s="13" t="inlineStr">
        <is>
          <t>Quarta Edição (BB)</t>
        </is>
      </c>
      <c r="I1126" s="13" t="inlineStr">
        <is>
          <t>Não</t>
        </is>
      </c>
      <c r="J1126" s="13" t="n">
        <v>1995</v>
      </c>
      <c r="L1126" s="13" t="n">
        <v>1</v>
      </c>
      <c r="M1126" s="8">
        <f>L1126*G1126</f>
        <v/>
      </c>
      <c r="P1126" s="9" t="n"/>
    </row>
    <row r="1127">
      <c r="A1127" s="13" t="inlineStr">
        <is>
          <t>Fists of Flame / Punhos Chamejantes</t>
        </is>
      </c>
      <c r="B1127" s="13" t="inlineStr">
        <is>
          <t>Instant / Mágica Instantânea</t>
        </is>
      </c>
      <c r="C1127" s="13" t="inlineStr">
        <is>
          <t>Common / Comum</t>
        </is>
      </c>
      <c r="D1127" s="13"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127" s="13" t="inlineStr">
        <is>
          <t>{1}{R}</t>
        </is>
      </c>
      <c r="F1127" s="13" t="inlineStr">
        <is>
          <t>Vermelho</t>
        </is>
      </c>
      <c r="G1127" s="8" t="n">
        <v>0.35</v>
      </c>
      <c r="H1127" s="13" t="inlineStr">
        <is>
          <t>Commander Masters (CMM)</t>
        </is>
      </c>
      <c r="I1127" s="13" t="inlineStr">
        <is>
          <t>Não</t>
        </is>
      </c>
      <c r="J1127" s="13" t="n">
        <v>2023</v>
      </c>
      <c r="L1127" s="13" t="n">
        <v>1</v>
      </c>
      <c r="M1127" s="8">
        <f>L1127*G1127</f>
        <v/>
      </c>
      <c r="P1127" s="9" t="n"/>
    </row>
    <row r="1128">
      <c r="A1128" s="13" t="inlineStr">
        <is>
          <t>Fists of Flame / Punhos Chamejantes</t>
        </is>
      </c>
      <c r="B1128" s="13" t="inlineStr">
        <is>
          <t>Instant / Mágica Instantânea</t>
        </is>
      </c>
      <c r="C1128" s="13" t="inlineStr">
        <is>
          <t>Common / Comum</t>
        </is>
      </c>
      <c r="D1128" s="13"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128" s="13" t="inlineStr">
        <is>
          <t>{1}{R}</t>
        </is>
      </c>
      <c r="F1128" s="13" t="inlineStr">
        <is>
          <t>Vermelho</t>
        </is>
      </c>
      <c r="G1128" s="8" t="n">
        <v>1.25</v>
      </c>
      <c r="H1128" s="13" t="inlineStr">
        <is>
          <t>Commander Masters (CMM)</t>
        </is>
      </c>
      <c r="I1128" s="13" t="inlineStr">
        <is>
          <t>Sim</t>
        </is>
      </c>
      <c r="J1128" s="13" t="n">
        <v>2023</v>
      </c>
      <c r="L1128" s="13" t="n">
        <v>1</v>
      </c>
      <c r="M1128" s="8">
        <f>L1128*G1128</f>
        <v/>
      </c>
      <c r="P1128" s="9" t="n"/>
    </row>
    <row r="1129">
      <c r="A1129" s="13" t="inlineStr">
        <is>
          <t>Flagelo das Frotas</t>
        </is>
      </c>
      <c r="B1129" s="13" t="inlineStr">
        <is>
          <t>Criatura — Kraken</t>
        </is>
      </c>
      <c r="C1129" s="13" t="inlineStr">
        <is>
          <t>Rara</t>
        </is>
      </c>
      <c r="D1129" s="13" t="inlineStr">
        <is>
          <t>Quando Flagelo das Frotas entrar no campo de batalha, devolva cada criatura controlada pelos seus oponentes com resistência X ou menos para a mão de seu dono, sendo X o número de Ilhas que você controla.</t>
        </is>
      </c>
      <c r="E1129" s="13" t="inlineStr">
        <is>
          <t>5UU</t>
        </is>
      </c>
      <c r="F1129" s="13" t="inlineStr">
        <is>
          <t>Azul</t>
        </is>
      </c>
      <c r="G1129" s="8" t="n">
        <v>0.85</v>
      </c>
      <c r="H1129" s="13" t="inlineStr">
        <is>
          <t>Journey into Nyx</t>
        </is>
      </c>
      <c r="I1129" s="13" t="inlineStr">
        <is>
          <t>Sim</t>
        </is>
      </c>
      <c r="J1129" s="13" t="n">
        <v>2014</v>
      </c>
      <c r="K1129" s="10" t="n">
        <v>46179</v>
      </c>
      <c r="L1129" s="13" t="n">
        <v>1</v>
      </c>
      <c r="M1129" s="8">
        <f>L1129*G1129</f>
        <v/>
      </c>
      <c r="P1129" s="9" t="n"/>
    </row>
    <row r="1130">
      <c r="A1130" s="13" t="inlineStr">
        <is>
          <t>Flagelo das Frotas</t>
        </is>
      </c>
      <c r="B1130" s="13" t="inlineStr">
        <is>
          <t>Criatura — Kraken</t>
        </is>
      </c>
      <c r="C1130" s="13" t="inlineStr">
        <is>
          <t>Rara</t>
        </is>
      </c>
      <c r="D1130" s="13" t="inlineStr">
        <is>
          <t>Quando Flagelo das Frotas entrar no campo de batalha, devolva cada criatura controlada pelos seus oponentes com resistência X ou menos para a mão de seu dono, sendo X o número de Ilhas que você controla.</t>
        </is>
      </c>
      <c r="E1130" s="13" t="inlineStr">
        <is>
          <t>5UU</t>
        </is>
      </c>
      <c r="F1130" s="13" t="inlineStr">
        <is>
          <t>Azul</t>
        </is>
      </c>
      <c r="G1130" s="8" t="n">
        <v>0.5600000000000001</v>
      </c>
      <c r="H1130" s="13" t="inlineStr">
        <is>
          <t>Journey into Nyx</t>
        </is>
      </c>
      <c r="I1130" s="13" t="inlineStr">
        <is>
          <t>Não</t>
        </is>
      </c>
      <c r="J1130" s="13" t="n">
        <v>2014</v>
      </c>
      <c r="K1130" s="10" t="n">
        <v>46179</v>
      </c>
      <c r="L1130" s="13" t="n">
        <v>2</v>
      </c>
      <c r="M1130" s="8">
        <f>L1130*G1130</f>
        <v/>
      </c>
      <c r="P1130" s="9" t="n"/>
    </row>
    <row r="1131">
      <c r="A1131" s="13" t="inlineStr">
        <is>
          <t>Flame Spirit / Espírito das Chamas</t>
        </is>
      </c>
      <c r="B1131" s="13" t="inlineStr">
        <is>
          <t>Creature — Elemental Spirit</t>
        </is>
      </c>
      <c r="C1131" s="13" t="inlineStr">
        <is>
          <t>Uncommon / Incomum</t>
        </is>
      </c>
      <c r="D1131" s="13" t="inlineStr">
        <is>
          <t>{R}: This creature gets +1/+0 until end of turn.</t>
        </is>
      </c>
      <c r="E1131" s="13" t="inlineStr">
        <is>
          <t>{4}{R}</t>
        </is>
      </c>
      <c r="F1131" s="13" t="inlineStr">
        <is>
          <t>Vermelho</t>
        </is>
      </c>
      <c r="G1131" s="8" t="n">
        <v>0.05</v>
      </c>
      <c r="H1131" s="13" t="inlineStr">
        <is>
          <t>Ice Age (ICE)</t>
        </is>
      </c>
      <c r="I1131" s="13" t="inlineStr">
        <is>
          <t>Não</t>
        </is>
      </c>
      <c r="J1131" s="13" t="n">
        <v>1995</v>
      </c>
      <c r="K1131" s="10" t="n">
        <v>46083</v>
      </c>
      <c r="L1131" s="13" t="n">
        <v>1</v>
      </c>
      <c r="M1131" s="8">
        <f>L1131*G1131</f>
        <v/>
      </c>
      <c r="P1131" s="9" t="n"/>
    </row>
    <row r="1132">
      <c r="A1132" s="13" t="inlineStr">
        <is>
          <t>Flame-Blessed Bolt / Virote da Chama Abençoada</t>
        </is>
      </c>
      <c r="B1132" s="13" t="inlineStr">
        <is>
          <t>Instant / Mágica Instantânea</t>
        </is>
      </c>
      <c r="C1132" s="13" t="inlineStr">
        <is>
          <t>Common / Comum</t>
        </is>
      </c>
      <c r="D1132" s="13"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1132" s="13" t="inlineStr">
        <is>
          <t>{R}</t>
        </is>
      </c>
      <c r="F1132" s="13" t="inlineStr">
        <is>
          <t>Vermelho</t>
        </is>
      </c>
      <c r="G1132" s="8" t="n">
        <v>0.04</v>
      </c>
      <c r="H1132" s="13" t="inlineStr">
        <is>
          <t>Innistrad: Crimson Vow (VOW)</t>
        </is>
      </c>
      <c r="I1132" s="13" t="inlineStr">
        <is>
          <t>Não</t>
        </is>
      </c>
      <c r="J1132" s="13" t="n">
        <v>2021</v>
      </c>
      <c r="L1132" s="13" t="n">
        <v>1</v>
      </c>
      <c r="M1132" s="8">
        <f>L1132*G1132</f>
        <v/>
      </c>
      <c r="P1132" s="9" t="n"/>
    </row>
    <row r="1133">
      <c r="A1133" s="13" t="inlineStr">
        <is>
          <t>Flame-Chain Mauler</t>
        </is>
      </c>
      <c r="B1133" s="13" t="inlineStr">
        <is>
          <t>Creature — Elemental Warrior</t>
        </is>
      </c>
      <c r="C1133" s="13" t="inlineStr">
        <is>
          <t>Common</t>
        </is>
      </c>
      <c r="D1133" s="13" t="inlineStr">
        <is>
          <t>{1}{R}: This creature gets +1/+0 and gains menace until end of turn. (It can't be blocked except by two or more creatures.)</t>
        </is>
      </c>
      <c r="E1133" s="13" t="inlineStr">
        <is>
          <t>{1}{R}</t>
        </is>
      </c>
      <c r="F1133" s="13" t="inlineStr">
        <is>
          <t>Red</t>
        </is>
      </c>
      <c r="G1133" s="8" t="n">
        <v>0.2</v>
      </c>
      <c r="H1133" s="13" t="inlineStr">
        <is>
          <t>Lorwyn Eclipsed (ECL)</t>
        </is>
      </c>
      <c r="I1133" s="13" t="inlineStr">
        <is>
          <t>Sim</t>
        </is>
      </c>
      <c r="J1133" s="13" t="n">
        <v>2026</v>
      </c>
      <c r="K1133" s="10" t="n">
        <v>46055</v>
      </c>
      <c r="L1133" s="13" t="n">
        <v>1</v>
      </c>
      <c r="M1133" s="8">
        <f>L1133*G1133</f>
        <v/>
      </c>
      <c r="P1133" s="9" t="n"/>
    </row>
    <row r="1134">
      <c r="A1134" s="13" t="inlineStr">
        <is>
          <t>Flame-Chain Mauler</t>
        </is>
      </c>
      <c r="B1134" s="13" t="inlineStr">
        <is>
          <t>Creature — Elemental Warrior</t>
        </is>
      </c>
      <c r="C1134" s="13" t="inlineStr">
        <is>
          <t>Common</t>
        </is>
      </c>
      <c r="D1134" s="13" t="inlineStr">
        <is>
          <t>{1}{R}: This creature gets +1/+0 and gains menace until end of turn. (It can't be blocked except by two or more creatures.)</t>
        </is>
      </c>
      <c r="E1134" s="13" t="inlineStr">
        <is>
          <t>{1}{R}</t>
        </is>
      </c>
      <c r="F1134" s="13" t="inlineStr">
        <is>
          <t>Red</t>
        </is>
      </c>
      <c r="G1134" s="8" t="n">
        <v>0.1</v>
      </c>
      <c r="H1134" s="13" t="inlineStr">
        <is>
          <t>Lorwyn Eclipsed (ECL)</t>
        </is>
      </c>
      <c r="I1134" s="13" t="inlineStr">
        <is>
          <t>No</t>
        </is>
      </c>
      <c r="J1134" s="13" t="n">
        <v>2026</v>
      </c>
      <c r="K1134" s="10" t="n">
        <v>46055</v>
      </c>
      <c r="L1134" s="13" t="n">
        <v>1</v>
      </c>
      <c r="M1134" s="8">
        <f>L1134*G1134</f>
        <v/>
      </c>
      <c r="P1134" s="9" t="n"/>
    </row>
    <row r="1135">
      <c r="A1135" s="13" t="inlineStr">
        <is>
          <t>Flame-Kin Zealot / Zelote da Tribo das Chamas</t>
        </is>
      </c>
      <c r="B1135" s="13" t="inlineStr">
        <is>
          <t>Criatura — Elemental Berserker</t>
        </is>
      </c>
      <c r="C1135" s="13" t="inlineStr">
        <is>
          <t>Incomum</t>
        </is>
      </c>
      <c r="D1135" s="13" t="inlineStr">
        <is>
          <t>Quando Flame-Kin Zealot entra no campo de batalha, criaturas que você controla recebem +1/+1 e ganham ímpeto até o final do turno.</t>
        </is>
      </c>
      <c r="E1135" s="13" t="inlineStr">
        <is>
          <t>1RW</t>
        </is>
      </c>
      <c r="F1135" s="13" t="inlineStr">
        <is>
          <t>Multicolorido</t>
        </is>
      </c>
      <c r="G1135" s="8" t="n">
        <v>0.09</v>
      </c>
      <c r="H1135" s="13" t="inlineStr">
        <is>
          <t>Duel Decks: Speed vs. Cunning</t>
        </is>
      </c>
      <c r="I1135" s="13" t="inlineStr">
        <is>
          <t>Não</t>
        </is>
      </c>
      <c r="J1135" s="13" t="n">
        <v>2014</v>
      </c>
      <c r="K1135" s="10" t="n">
        <v>46055</v>
      </c>
      <c r="L1135" s="13" t="n">
        <v>1</v>
      </c>
      <c r="M1135" s="8">
        <f>L1135*G1135</f>
        <v/>
      </c>
      <c r="P1135" s="9" t="n"/>
    </row>
    <row r="1136">
      <c r="A1136" s="13" t="inlineStr">
        <is>
          <t>Flamekin Gildweaver</t>
        </is>
      </c>
      <c r="B1136" s="13" t="inlineStr">
        <is>
          <t>Creature — Elemental Sorcerer</t>
        </is>
      </c>
      <c r="C1136" s="13" t="inlineStr">
        <is>
          <t>Common / Comum</t>
        </is>
      </c>
      <c r="D1136" s="13" t="inlineStr">
        <is>
          <t>Trample When this creature enters, create a Treasure token. (It's an artifact with "{T}, Sacrifice this token: Add one mana of any color.")</t>
        </is>
      </c>
      <c r="E1136" s="13" t="inlineStr">
        <is>
          <t>{3}{R}</t>
        </is>
      </c>
      <c r="F1136" s="13" t="inlineStr">
        <is>
          <t>Vermelho</t>
        </is>
      </c>
      <c r="G1136" s="8" t="n">
        <v>0.11</v>
      </c>
      <c r="H1136" s="13" t="inlineStr">
        <is>
          <t>Lorwyn Eclipsed (ECL)</t>
        </is>
      </c>
      <c r="I1136" s="13" t="inlineStr">
        <is>
          <t>Não</t>
        </is>
      </c>
      <c r="J1136" s="13" t="n">
        <v>2026</v>
      </c>
      <c r="K1136" s="10" t="n">
        <v>46085</v>
      </c>
      <c r="L1136" s="13" t="n">
        <v>1</v>
      </c>
      <c r="M1136" s="8">
        <f>L1136*G1136</f>
        <v/>
      </c>
      <c r="P1136" s="9" t="n"/>
    </row>
    <row r="1137">
      <c r="A1137" s="13" t="inlineStr">
        <is>
          <t>Flamestick Courier / Mensageiro do Archote</t>
        </is>
      </c>
      <c r="B1137" s="13" t="inlineStr">
        <is>
          <t>Creature — Goblin / Criatura — Goblin</t>
        </is>
      </c>
      <c r="C1137" s="13" t="inlineStr">
        <is>
          <t>Uncommon / Incomum</t>
        </is>
      </c>
      <c r="D1137" s="13"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1137" s="13" t="inlineStr">
        <is>
          <t>{2}{R}</t>
        </is>
      </c>
      <c r="F1137" s="13" t="inlineStr">
        <is>
          <t>Vermelho</t>
        </is>
      </c>
      <c r="G1137" s="8" t="n">
        <v>0.08</v>
      </c>
      <c r="H1137" s="13" t="inlineStr">
        <is>
          <t>Onslaught (ONS)</t>
        </is>
      </c>
      <c r="I1137" s="13" t="inlineStr">
        <is>
          <t>Não</t>
        </is>
      </c>
      <c r="J1137" s="13" t="n">
        <v>2002</v>
      </c>
      <c r="K1137" s="10" t="n">
        <v>46024</v>
      </c>
      <c r="L1137" s="13" t="n">
        <v>1</v>
      </c>
      <c r="M1137" s="8">
        <f>L1137*G1137</f>
        <v/>
      </c>
      <c r="P1137" s="9" t="n"/>
    </row>
    <row r="1138">
      <c r="A1138" s="13" t="inlineStr">
        <is>
          <t>Flamewake Phoenix / Fênix do Rastro Flamejante</t>
        </is>
      </c>
      <c r="B1138" s="13" t="inlineStr">
        <is>
          <t>Creature — Phoenix / Criatura — Fênix</t>
        </is>
      </c>
      <c r="C1138" s="13" t="inlineStr">
        <is>
          <t>Rare / Rara</t>
        </is>
      </c>
      <c r="D1138" s="13"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138" s="13" t="inlineStr">
        <is>
          <t>{1}{R}{R}</t>
        </is>
      </c>
      <c r="F1138" s="13" t="inlineStr">
        <is>
          <t>Vermelho</t>
        </is>
      </c>
      <c r="G1138" s="8" t="n">
        <v>0.19</v>
      </c>
      <c r="H1138" s="13" t="inlineStr">
        <is>
          <t>Fate Reforged (FRF)</t>
        </is>
      </c>
      <c r="I1138" s="13" t="inlineStr">
        <is>
          <t>Não</t>
        </is>
      </c>
      <c r="J1138" s="13" t="n">
        <v>2015</v>
      </c>
      <c r="K1138" s="10" t="n">
        <v>46055</v>
      </c>
      <c r="L1138" s="13" t="n">
        <v>1</v>
      </c>
      <c r="M1138" s="8">
        <f>L1138*G1138</f>
        <v/>
      </c>
      <c r="P1138" s="9" t="n"/>
    </row>
    <row r="1139">
      <c r="A1139" s="13" t="inlineStr">
        <is>
          <t>Flamewave Invoker / Invocador da Onda de Chamas</t>
        </is>
      </c>
      <c r="B1139" s="13" t="inlineStr">
        <is>
          <t>Creature — Goblin Mutant / Criatura — Goblin Mutante</t>
        </is>
      </c>
      <c r="C1139" s="13" t="inlineStr">
        <is>
          <t>Uncommon / Incomum</t>
        </is>
      </c>
      <c r="D1139" s="13" t="inlineStr">
        <is>
          <t>{7}{R}: This creature deals 5 damage to target player or planeswalker. / {7}{R}: Invocador da Onda de Chamas causa 5 pontos de dano ao jogador alvo.</t>
        </is>
      </c>
      <c r="E1139" s="13" t="inlineStr">
        <is>
          <t>{2}{R}</t>
        </is>
      </c>
      <c r="F1139" s="13" t="inlineStr">
        <is>
          <t>Vermelho</t>
        </is>
      </c>
      <c r="G1139" s="8" t="n">
        <v>0.09</v>
      </c>
      <c r="H1139" s="13" t="inlineStr">
        <is>
          <t>Battlebond (BBD)</t>
        </is>
      </c>
      <c r="I1139" s="13" t="inlineStr">
        <is>
          <t>Não</t>
        </is>
      </c>
      <c r="J1139" s="13" t="n">
        <v>2018</v>
      </c>
      <c r="K1139" s="10" t="n">
        <v>46055</v>
      </c>
      <c r="L1139" s="13" t="n">
        <v>1</v>
      </c>
      <c r="M1139" s="8">
        <f>L1139*G1139</f>
        <v/>
      </c>
      <c r="P1139" s="9" t="n"/>
    </row>
    <row r="1140">
      <c r="A1140" s="13" t="inlineStr">
        <is>
          <t>Flare / Detonação</t>
        </is>
      </c>
      <c r="B1140" s="13" t="inlineStr">
        <is>
          <t>Instant / Mágica Instantânea</t>
        </is>
      </c>
      <c r="C1140" s="13" t="inlineStr">
        <is>
          <t>Common / Comum</t>
        </is>
      </c>
      <c r="D1140" s="13" t="inlineStr">
        <is>
          <t>Flare deals 1 damage to any target. Draw a card at the beginning of the next turn's upkeep. / Detonação causa 1 ponto de dano a qualquer alvo. Compre um card no início da manutenção do próximo turno.</t>
        </is>
      </c>
      <c r="E1140" s="13" t="inlineStr">
        <is>
          <t>{2}{R}</t>
        </is>
      </c>
      <c r="F1140" s="13" t="inlineStr">
        <is>
          <t>Vermelho</t>
        </is>
      </c>
      <c r="G1140" s="8" t="n">
        <v>0.05</v>
      </c>
      <c r="H1140" s="13" t="inlineStr">
        <is>
          <t>Ice Age (ICE)</t>
        </is>
      </c>
      <c r="I1140" s="13" t="inlineStr">
        <is>
          <t>Não</t>
        </is>
      </c>
      <c r="J1140" s="13" t="n">
        <v>1995</v>
      </c>
      <c r="L1140" s="13" t="n">
        <v>3</v>
      </c>
      <c r="M1140" s="8">
        <f>L1140*G1140</f>
        <v/>
      </c>
      <c r="P1140" s="9" t="n"/>
    </row>
    <row r="1141">
      <c r="A1141" s="13" t="inlineStr">
        <is>
          <t>Flaring Cinder</t>
        </is>
      </c>
      <c r="B1141" s="13" t="inlineStr">
        <is>
          <t>Creature — Elemental Sorcerer</t>
        </is>
      </c>
      <c r="C1141" s="13" t="inlineStr">
        <is>
          <t>Common / Comum</t>
        </is>
      </c>
      <c r="D1141" s="13" t="inlineStr">
        <is>
          <t>When this creature enters and whenever you cast a spell with mana value 4 or greater, you may discard a card. If you do, draw a card.</t>
        </is>
      </c>
      <c r="E1141" s="13" t="inlineStr">
        <is>
          <t>{1}{U/R}{U/R}</t>
        </is>
      </c>
      <c r="F1141" s="13" t="inlineStr">
        <is>
          <t>Vermelho, Azul</t>
        </is>
      </c>
      <c r="G1141" s="8" t="n">
        <v>0.11</v>
      </c>
      <c r="H1141" s="13" t="inlineStr">
        <is>
          <t>Lorwyn Eclipsed (ECL)</t>
        </is>
      </c>
      <c r="I1141" s="13" t="inlineStr">
        <is>
          <t>Não</t>
        </is>
      </c>
      <c r="J1141" s="13" t="n">
        <v>2026</v>
      </c>
      <c r="K1141" s="10" t="n">
        <v>46056</v>
      </c>
      <c r="L1141" s="13" t="n">
        <v>1</v>
      </c>
      <c r="M1141" s="8">
        <f>L1141*G1141</f>
        <v/>
      </c>
      <c r="P1141" s="9" t="n"/>
    </row>
    <row r="1142">
      <c r="A1142" s="13" t="inlineStr">
        <is>
          <t>Flashfires / Tormenta Ígnea</t>
        </is>
      </c>
      <c r="B1142" s="13" t="inlineStr">
        <is>
          <t>Sorcery / Feitiço</t>
        </is>
      </c>
      <c r="C1142" s="13" t="inlineStr">
        <is>
          <t>Uncommon / Incomum</t>
        </is>
      </c>
      <c r="D1142" s="13" t="inlineStr">
        <is>
          <t>Destroy all Plains. / Destrói todas as Planícies.</t>
        </is>
      </c>
      <c r="E1142" s="13" t="inlineStr">
        <is>
          <t>{3}{R}</t>
        </is>
      </c>
      <c r="F1142" s="13" t="inlineStr">
        <is>
          <t>Vermelho</t>
        </is>
      </c>
      <c r="G1142" s="8" t="n">
        <v>0.41</v>
      </c>
      <c r="H1142" s="13" t="inlineStr">
        <is>
          <t>Oitava Edição</t>
        </is>
      </c>
      <c r="I1142" s="13" t="inlineStr">
        <is>
          <t>Não</t>
        </is>
      </c>
      <c r="J1142" s="13" t="n">
        <v>2003</v>
      </c>
      <c r="L1142" s="13" t="n">
        <v>1</v>
      </c>
      <c r="M1142" s="8">
        <f>L1142*G1142</f>
        <v/>
      </c>
      <c r="P1142" s="9" t="n"/>
    </row>
    <row r="1143">
      <c r="A1143" s="13" t="inlineStr">
        <is>
          <t>Flashfires / Tormenta Ígnea</t>
        </is>
      </c>
      <c r="B1143" s="13" t="inlineStr">
        <is>
          <t>Sorcery / Feitiço</t>
        </is>
      </c>
      <c r="C1143" s="13" t="inlineStr">
        <is>
          <t>Uncommon / Incomum</t>
        </is>
      </c>
      <c r="D1143" s="13" t="inlineStr">
        <is>
          <t>Destroy all Plains. / Destrói todas as Planícies.</t>
        </is>
      </c>
      <c r="E1143" s="13" t="inlineStr">
        <is>
          <t>{3}{R}</t>
        </is>
      </c>
      <c r="F1143" s="13" t="inlineStr">
        <is>
          <t>Vermelho</t>
        </is>
      </c>
      <c r="G1143" s="8" t="n">
        <v>0.19</v>
      </c>
      <c r="H1143" s="13" t="inlineStr">
        <is>
          <t>Quarta Edição</t>
        </is>
      </c>
      <c r="I1143" s="13" t="inlineStr">
        <is>
          <t>Não</t>
        </is>
      </c>
      <c r="J1143" s="13" t="n">
        <v>1995</v>
      </c>
      <c r="L1143" s="13" t="n">
        <v>1</v>
      </c>
      <c r="M1143" s="8">
        <f>L1143*G1143</f>
        <v/>
      </c>
      <c r="P1143" s="9" t="n"/>
    </row>
    <row r="1144">
      <c r="A1144" s="13" t="inlineStr">
        <is>
          <t>Flashfires / Tormenta Ígnea</t>
        </is>
      </c>
      <c r="B1144" s="13" t="inlineStr">
        <is>
          <t>Sorcery / Feitiço</t>
        </is>
      </c>
      <c r="C1144" s="13" t="inlineStr">
        <is>
          <t>Uncommon / Incomum</t>
        </is>
      </c>
      <c r="D1144" s="13" t="inlineStr">
        <is>
          <t>Destroy all Plains. / Destrói todas as Planícies.</t>
        </is>
      </c>
      <c r="E1144" s="13" t="inlineStr">
        <is>
          <t>{3}{R}</t>
        </is>
      </c>
      <c r="F1144" s="13" t="inlineStr">
        <is>
          <t>Vermelho</t>
        </is>
      </c>
      <c r="G1144" s="8" t="n">
        <v>0.75</v>
      </c>
      <c r="H1144" s="13" t="inlineStr">
        <is>
          <t>Quarta Edição (BB)</t>
        </is>
      </c>
      <c r="I1144" s="13" t="inlineStr">
        <is>
          <t>Não</t>
        </is>
      </c>
      <c r="J1144" s="13" t="n">
        <v>1995</v>
      </c>
      <c r="L1144" s="13" t="n">
        <v>1</v>
      </c>
      <c r="M1144" s="8">
        <f>L1144*G1144</f>
        <v/>
      </c>
      <c r="P1144" s="9" t="n"/>
    </row>
    <row r="1145">
      <c r="A1145" s="13" t="inlineStr">
        <is>
          <t>Flaxen Intruder // Welcome Home / Intrusa das Madeixas Douradas // Boas-vindas ao Lar</t>
        </is>
      </c>
      <c r="B1145" s="13" t="inlineStr">
        <is>
          <t>Creature — Human Berserker // Sorcery — Adventure / Criatura — Humano Amoque</t>
        </is>
      </c>
      <c r="C1145" s="13" t="inlineStr">
        <is>
          <t>Uncommon / Incomum</t>
        </is>
      </c>
      <c r="D1145" s="13"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1145" s="13" t="inlineStr">
        <is>
          <t>{G} // {5}{G}{G}</t>
        </is>
      </c>
      <c r="F1145" s="13" t="inlineStr">
        <is>
          <t>Verde</t>
        </is>
      </c>
      <c r="G1145" s="8" t="n">
        <v>0.3</v>
      </c>
      <c r="H1145" s="13" t="inlineStr">
        <is>
          <t>Throne of Eldraine (ELD)</t>
        </is>
      </c>
      <c r="I1145" s="13" t="inlineStr">
        <is>
          <t>Sim</t>
        </is>
      </c>
      <c r="J1145" s="13" t="n">
        <v>2019</v>
      </c>
      <c r="K1145" s="10" t="n">
        <v>46054</v>
      </c>
      <c r="L1145" s="13" t="n">
        <v>1</v>
      </c>
      <c r="M1145" s="8">
        <f>L1145*G1145</f>
        <v/>
      </c>
      <c r="P1145" s="9" t="n"/>
    </row>
    <row r="1146">
      <c r="A1146" s="13" t="inlineStr">
        <is>
          <t>Flayer of the Hatebound / Esfolador do Laço de Ódio</t>
        </is>
      </c>
      <c r="B1146" s="13" t="inlineStr">
        <is>
          <t>Creature — Devil / Criatura — Diabo</t>
        </is>
      </c>
      <c r="C1146" s="13" t="inlineStr">
        <is>
          <t>Rare / Rara</t>
        </is>
      </c>
      <c r="D1146" s="13"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146" s="13" t="inlineStr">
        <is>
          <t>{5}{R}</t>
        </is>
      </c>
      <c r="F1146" s="13" t="inlineStr">
        <is>
          <t>Vermelho</t>
        </is>
      </c>
      <c r="G1146" s="8" t="n">
        <v>0.35</v>
      </c>
      <c r="H1146" s="13" t="inlineStr">
        <is>
          <t>Dark Ascension (DKA)</t>
        </is>
      </c>
      <c r="I1146" s="13" t="inlineStr">
        <is>
          <t>Não</t>
        </is>
      </c>
      <c r="J1146" s="13" t="n">
        <v>2012</v>
      </c>
      <c r="K1146" s="10" t="n">
        <v>46057</v>
      </c>
      <c r="L1146" s="13" t="n">
        <v>1</v>
      </c>
      <c r="M1146" s="8">
        <f>L1146*G1146</f>
        <v/>
      </c>
      <c r="P1146" s="9" t="n"/>
    </row>
    <row r="1147">
      <c r="A1147" s="13" t="inlineStr">
        <is>
          <t>Fleeting Distraction / Distração Passageira</t>
        </is>
      </c>
      <c r="B1147" s="13" t="inlineStr">
        <is>
          <t>Mágica Instantânea</t>
        </is>
      </c>
      <c r="C1147" s="13" t="inlineStr">
        <is>
          <t>Comum</t>
        </is>
      </c>
      <c r="D1147" s="13" t="inlineStr">
        <is>
          <t>A criatura alvo recebe -1/-0 até o final do turno. Compre um card.</t>
        </is>
      </c>
      <c r="E1147" s="13" t="inlineStr">
        <is>
          <t>U</t>
        </is>
      </c>
      <c r="F1147" s="13" t="inlineStr">
        <is>
          <t>Azul</t>
        </is>
      </c>
      <c r="G1147" s="8" t="n">
        <v>0.06</v>
      </c>
      <c r="H1147" s="13" t="inlineStr">
        <is>
          <t>Duel Decks: Speed vs. Cunning</t>
        </is>
      </c>
      <c r="I1147" s="13" t="inlineStr">
        <is>
          <t>Não</t>
        </is>
      </c>
      <c r="J1147" s="13" t="n">
        <v>2014</v>
      </c>
      <c r="L1147" s="13" t="n">
        <v>1</v>
      </c>
      <c r="M1147" s="8">
        <f>L1147*G1147</f>
        <v/>
      </c>
      <c r="P1147" s="9" t="n"/>
    </row>
    <row r="1148">
      <c r="A1148" s="13" t="inlineStr">
        <is>
          <t>Flesh Burrower</t>
        </is>
      </c>
      <c r="B1148" s="13" t="inlineStr">
        <is>
          <t>Creature — Insect</t>
        </is>
      </c>
      <c r="C1148" s="13" t="inlineStr">
        <is>
          <t>Common / Comum</t>
        </is>
      </c>
      <c r="D1148" s="13" t="inlineStr">
        <is>
          <t>Deathtouch Whenever this creature attacks, another target creature you control gains deathtouch until end of turn.</t>
        </is>
      </c>
      <c r="E1148" s="13" t="inlineStr">
        <is>
          <t>{1}{G}</t>
        </is>
      </c>
      <c r="F1148" s="13" t="inlineStr">
        <is>
          <t>Verde</t>
        </is>
      </c>
      <c r="G1148" s="8" t="n">
        <v>0.05</v>
      </c>
      <c r="H1148" s="13" t="inlineStr">
        <is>
          <t>Duskmourn: House of Horror (DSK)</t>
        </is>
      </c>
      <c r="I1148" s="13" t="inlineStr">
        <is>
          <t>Não</t>
        </is>
      </c>
      <c r="J1148" s="13" t="n">
        <v>2024</v>
      </c>
      <c r="K1148" s="10" t="n">
        <v>46055</v>
      </c>
      <c r="L1148" s="13" t="n">
        <v>1</v>
      </c>
      <c r="M1148" s="8">
        <f>L1148*G1148</f>
        <v/>
      </c>
      <c r="P1148" s="9" t="n"/>
    </row>
    <row r="1149">
      <c r="A1149" s="13" t="inlineStr">
        <is>
          <t>Fleshbag Marauder / Saqueador de Bolsas de Carne</t>
        </is>
      </c>
      <c r="B1149" s="13" t="inlineStr">
        <is>
          <t>Criatura — Zumbi Guerreiro</t>
        </is>
      </c>
      <c r="C1149" s="13" t="inlineStr">
        <is>
          <t>Incomum</t>
        </is>
      </c>
      <c r="D1149" s="13" t="inlineStr">
        <is>
          <t>Quando Saqueador de Bolsas de Carne entra no campo de batalha, cada jogador sacrifica uma criatura.</t>
        </is>
      </c>
      <c r="E1149" s="13" t="inlineStr">
        <is>
          <t>2B</t>
        </is>
      </c>
      <c r="F1149" s="13" t="inlineStr">
        <is>
          <t>Preto</t>
        </is>
      </c>
      <c r="G1149" s="8" t="n">
        <v>1.19</v>
      </c>
      <c r="H1149" s="13" t="inlineStr">
        <is>
          <t xml:space="preserve">Commander Anthology 2018 </t>
        </is>
      </c>
      <c r="I1149" s="13" t="inlineStr">
        <is>
          <t>Não</t>
        </is>
      </c>
      <c r="J1149" s="13" t="n">
        <v>2018</v>
      </c>
      <c r="K1149" s="10" t="n">
        <v>46025</v>
      </c>
      <c r="L1149" s="13" t="n">
        <v>1</v>
      </c>
      <c r="M1149" s="8">
        <f>L1149*G1149</f>
        <v/>
      </c>
      <c r="P1149" s="9" t="n"/>
    </row>
    <row r="1150">
      <c r="A1150" s="13" t="inlineStr">
        <is>
          <t>Fleshbag Marauder / Saqueador de Bolsas de Carne</t>
        </is>
      </c>
      <c r="B1150" s="13" t="inlineStr">
        <is>
          <t>Criatura — Zumbi Guerreiro</t>
        </is>
      </c>
      <c r="C1150" s="13" t="inlineStr">
        <is>
          <t>Incomum</t>
        </is>
      </c>
      <c r="D1150" s="13" t="inlineStr">
        <is>
          <t>Quando Saqueador de Bolsas de Carne entra no campo de batalha, cada jogador sacrifica uma criatura.</t>
        </is>
      </c>
      <c r="E1150" s="13" t="inlineStr">
        <is>
          <t>2B</t>
        </is>
      </c>
      <c r="F1150" s="13" t="inlineStr">
        <is>
          <t>Preto</t>
        </is>
      </c>
      <c r="G1150" s="8" t="n">
        <v>0.49</v>
      </c>
      <c r="H1150" s="13" t="inlineStr">
        <is>
          <t>Duel Decks: Speed vs. Cunning</t>
        </is>
      </c>
      <c r="I1150" s="13" t="inlineStr">
        <is>
          <t>Não</t>
        </is>
      </c>
      <c r="J1150" s="13" t="n">
        <v>2014</v>
      </c>
      <c r="K1150" s="10" t="n">
        <v>46025</v>
      </c>
      <c r="L1150" s="13" t="n">
        <v>1</v>
      </c>
      <c r="M1150" s="8">
        <f>L1150*G1150</f>
        <v/>
      </c>
      <c r="P1150" s="9" t="n"/>
    </row>
    <row r="1151">
      <c r="A1151" s="13" t="inlineStr">
        <is>
          <t>Fleshbag Marauder / Saqueador de Bolsas de Carne</t>
        </is>
      </c>
      <c r="B1151" s="13" t="inlineStr">
        <is>
          <t>Criatura — Zumbi Guerreiro</t>
        </is>
      </c>
      <c r="C1151" s="13" t="inlineStr">
        <is>
          <t>Incomum</t>
        </is>
      </c>
      <c r="D1151" s="13" t="inlineStr">
        <is>
          <t>Quando Saqueador de Bolsas de Carne entra no campo de batalha, cada jogador sacrifica uma criatura.</t>
        </is>
      </c>
      <c r="E1151" s="13" t="inlineStr">
        <is>
          <t>2B</t>
        </is>
      </c>
      <c r="F1151" s="13" t="inlineStr">
        <is>
          <t>Preto</t>
        </is>
      </c>
      <c r="G1151" s="8" t="n">
        <v>0.4</v>
      </c>
      <c r="H1151" s="13" t="inlineStr">
        <is>
          <t>Magic Origens</t>
        </is>
      </c>
      <c r="I1151" s="13" t="inlineStr">
        <is>
          <t>Não</t>
        </is>
      </c>
      <c r="J1151" s="13" t="n">
        <v>2015</v>
      </c>
      <c r="K1151" s="10" t="n">
        <v>46025</v>
      </c>
      <c r="L1151" s="13" t="n">
        <v>2</v>
      </c>
      <c r="M1151" s="8">
        <f>L1151*G1151</f>
        <v/>
      </c>
      <c r="P1151" s="9" t="n"/>
    </row>
    <row r="1152">
      <c r="A1152" s="13" t="inlineStr">
        <is>
          <t>Fleshmad Steed / Corcel Carnivoraz</t>
        </is>
      </c>
      <c r="B1152" s="13" t="inlineStr">
        <is>
          <t>Creature — Horse / Criatura — Cavalo</t>
        </is>
      </c>
      <c r="C1152" s="13" t="inlineStr">
        <is>
          <t>Common / Comum</t>
        </is>
      </c>
      <c r="D1152" s="13" t="inlineStr">
        <is>
          <t>Whenever another creature dies, tap this creature. / Toda vez que outra criatura morrer, vire Corcel Carnivoraz.</t>
        </is>
      </c>
      <c r="E1152" s="13" t="inlineStr">
        <is>
          <t>{1}{B}</t>
        </is>
      </c>
      <c r="F1152" s="13" t="inlineStr">
        <is>
          <t>Preto</t>
        </is>
      </c>
      <c r="G1152" s="8" t="n">
        <v>0.04</v>
      </c>
      <c r="H1152" s="13" t="inlineStr">
        <is>
          <t>Theros (THS)</t>
        </is>
      </c>
      <c r="I1152" s="13" t="inlineStr">
        <is>
          <t>Não</t>
        </is>
      </c>
      <c r="J1152" s="13" t="n">
        <v>2013</v>
      </c>
      <c r="K1152" s="10" t="n">
        <v>46055</v>
      </c>
      <c r="L1152" s="13" t="n">
        <v>1</v>
      </c>
      <c r="M1152" s="8">
        <f>L1152*G1152</f>
        <v/>
      </c>
      <c r="P1152" s="9" t="n"/>
    </row>
    <row r="1153">
      <c r="A1153" s="13" t="inlineStr">
        <is>
          <t>Flexible Waterbender</t>
        </is>
      </c>
      <c r="B1153" s="13" t="inlineStr">
        <is>
          <t>Creature — Human Warrior Ally</t>
        </is>
      </c>
      <c r="C1153" s="13" t="inlineStr">
        <is>
          <t>Common / Comum</t>
        </is>
      </c>
      <c r="D1153" s="13" t="inlineStr">
        <is>
          <t>Vigilance Waterbend {3}: This creature has base power and toughness 5/2 until end of turn. (While paying a waterbend cost, you can tap your artifacts and creatures to help. Each one pays for {1}.)</t>
        </is>
      </c>
      <c r="E1153" s="13" t="inlineStr">
        <is>
          <t>{3}{U}</t>
        </is>
      </c>
      <c r="F1153" s="13" t="inlineStr">
        <is>
          <t>Azul</t>
        </is>
      </c>
      <c r="G1153" s="8" t="n">
        <v>0.08</v>
      </c>
      <c r="H1153" s="13" t="inlineStr">
        <is>
          <t>Avatar: The Last Airbender (TLA)</t>
        </is>
      </c>
      <c r="I1153" s="13" t="inlineStr">
        <is>
          <t>Não</t>
        </is>
      </c>
      <c r="J1153" s="13" t="n">
        <v>2025</v>
      </c>
      <c r="K1153" s="10" t="n">
        <v>46144</v>
      </c>
      <c r="L1153" s="13" t="n">
        <v>1</v>
      </c>
      <c r="M1153" s="8">
        <f>L1153*G1153</f>
        <v/>
      </c>
      <c r="P1153" s="9" t="n"/>
    </row>
    <row r="1154">
      <c r="A1154" s="13" t="inlineStr">
        <is>
          <t>Flight-Deck Coordinator / Coordenador de Convés de Voo</t>
        </is>
      </c>
      <c r="B1154" s="13" t="inlineStr">
        <is>
          <t>Criatura — Humano Soldado</t>
        </is>
      </c>
      <c r="C1154" s="13" t="inlineStr">
        <is>
          <t>Comum</t>
        </is>
      </c>
      <c r="D1154" s="13" t="inlineStr">
        <is>
          <t>No início de sua etapa final, se você controlar duas ou mais criaturas viradas, você ganha 2 pontos de vida.</t>
        </is>
      </c>
      <c r="E1154" s="13" t="inlineStr">
        <is>
          <t>2{W}</t>
        </is>
      </c>
      <c r="F1154" s="13" t="inlineStr">
        <is>
          <t>Branco</t>
        </is>
      </c>
      <c r="G1154" s="8" t="n">
        <v>0.05</v>
      </c>
      <c r="H1154" s="13" t="inlineStr">
        <is>
          <t>Edge of Eternity</t>
        </is>
      </c>
      <c r="I1154" s="13" t="inlineStr">
        <is>
          <t>Não</t>
        </is>
      </c>
      <c r="J1154" s="13" t="n">
        <v>2025</v>
      </c>
      <c r="K1154" s="10" t="n">
        <v>46084</v>
      </c>
      <c r="L1154" s="13" t="n">
        <v>1</v>
      </c>
      <c r="M1154" s="8">
        <f>L1154*G1154</f>
        <v/>
      </c>
      <c r="P1154" s="9" t="n"/>
    </row>
    <row r="1155">
      <c r="A1155" s="13" t="inlineStr">
        <is>
          <t>Fling / Arremessar</t>
        </is>
      </c>
      <c r="B1155" s="13" t="inlineStr">
        <is>
          <t>Instant / Mágica Instantânea</t>
        </is>
      </c>
      <c r="C1155" s="13" t="inlineStr">
        <is>
          <t>Common / Comum</t>
        </is>
      </c>
      <c r="D1155" s="13"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155" s="13" t="inlineStr">
        <is>
          <t>{1}{R}</t>
        </is>
      </c>
      <c r="F1155" s="13" t="inlineStr">
        <is>
          <t>Vermelho</t>
        </is>
      </c>
      <c r="G1155" s="8" t="n">
        <v>0.5</v>
      </c>
      <c r="H1155" s="13" t="inlineStr">
        <is>
          <t>Throne of Eldraine (ELD)</t>
        </is>
      </c>
      <c r="I1155" s="13" t="inlineStr">
        <is>
          <t>Sim</t>
        </is>
      </c>
      <c r="J1155" s="13" t="n">
        <v>2019</v>
      </c>
      <c r="L1155" s="13" t="n">
        <v>2</v>
      </c>
      <c r="M1155" s="8">
        <f>L1155*G1155</f>
        <v/>
      </c>
      <c r="P1155" s="9" t="n"/>
    </row>
    <row r="1156">
      <c r="A1156" s="13" t="inlineStr">
        <is>
          <t>Floodpits Drowner</t>
        </is>
      </c>
      <c r="B1156" s="13" t="inlineStr">
        <is>
          <t>Creature — Merfolk</t>
        </is>
      </c>
      <c r="C1156" s="13" t="inlineStr">
        <is>
          <t>Uncommon / Incomum</t>
        </is>
      </c>
      <c r="D1156" s="13" t="inlineStr">
        <is>
          <t>Flash Vigilance When this creature enters, tap target creature an opponent controls and put a stun counter on it. {1}{U}, {T}: Shuffle this creature and target creature with a stun counter on it into their owners' libraries.</t>
        </is>
      </c>
      <c r="E1156" s="13" t="inlineStr">
        <is>
          <t>{1}{U}</t>
        </is>
      </c>
      <c r="F1156" s="13" t="inlineStr">
        <is>
          <t>Azul</t>
        </is>
      </c>
      <c r="G1156" s="8" t="n">
        <v>1.65</v>
      </c>
      <c r="H1156" s="13" t="inlineStr">
        <is>
          <t>Duskmourn: House of Horror (DSK)</t>
        </is>
      </c>
      <c r="I1156" s="13" t="inlineStr">
        <is>
          <t>Não</t>
        </is>
      </c>
      <c r="J1156" s="13" t="n">
        <v>2024</v>
      </c>
      <c r="K1156" s="10" t="n">
        <v>46024</v>
      </c>
      <c r="L1156" s="13" t="n">
        <v>2</v>
      </c>
      <c r="M1156" s="8">
        <f>L1156*G1156</f>
        <v/>
      </c>
      <c r="N1156" s="13" t="inlineStr">
        <is>
          <t>Pasta</t>
        </is>
      </c>
      <c r="P1156" s="9" t="n"/>
    </row>
    <row r="1157">
      <c r="A1157" s="13" t="inlineStr">
        <is>
          <t>Flopsie, Bumi's Buddy</t>
        </is>
      </c>
      <c r="B1157" s="13" t="inlineStr">
        <is>
          <t>Legendary Creature — Ape Goat</t>
        </is>
      </c>
      <c r="C1157" s="13" t="inlineStr">
        <is>
          <t>Uncommon / Incomum</t>
        </is>
      </c>
      <c r="D1157" s="13" t="inlineStr">
        <is>
          <t>When Flopsie enters, put a +1/+1 counter on each creature you control. Each creature you control with power 4 or greater can't be blocked by more than one creature.</t>
        </is>
      </c>
      <c r="E1157" s="13" t="inlineStr">
        <is>
          <t>{4}{G}{G}</t>
        </is>
      </c>
      <c r="F1157" s="13" t="inlineStr">
        <is>
          <t>Verde</t>
        </is>
      </c>
      <c r="G1157" s="8" t="n">
        <v>0.15</v>
      </c>
      <c r="H1157" s="13" t="inlineStr">
        <is>
          <t>Avatar: The Last Airbender (TLA)</t>
        </is>
      </c>
      <c r="I1157" s="13" t="inlineStr">
        <is>
          <t>Não</t>
        </is>
      </c>
      <c r="J1157" s="13" t="n">
        <v>2025</v>
      </c>
      <c r="K1157" s="10" t="n">
        <v>46116</v>
      </c>
      <c r="L1157" s="13" t="n">
        <v>1</v>
      </c>
      <c r="M1157" s="8">
        <f>L1157*G1157</f>
        <v/>
      </c>
      <c r="P1157" s="9" t="n"/>
    </row>
    <row r="1158">
      <c r="A1158" s="13" t="inlineStr">
        <is>
          <t>Flotsam // Jetsam / Destroços // Refugo</t>
        </is>
      </c>
      <c r="B1158" s="13" t="inlineStr">
        <is>
          <t>Instant // Sorcery / Mágica Instantânea // Feitiço</t>
        </is>
      </c>
      <c r="C1158" s="13" t="inlineStr">
        <is>
          <t>Uncommon / Incomum</t>
        </is>
      </c>
      <c r="D1158" s="13"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1158" s="13" t="inlineStr">
        <is>
          <t>{1}{G/U} // {4}{U/B}{U/B}</t>
        </is>
      </c>
      <c r="F1158" s="13" t="inlineStr">
        <is>
          <t>Preto, Verde, Azul</t>
        </is>
      </c>
      <c r="G1158" s="8" t="n">
        <v>0.1</v>
      </c>
      <c r="H1158" s="13" t="inlineStr">
        <is>
          <t>Murders at Karlov Manor (MKM)</t>
        </is>
      </c>
      <c r="I1158" s="13" t="inlineStr">
        <is>
          <t>Não</t>
        </is>
      </c>
      <c r="J1158" s="13" t="n">
        <v>2024</v>
      </c>
      <c r="L1158" s="13" t="n">
        <v>1</v>
      </c>
      <c r="M1158" s="8">
        <f>L1158*G1158</f>
        <v/>
      </c>
      <c r="P1158" s="9" t="n"/>
    </row>
    <row r="1159">
      <c r="A1159" s="13" t="inlineStr">
        <is>
          <t>Flourishing Hunter / Caçadora Florescente</t>
        </is>
      </c>
      <c r="B1159" s="13" t="inlineStr">
        <is>
          <t>Creature — Wolf Spirit / Criatura — Lobo Espírito</t>
        </is>
      </c>
      <c r="C1159" s="13" t="inlineStr">
        <is>
          <t>Common / Comum</t>
        </is>
      </c>
      <c r="D1159" s="13"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159" s="13" t="inlineStr">
        <is>
          <t>{4}{G}{G}</t>
        </is>
      </c>
      <c r="F1159" s="13" t="inlineStr">
        <is>
          <t>Verde</t>
        </is>
      </c>
      <c r="G1159" s="8" t="n">
        <v>0.09</v>
      </c>
      <c r="H1159" s="13" t="inlineStr">
        <is>
          <t>Innistrad: Crimson Vow (VOW)</t>
        </is>
      </c>
      <c r="I1159" s="13" t="inlineStr">
        <is>
          <t>Não</t>
        </is>
      </c>
      <c r="J1159" s="13" t="n">
        <v>2021</v>
      </c>
      <c r="K1159" s="10" t="n">
        <v>46179</v>
      </c>
      <c r="L1159" s="13" t="n">
        <v>2</v>
      </c>
      <c r="M1159" s="8">
        <f>L1159*G1159</f>
        <v/>
      </c>
      <c r="P1159" s="9" t="n"/>
    </row>
    <row r="1160">
      <c r="A1160" s="13" t="inlineStr">
        <is>
          <t>Flying Carpet / Tapete Voador</t>
        </is>
      </c>
      <c r="B1160" s="13" t="inlineStr">
        <is>
          <t>Artifact / Artefato</t>
        </is>
      </c>
      <c r="C1160" s="13" t="inlineStr">
        <is>
          <t>Rare / Rara</t>
        </is>
      </c>
      <c r="D1160" s="13" t="inlineStr">
        <is>
          <t>{2}, {T}: Target creature gains flying until end of turn. / {2}, {T}: A criatura alvo ganha a habilidade de voar até o final do turno. (Ela só pode ser bloqueada por criaturas com a habilidade de voar.)</t>
        </is>
      </c>
      <c r="E1160" s="13" t="inlineStr">
        <is>
          <t>{4}</t>
        </is>
      </c>
      <c r="F1160" s="13" t="inlineStr">
        <is>
          <t>Incolor</t>
        </is>
      </c>
      <c r="G1160" s="8" t="n">
        <v>2.8</v>
      </c>
      <c r="H1160" s="13" t="inlineStr">
        <is>
          <t>Fourth Edition (BB)</t>
        </is>
      </c>
      <c r="I1160" s="13" t="inlineStr">
        <is>
          <t>Não</t>
        </is>
      </c>
      <c r="J1160" s="13" t="n">
        <v>1995</v>
      </c>
      <c r="L1160" s="13" t="n">
        <v>1</v>
      </c>
      <c r="M1160" s="8">
        <f>L1160*G1160</f>
        <v/>
      </c>
      <c r="N1160" s="13" t="inlineStr">
        <is>
          <t>Pasta</t>
        </is>
      </c>
      <c r="P1160" s="9" t="n"/>
    </row>
    <row r="1161">
      <c r="A1161" s="13" t="inlineStr">
        <is>
          <t>Foe-liage / Inimigo-lhagem</t>
        </is>
      </c>
      <c r="B1161" s="13" t="inlineStr">
        <is>
          <t>Criatura — Planta Mutante</t>
        </is>
      </c>
      <c r="C1161" s="13" t="inlineStr">
        <is>
          <t>Comum</t>
        </is>
      </c>
      <c r="D1161" s="13" t="inlineStr">
        <is>
          <t>Sempre que um terreno entrar durante o seu turno, coloque um marcador +1/+1 nesta criatura.</t>
        </is>
      </c>
      <c r="E1161" s="13" t="inlineStr">
        <is>
          <t>3{G}</t>
        </is>
      </c>
      <c r="F1161" s="13" t="inlineStr">
        <is>
          <t>Verde</t>
        </is>
      </c>
      <c r="G1161" s="8" t="n">
        <v>0.2</v>
      </c>
      <c r="H1161" s="13" t="inlineStr">
        <is>
          <t>Teenage Mutant Ninja Turtles</t>
        </is>
      </c>
      <c r="I1161" s="13" t="inlineStr">
        <is>
          <t>Não</t>
        </is>
      </c>
      <c r="J1161" s="13" t="n">
        <v>2026</v>
      </c>
      <c r="K1161" s="10" t="n">
        <v>46084</v>
      </c>
      <c r="L1161" s="13" t="n">
        <v>2</v>
      </c>
      <c r="M1161" s="8">
        <f>L1161*G1161</f>
        <v/>
      </c>
      <c r="P1161" s="9" t="n"/>
    </row>
    <row r="1162">
      <c r="A1162" s="13" t="inlineStr">
        <is>
          <t>Fog on the Barrow-Downs / Nevoeiro nas Colinas dos Túmulos</t>
        </is>
      </c>
      <c r="B1162" s="13" t="inlineStr">
        <is>
          <t>Enchantment — Aura / Encantamento — Aura</t>
        </is>
      </c>
      <c r="C1162" s="13" t="inlineStr">
        <is>
          <t>Common / Comum</t>
        </is>
      </c>
      <c r="D1162" s="13" t="inlineStr">
        <is>
          <t>Enchant creature Enchanted creature is a Spirit and can't attack or block. (It loses all other creature types.) / Encantar criatura A criatura encantada é um Espírito e não pode atacar nem bloquear. (Ela perde todos os outros tipos de criatura.)</t>
        </is>
      </c>
      <c r="E1162" s="13" t="inlineStr">
        <is>
          <t>{2}{W}</t>
        </is>
      </c>
      <c r="F1162" s="13" t="inlineStr">
        <is>
          <t>Branco</t>
        </is>
      </c>
      <c r="G1162" s="8" t="n">
        <v>0.29</v>
      </c>
      <c r="H1162" s="13" t="inlineStr">
        <is>
          <t>The Lord of the Rings: Tales of Middle-earth (LTR)</t>
        </is>
      </c>
      <c r="I1162" s="13" t="inlineStr">
        <is>
          <t>Sim</t>
        </is>
      </c>
      <c r="J1162" s="13" t="n">
        <v>2023</v>
      </c>
      <c r="L1162" s="13" t="n">
        <v>1</v>
      </c>
      <c r="M1162" s="8">
        <f>L1162*G1162</f>
        <v/>
      </c>
      <c r="P1162" s="9" t="n"/>
    </row>
    <row r="1163">
      <c r="A1163" s="13" t="inlineStr">
        <is>
          <t>Foggy Swamp Hunters</t>
        </is>
      </c>
      <c r="B1163" s="13" t="inlineStr">
        <is>
          <t>Creature — Human Ranger Ally</t>
        </is>
      </c>
      <c r="C1163" s="13" t="inlineStr">
        <is>
          <t>Common / Comum</t>
        </is>
      </c>
      <c r="D1163" s="13" t="inlineStr">
        <is>
          <t>As long as you've drawn two or more cards this turn, this creature has lifelink and menace. (It can't be blocked except by two or more creatures.)</t>
        </is>
      </c>
      <c r="E1163" s="13" t="inlineStr">
        <is>
          <t>{3}{B}</t>
        </is>
      </c>
      <c r="F1163" s="13" t="inlineStr">
        <is>
          <t>Preto</t>
        </is>
      </c>
      <c r="G1163" s="8" t="n">
        <v>0.06</v>
      </c>
      <c r="H1163" s="13" t="inlineStr">
        <is>
          <t>Avatar: The Last Airbender (TLA)</t>
        </is>
      </c>
      <c r="I1163" s="13" t="inlineStr">
        <is>
          <t>Não</t>
        </is>
      </c>
      <c r="J1163" s="13" t="n">
        <v>2025</v>
      </c>
      <c r="K1163" s="10" t="n">
        <v>46115</v>
      </c>
      <c r="L1163" s="13" t="n">
        <v>2</v>
      </c>
      <c r="M1163" s="8">
        <f>L1163*G1163</f>
        <v/>
      </c>
      <c r="P1163" s="9" t="n"/>
    </row>
    <row r="1164">
      <c r="A1164" s="13" t="inlineStr">
        <is>
          <t>Foggy Swamp Vinebender</t>
        </is>
      </c>
      <c r="B1164" s="13" t="inlineStr">
        <is>
          <t>Creature — Human Plant Ally</t>
        </is>
      </c>
      <c r="C1164" s="13" t="inlineStr">
        <is>
          <t>Common / Comum</t>
        </is>
      </c>
      <c r="D1164" s="13" t="inlineStr">
        <is>
          <t>This creature can't be blocked by creatures with power 2 or less. Waterbend {5}: Put a +1/+1 counter on this creature. Activate only during your turn. (While paying a waterbend cost, you can tap your artifacts and creatures to help. Each one pays for {1}.)</t>
        </is>
      </c>
      <c r="E1164" s="13" t="inlineStr">
        <is>
          <t>{3}{G}</t>
        </is>
      </c>
      <c r="F1164" s="13" t="inlineStr">
        <is>
          <t>Verde</t>
        </is>
      </c>
      <c r="G1164" s="8" t="n">
        <v>0.06</v>
      </c>
      <c r="H1164" s="13" t="inlineStr">
        <is>
          <t>Avatar: The Last Airbender (TLA)</t>
        </is>
      </c>
      <c r="I1164" s="13" t="inlineStr">
        <is>
          <t>Não</t>
        </is>
      </c>
      <c r="J1164" s="13" t="n">
        <v>2025</v>
      </c>
      <c r="K1164" s="10" t="n">
        <v>46085</v>
      </c>
      <c r="L1164" s="13" t="n">
        <v>3</v>
      </c>
      <c r="M1164" s="8">
        <f>L1164*G1164</f>
        <v/>
      </c>
      <c r="P1164" s="9" t="n"/>
    </row>
    <row r="1165">
      <c r="A1165" s="13" t="inlineStr">
        <is>
          <t>Fogo de Orthanc / Fire of Orthanc</t>
        </is>
      </c>
      <c r="B1165" s="13" t="inlineStr">
        <is>
          <t>Feitiço</t>
        </is>
      </c>
      <c r="C1165" s="13" t="inlineStr">
        <is>
          <t>Comum</t>
        </is>
      </c>
      <c r="D1165" s="13" t="inlineStr">
        <is>
          <t>Destrua o artefato ou terreno alvo. As criaturas sem voar não podem bloquear neste turno.</t>
        </is>
      </c>
      <c r="E1165" s="13" t="inlineStr">
        <is>
          <t>3{R}</t>
        </is>
      </c>
      <c r="F1165" s="13" t="inlineStr">
        <is>
          <t>Vermelho</t>
        </is>
      </c>
      <c r="G1165" s="8" t="n">
        <v>0.08</v>
      </c>
      <c r="H1165" s="13" t="inlineStr">
        <is>
          <t>The Lord of the Rings: Tales of Middle-earth (LTR)</t>
        </is>
      </c>
      <c r="I1165" s="13" t="inlineStr">
        <is>
          <t>Não</t>
        </is>
      </c>
      <c r="J1165" s="13" t="n">
        <v>2023</v>
      </c>
      <c r="L1165" s="13" t="n">
        <v>1</v>
      </c>
      <c r="M1165" s="8">
        <f>L1165*G1165</f>
        <v/>
      </c>
      <c r="P1165" s="9" t="n"/>
    </row>
    <row r="1166">
      <c r="A1166" s="13" t="inlineStr">
        <is>
          <t>Foguetes do Mago / Wizard's Rockets</t>
        </is>
      </c>
      <c r="B1166" s="13" t="inlineStr">
        <is>
          <t>Artefato</t>
        </is>
      </c>
      <c r="C1166" s="13" t="inlineStr">
        <is>
          <t>Comum</t>
        </is>
      </c>
      <c r="D1166" s="13" t="inlineStr">
        <is>
          <t>Foguetes do Mago entra no campo de batalha virado. {X}, {T}, sacrifique Foguetes do Mago: Adicione X manas em qualquer combinação de cores. Quando Foguetes do Mago for colocado num cemitério vindo do campo de batalha, compre um card.</t>
        </is>
      </c>
      <c r="E1166" s="13" t="n">
        <v>1</v>
      </c>
      <c r="F1166" s="13" t="inlineStr">
        <is>
          <t>Incolor</t>
        </is>
      </c>
      <c r="G1166" s="8" t="n">
        <v>0.18</v>
      </c>
      <c r="H1166" s="13" t="inlineStr">
        <is>
          <t>The Lord of the Rings: Tales of Middle-earth (LTR)</t>
        </is>
      </c>
      <c r="I1166" s="13" t="inlineStr">
        <is>
          <t>Não</t>
        </is>
      </c>
      <c r="J1166" s="13" t="n">
        <v>2023</v>
      </c>
      <c r="L1166" s="13" t="n">
        <v>1</v>
      </c>
      <c r="M1166" s="8">
        <f>L1166*G1166</f>
        <v/>
      </c>
      <c r="P1166" s="9" t="n"/>
    </row>
    <row r="1167">
      <c r="A1167" s="13" t="inlineStr">
        <is>
          <t>Foguetes do Mago / Wizard's Rockets</t>
        </is>
      </c>
      <c r="B1167" s="13" t="inlineStr">
        <is>
          <t>Artefato</t>
        </is>
      </c>
      <c r="C1167" s="13" t="inlineStr">
        <is>
          <t>Comum</t>
        </is>
      </c>
      <c r="D1167" s="13" t="inlineStr">
        <is>
          <t>Foguetes do Mago entra no campo de batalha virado. {X}, {T}, sacrifique Foguetes do Mago: Adicione X manas em qualquer combinação de cores. Quando Foguetes do Mago for colocado num cemitério vindo do campo de batalha, compre um card.</t>
        </is>
      </c>
      <c r="E1167" s="13" t="n">
        <v>1</v>
      </c>
      <c r="F1167" s="13" t="inlineStr">
        <is>
          <t>Incolor</t>
        </is>
      </c>
      <c r="G1167" s="8" t="n">
        <v>1.9</v>
      </c>
      <c r="H1167" s="13" t="inlineStr">
        <is>
          <t>The Lord of the Rings: Tales of Middle-earth (LTR)</t>
        </is>
      </c>
      <c r="I1167" s="13" t="inlineStr">
        <is>
          <t>Não</t>
        </is>
      </c>
      <c r="J1167" s="13" t="n">
        <v>2023</v>
      </c>
      <c r="L1167" s="13" t="n">
        <v>1</v>
      </c>
      <c r="M1167" s="8">
        <f>L1167*G1167</f>
        <v/>
      </c>
      <c r="P1167" s="9" t="n"/>
    </row>
    <row r="1168">
      <c r="A1168" s="13" t="inlineStr">
        <is>
          <t>Follow the Lumarets / Siga os Lumaretes</t>
        </is>
      </c>
      <c r="B1168" s="13" t="inlineStr">
        <is>
          <t>Sorcery / Feitiço</t>
        </is>
      </c>
      <c r="C1168" s="13" t="inlineStr">
        <is>
          <t>Common / Comum</t>
        </is>
      </c>
      <c r="D1168" s="13"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168" s="13" t="inlineStr">
        <is>
          <t>{1}{G}</t>
        </is>
      </c>
      <c r="F1168" s="13" t="inlineStr">
        <is>
          <t>Verde</t>
        </is>
      </c>
      <c r="G1168" s="8" t="n">
        <v>0.07000000000000001</v>
      </c>
      <c r="H1168" s="13" t="inlineStr">
        <is>
          <t xml:space="preserve">Secrets of Strixhaven </t>
        </is>
      </c>
      <c r="I1168" s="13" t="inlineStr">
        <is>
          <t>Não</t>
        </is>
      </c>
      <c r="J1168" s="13" t="n">
        <v>2026</v>
      </c>
      <c r="L1168" s="13" t="n">
        <v>3</v>
      </c>
      <c r="M1168" s="8">
        <f>L1168*G1168</f>
        <v/>
      </c>
      <c r="P1168" s="9" t="n"/>
    </row>
    <row r="1169">
      <c r="A1169" s="13" t="inlineStr">
        <is>
          <t>Font of Fertility / Fonte da Fertilidade</t>
        </is>
      </c>
      <c r="B1169" s="13" t="inlineStr">
        <is>
          <t>Enchantment / Encantamento</t>
        </is>
      </c>
      <c r="C1169" s="13" t="inlineStr">
        <is>
          <t>Common / Comum</t>
        </is>
      </c>
      <c r="D1169" s="13"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1169" s="13" t="inlineStr">
        <is>
          <t>{G}</t>
        </is>
      </c>
      <c r="F1169" s="13" t="inlineStr">
        <is>
          <t>Verde</t>
        </is>
      </c>
      <c r="G1169" s="8" t="n">
        <v>0.03</v>
      </c>
      <c r="H1169" s="13" t="inlineStr">
        <is>
          <t>Journey into Nyx (JOU)</t>
        </is>
      </c>
      <c r="I1169" s="13" t="inlineStr">
        <is>
          <t>Não</t>
        </is>
      </c>
      <c r="J1169" s="13" t="n">
        <v>2014</v>
      </c>
      <c r="L1169" s="13" t="n">
        <v>1</v>
      </c>
      <c r="M1169" s="8">
        <f>L1169*G1169</f>
        <v/>
      </c>
      <c r="P1169" s="9" t="n"/>
    </row>
    <row r="1170">
      <c r="A1170" s="13" t="inlineStr">
        <is>
          <t>Font of Fortunes / Fonte das Fortunas</t>
        </is>
      </c>
      <c r="B1170" s="13" t="inlineStr">
        <is>
          <t>Encantamento</t>
        </is>
      </c>
      <c r="C1170" s="13" t="inlineStr">
        <is>
          <t>Comum</t>
        </is>
      </c>
      <c r="D1170" s="13" t="inlineStr">
        <is>
          <t>1U, Sacrifique Fonte das Fortunas: Compre dois cards.</t>
        </is>
      </c>
      <c r="E1170" s="13" t="inlineStr">
        <is>
          <t>1U</t>
        </is>
      </c>
      <c r="F1170" s="13" t="inlineStr">
        <is>
          <t>Azul</t>
        </is>
      </c>
      <c r="G1170" s="8" t="n">
        <v>0.03</v>
      </c>
      <c r="H1170" s="13" t="inlineStr">
        <is>
          <t>Journey into Nyx</t>
        </is>
      </c>
      <c r="I1170" s="13" t="inlineStr">
        <is>
          <t>Não</t>
        </is>
      </c>
      <c r="J1170" s="13" t="n">
        <v>2014</v>
      </c>
      <c r="L1170" s="13" t="n">
        <v>3</v>
      </c>
      <c r="M1170" s="8">
        <f>L1170*G1170</f>
        <v/>
      </c>
      <c r="P1170" s="9" t="n"/>
    </row>
    <row r="1171">
      <c r="A1171" s="13" t="inlineStr">
        <is>
          <t>Font of Return / Fonte do Ressurgimento</t>
        </is>
      </c>
      <c r="B1171" s="13" t="inlineStr">
        <is>
          <t>Enchantment / Encantamento</t>
        </is>
      </c>
      <c r="C1171" s="13" t="inlineStr">
        <is>
          <t>Common / Comum</t>
        </is>
      </c>
      <c r="D1171" s="13" t="inlineStr">
        <is>
          <t>{3}{B}, Sacrifice this enchantment: Return up to three target creature cards from your graveyard to your hand. / {3}{B}, Sacrifique Fonte do Ressurgimento: Devolva até três cards de criatura alvo do seu cemitério para a sua mão.</t>
        </is>
      </c>
      <c r="E1171" s="13" t="inlineStr">
        <is>
          <t>{1}{B}</t>
        </is>
      </c>
      <c r="F1171" s="13" t="inlineStr">
        <is>
          <t>Preto</t>
        </is>
      </c>
      <c r="G1171" s="8" t="n">
        <v>0.06</v>
      </c>
      <c r="H1171" s="13" t="inlineStr">
        <is>
          <t>Journey into Nyx (JOU)</t>
        </is>
      </c>
      <c r="I1171" s="13" t="inlineStr">
        <is>
          <t>Não</t>
        </is>
      </c>
      <c r="J1171" s="13" t="n">
        <v>2014</v>
      </c>
      <c r="L1171" s="13" t="n">
        <v>1</v>
      </c>
      <c r="M1171" s="8">
        <f>L1171*G1171</f>
        <v/>
      </c>
      <c r="P1171" s="9" t="n"/>
    </row>
    <row r="1172">
      <c r="A1172" s="13" t="inlineStr">
        <is>
          <t>Font of Vigor / Fonte do Vigor</t>
        </is>
      </c>
      <c r="B1172" s="13" t="inlineStr">
        <is>
          <t>Enchantment / Encantamento</t>
        </is>
      </c>
      <c r="C1172" s="13" t="inlineStr">
        <is>
          <t>Common / Comum</t>
        </is>
      </c>
      <c r="D1172" s="13" t="inlineStr">
        <is>
          <t>{2}{W}, Sacrifice this enchantment: You gain 7 life. / {2}{W}, Sacrifique Fonte do Vigor: Você ganha 7 pontos de vida.</t>
        </is>
      </c>
      <c r="E1172" s="13" t="inlineStr">
        <is>
          <t>{1}{W}</t>
        </is>
      </c>
      <c r="F1172" s="13" t="inlineStr">
        <is>
          <t>Branco</t>
        </is>
      </c>
      <c r="G1172" s="8" t="n">
        <v>0.03</v>
      </c>
      <c r="H1172" s="13" t="inlineStr">
        <is>
          <t>Journey into Nyx (JOU)</t>
        </is>
      </c>
      <c r="I1172" s="13" t="inlineStr">
        <is>
          <t>Não</t>
        </is>
      </c>
      <c r="J1172" s="13" t="n">
        <v>2014</v>
      </c>
      <c r="L1172" s="13" t="n">
        <v>2</v>
      </c>
      <c r="M1172" s="8">
        <f>L1172*G1172</f>
        <v/>
      </c>
      <c r="P1172" s="9" t="n"/>
    </row>
    <row r="1173">
      <c r="A1173" s="13" t="inlineStr">
        <is>
          <t>Fonte da Ira</t>
        </is>
      </c>
      <c r="B1173" s="13" t="inlineStr">
        <is>
          <t>Encantamento</t>
        </is>
      </c>
      <c r="C1173" s="13" t="inlineStr">
        <is>
          <t>Comum</t>
        </is>
      </c>
      <c r="D1173" s="13" t="inlineStr">
        <is>
          <t>3R, Sacrifique Fonte da Ira: Fonte da Ira causa 5 pontos de dano ao jogador alvo.</t>
        </is>
      </c>
      <c r="E1173" s="13" t="inlineStr">
        <is>
          <t>1R</t>
        </is>
      </c>
      <c r="F1173" s="13" t="inlineStr">
        <is>
          <t>Vermelha</t>
        </is>
      </c>
      <c r="G1173" s="8" t="n">
        <v>0.03</v>
      </c>
      <c r="H1173" s="13" t="inlineStr">
        <is>
          <t>Journey into Nyx</t>
        </is>
      </c>
      <c r="I1173" s="13" t="inlineStr">
        <is>
          <t>Não</t>
        </is>
      </c>
      <c r="J1173" s="13" t="n">
        <v>2014</v>
      </c>
      <c r="L1173" s="13" t="n">
        <v>3</v>
      </c>
      <c r="M1173" s="8">
        <f>L1173*G1173</f>
        <v/>
      </c>
      <c r="P1173" s="9" t="n"/>
    </row>
    <row r="1174">
      <c r="A1174" s="13" t="inlineStr">
        <is>
          <t>Foot Elite</t>
        </is>
      </c>
      <c r="B1174" s="13" t="inlineStr">
        <is>
          <t>Creature — Human Ninja</t>
        </is>
      </c>
      <c r="C1174" s="13" t="inlineStr">
        <is>
          <t>Common / Comum</t>
        </is>
      </c>
      <c r="D1174" s="13" t="inlineStr">
        <is>
          <t>Whenever this creature attacks, another target creature you control gets +1/+0 and gains indestructible until end of turn. (Damage and effects that say "destroy" don't destroy it.)</t>
        </is>
      </c>
      <c r="E1174" s="13" t="inlineStr">
        <is>
          <t>{2}{W/B}</t>
        </is>
      </c>
      <c r="F1174" s="13" t="inlineStr">
        <is>
          <t>Preto, Branco</t>
        </is>
      </c>
      <c r="G1174" s="8" t="n">
        <v>0.1</v>
      </c>
      <c r="H1174" s="13" t="inlineStr">
        <is>
          <t>Teenage Mutant Ninja Turtles (TMT)</t>
        </is>
      </c>
      <c r="I1174" s="13" t="inlineStr">
        <is>
          <t>Não</t>
        </is>
      </c>
      <c r="J1174" s="13" t="n">
        <v>2026</v>
      </c>
      <c r="K1174" s="10" t="n">
        <v>46114</v>
      </c>
      <c r="L1174" s="13" t="n">
        <v>6</v>
      </c>
      <c r="M1174" s="8">
        <f>L1174*G1174</f>
        <v/>
      </c>
      <c r="P1174" s="9" t="n"/>
    </row>
    <row r="1175">
      <c r="A1175" s="13" t="inlineStr">
        <is>
          <t>Foot Elite</t>
        </is>
      </c>
      <c r="B1175" s="13" t="inlineStr">
        <is>
          <t>Creature — Human Ninja</t>
        </is>
      </c>
      <c r="C1175" s="13" t="inlineStr">
        <is>
          <t>Common / Comum</t>
        </is>
      </c>
      <c r="D1175" s="13" t="inlineStr">
        <is>
          <t>Whenever this creature attacks, another target creature you control gets +1/+0 and gains indestructible until end of turn. (Damage and effects that say "destroy" don't destroy it.)</t>
        </is>
      </c>
      <c r="E1175" s="13" t="inlineStr">
        <is>
          <t>{2}{W/B}</t>
        </is>
      </c>
      <c r="F1175" s="13" t="inlineStr">
        <is>
          <t>Preto, Branco</t>
        </is>
      </c>
      <c r="G1175" s="8" t="n">
        <v>0.2</v>
      </c>
      <c r="H1175" s="13" t="inlineStr">
        <is>
          <t>Teenage Mutant Ninja Turtles (TMT)</t>
        </is>
      </c>
      <c r="I1175" s="13" t="inlineStr">
        <is>
          <t>Sim</t>
        </is>
      </c>
      <c r="J1175" s="13" t="n">
        <v>2026</v>
      </c>
      <c r="K1175" s="10" t="n">
        <v>46114</v>
      </c>
      <c r="L1175" s="13" t="n">
        <v>1</v>
      </c>
      <c r="M1175" s="8">
        <f>L1175*G1175</f>
        <v/>
      </c>
      <c r="P1175" s="9" t="n"/>
    </row>
    <row r="1176">
      <c r="A1176" s="13" t="inlineStr">
        <is>
          <t>Foot Headquarters</t>
        </is>
      </c>
      <c r="B1176" s="13" t="inlineStr">
        <is>
          <t>Land</t>
        </is>
      </c>
      <c r="C1176" s="13" t="inlineStr">
        <is>
          <t>Common / Comum</t>
        </is>
      </c>
      <c r="D1176" s="13" t="inlineStr">
        <is>
          <t>This land enters tapped. When this land enters, you gain 1 life. {T}: Add {W} or {B}.</t>
        </is>
      </c>
      <c r="F1176" s="13" t="inlineStr">
        <is>
          <t>Preto, Branco</t>
        </is>
      </c>
      <c r="G1176" s="8" t="n">
        <v>0.15</v>
      </c>
      <c r="H1176" s="13" t="inlineStr">
        <is>
          <t>Teenage Mutant Ninja Turtles (TMT)</t>
        </is>
      </c>
      <c r="I1176" s="13" t="inlineStr">
        <is>
          <t>Não</t>
        </is>
      </c>
      <c r="J1176" s="13" t="n">
        <v>2026</v>
      </c>
      <c r="L1176" s="13" t="n">
        <v>1</v>
      </c>
      <c r="M1176" s="8">
        <f>L1176*G1176</f>
        <v/>
      </c>
      <c r="P1176" s="9" t="n"/>
    </row>
    <row r="1177">
      <c r="A1177" s="13" t="inlineStr">
        <is>
          <t>Foot Mystic</t>
        </is>
      </c>
      <c r="B1177" s="13" t="inlineStr">
        <is>
          <t>Creature — Human Ninja Warlock</t>
        </is>
      </c>
      <c r="C1177" s="13" t="inlineStr">
        <is>
          <t>Common / Comum</t>
        </is>
      </c>
      <c r="D1177" s="13" t="inlineStr">
        <is>
          <t>Lifelink Disappear — When this creature enters, if a permanent left the battlefield under your control this turn, create a 1/1 black Ninja creature token.</t>
        </is>
      </c>
      <c r="E1177" s="13" t="inlineStr">
        <is>
          <t>{3}{B}</t>
        </is>
      </c>
      <c r="F1177" s="13" t="inlineStr">
        <is>
          <t>Preto</t>
        </is>
      </c>
      <c r="G1177" s="8" t="n">
        <v>0.1</v>
      </c>
      <c r="H1177" s="13" t="inlineStr">
        <is>
          <t>Teenage Mutant Ninja Turtles (TMT)</t>
        </is>
      </c>
      <c r="I1177" s="13" t="inlineStr">
        <is>
          <t>Não</t>
        </is>
      </c>
      <c r="J1177" s="13" t="n">
        <v>2026</v>
      </c>
      <c r="K1177" s="10" t="n">
        <v>46114</v>
      </c>
      <c r="L1177" s="13" t="n">
        <v>1</v>
      </c>
      <c r="M1177" s="8">
        <f>L1177*G1177</f>
        <v/>
      </c>
      <c r="P1177" s="9" t="n"/>
    </row>
    <row r="1178">
      <c r="A1178" s="13" t="inlineStr">
        <is>
          <t>Forced Landing / Aterrissagem Forçada</t>
        </is>
      </c>
      <c r="B1178" s="13" t="inlineStr">
        <is>
          <t>Instant / Mágica Instantânea</t>
        </is>
      </c>
      <c r="C1178" s="13" t="inlineStr">
        <is>
          <t>Common / Comum</t>
        </is>
      </c>
      <c r="D1178" s="13" t="inlineStr">
        <is>
          <t>Put target creature with flying on the bottom of its owner's library. / Coloque a criatura alvo com voar no fundo do grimório de seu dono.</t>
        </is>
      </c>
      <c r="E1178" s="13" t="inlineStr">
        <is>
          <t>{1}{G}</t>
        </is>
      </c>
      <c r="F1178" s="13" t="inlineStr">
        <is>
          <t>Verde</t>
        </is>
      </c>
      <c r="G1178" s="8" t="n">
        <v>0.09</v>
      </c>
      <c r="H1178" s="13" t="inlineStr">
        <is>
          <t>Ravnica Remastered (RVR)</t>
        </is>
      </c>
      <c r="I1178" s="13" t="inlineStr">
        <is>
          <t>Não</t>
        </is>
      </c>
      <c r="J1178" s="13" t="n">
        <v>2024</v>
      </c>
      <c r="L1178" s="13" t="n">
        <v>1</v>
      </c>
      <c r="M1178" s="8">
        <f>L1178*G1178</f>
        <v/>
      </c>
      <c r="P1178" s="9" t="n"/>
    </row>
    <row r="1179">
      <c r="A1179" s="13" t="inlineStr">
        <is>
          <t>Forgeborn Oreads / Oréades Nascidas da Forja</t>
        </is>
      </c>
      <c r="B1179" s="13" t="inlineStr">
        <is>
          <t>Criatura Encantamento — Ninfa</t>
        </is>
      </c>
      <c r="C1179" s="13" t="inlineStr">
        <is>
          <t>Comum</t>
        </is>
      </c>
      <c r="D1179" s="13" t="inlineStr">
        <is>
          <t>Constelação — Toda vez que Oréades Nascidas da Forja ou outro encantamento entrar no campo de batalha sob seu controle, Oréades Nascidas da Forja causa 1 ponto de dano à criatura ou ao jogador alvo.</t>
        </is>
      </c>
      <c r="E1179" s="13" t="inlineStr">
        <is>
          <t>2RR</t>
        </is>
      </c>
      <c r="F1179" s="13" t="inlineStr">
        <is>
          <t>Vermelho</t>
        </is>
      </c>
      <c r="G1179" s="8" t="n">
        <v>0.05</v>
      </c>
      <c r="H1179" s="13" t="inlineStr">
        <is>
          <t>Journey into Nyx</t>
        </is>
      </c>
      <c r="I1179" s="13" t="inlineStr">
        <is>
          <t>Não</t>
        </is>
      </c>
      <c r="J1179" s="13" t="n">
        <v>2014</v>
      </c>
      <c r="K1179" s="10" t="n">
        <v>46057</v>
      </c>
      <c r="L1179" s="13" t="n">
        <v>2</v>
      </c>
      <c r="M1179" s="8">
        <f>L1179*G1179</f>
        <v/>
      </c>
      <c r="P1179" s="9" t="n"/>
    </row>
    <row r="1180">
      <c r="A1180" s="13" t="inlineStr">
        <is>
          <t>Formação Aérea</t>
        </is>
      </c>
      <c r="B1180" s="13" t="inlineStr">
        <is>
          <t>Mágica Instantânea</t>
        </is>
      </c>
      <c r="C1180" s="13" t="inlineStr">
        <is>
          <t>Incomum</t>
        </is>
      </c>
      <c r="D1180" s="13" t="inlineStr">
        <is>
          <t>Esforço — Formação Aérea custa 2U a mais para ser conjurado para cada alvo além do primeiro. Qualquer número de criaturas alvo recebe +1/+1 e ganha voar até o final do turno.</t>
        </is>
      </c>
      <c r="E1180" s="13" t="inlineStr">
        <is>
          <t>U</t>
        </is>
      </c>
      <c r="F1180" s="13" t="inlineStr">
        <is>
          <t>Azul</t>
        </is>
      </c>
      <c r="G1180" s="8" t="n">
        <v>0.03</v>
      </c>
      <c r="H1180" s="13" t="inlineStr">
        <is>
          <t>Journey into Nyx</t>
        </is>
      </c>
      <c r="I1180" s="13" t="inlineStr">
        <is>
          <t>Não</t>
        </is>
      </c>
      <c r="J1180" s="13" t="n">
        <v>2014</v>
      </c>
      <c r="L1180" s="13" t="n">
        <v>5</v>
      </c>
      <c r="M1180" s="8">
        <f>L1180*G1180</f>
        <v/>
      </c>
      <c r="P1180" s="9" t="n"/>
    </row>
    <row r="1181">
      <c r="A1181" s="13" t="inlineStr">
        <is>
          <t>Forsaken Drifters / Errantes Abandonados</t>
        </is>
      </c>
      <c r="B1181" s="13" t="inlineStr">
        <is>
          <t>Creature — Zombie / Criatura — Zumbi</t>
        </is>
      </c>
      <c r="C1181" s="13" t="inlineStr">
        <is>
          <t>Common / Comum</t>
        </is>
      </c>
      <c r="D1181" s="13" t="inlineStr">
        <is>
          <t>When this creature dies, mill four cards. / Quando Errantes Abandonados morrer, coloque os quatro cards do topo de seu grimório em seu cemitério.</t>
        </is>
      </c>
      <c r="E1181" s="13" t="inlineStr">
        <is>
          <t>{3}{B}</t>
        </is>
      </c>
      <c r="F1181" s="13" t="inlineStr">
        <is>
          <t>Preto</t>
        </is>
      </c>
      <c r="G1181" s="8" t="n">
        <v>0.03</v>
      </c>
      <c r="H1181" s="13" t="inlineStr">
        <is>
          <t>Born of the Gods (BNG)</t>
        </is>
      </c>
      <c r="I1181" s="13" t="inlineStr">
        <is>
          <t>Não</t>
        </is>
      </c>
      <c r="J1181" s="13" t="n">
        <v>2014</v>
      </c>
      <c r="K1181" s="10" t="n">
        <v>46057</v>
      </c>
      <c r="L1181" s="13" t="n">
        <v>1</v>
      </c>
      <c r="M1181" s="8">
        <f>L1181*G1181</f>
        <v/>
      </c>
      <c r="P1181" s="9" t="n"/>
    </row>
    <row r="1182">
      <c r="A1182" s="13" t="inlineStr">
        <is>
          <t>Fortify / Fortificar</t>
        </is>
      </c>
      <c r="B1182" s="13" t="inlineStr">
        <is>
          <t>Instant / Mágica Instantânea</t>
        </is>
      </c>
      <c r="C1182" s="13" t="inlineStr">
        <is>
          <t>Common / Comum</t>
        </is>
      </c>
      <c r="D1182" s="13"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182" s="13" t="inlineStr">
        <is>
          <t>{2}{W}</t>
        </is>
      </c>
      <c r="F1182" s="13" t="inlineStr">
        <is>
          <t>Branco</t>
        </is>
      </c>
      <c r="G1182" s="8" t="n">
        <v>0.06</v>
      </c>
      <c r="H1182" s="13" t="inlineStr">
        <is>
          <t>Time Spiral (TSP)</t>
        </is>
      </c>
      <c r="I1182" s="13" t="inlineStr">
        <is>
          <t>Não</t>
        </is>
      </c>
      <c r="J1182" s="13" t="n">
        <v>2006</v>
      </c>
      <c r="L1182" s="13" t="n">
        <v>1</v>
      </c>
      <c r="M1182" s="8">
        <f>L1182*G1182</f>
        <v/>
      </c>
      <c r="P1182" s="9" t="n"/>
    </row>
    <row r="1183">
      <c r="A1183" s="13" t="inlineStr">
        <is>
          <t>Fortune Thief / Ladra de Sorte</t>
        </is>
      </c>
      <c r="B1183" s="13" t="inlineStr">
        <is>
          <t>Creature — Human Rogue / Criatura — Ladino Humano</t>
        </is>
      </c>
      <c r="C1183" s="13" t="inlineStr">
        <is>
          <t>Rare / Rara</t>
        </is>
      </c>
      <c r="D1183" s="13"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183" s="13" t="inlineStr">
        <is>
          <t>{4}{R}</t>
        </is>
      </c>
      <c r="F1183" s="13" t="inlineStr">
        <is>
          <t>Vermelho</t>
        </is>
      </c>
      <c r="G1183" s="8" t="n">
        <v>0.3</v>
      </c>
      <c r="H1183" s="13" t="inlineStr">
        <is>
          <t>Masters 25 (A25)</t>
        </is>
      </c>
      <c r="I1183" s="13" t="inlineStr">
        <is>
          <t>Não</t>
        </is>
      </c>
      <c r="J1183" s="13" t="n">
        <v>2018</v>
      </c>
      <c r="K1183" s="13" t="inlineStr">
        <is>
          <t>0/1</t>
        </is>
      </c>
      <c r="L1183" s="13" t="n">
        <v>1</v>
      </c>
      <c r="M1183" s="8">
        <f>L1183*G1183</f>
        <v/>
      </c>
      <c r="P1183" s="9" t="n"/>
    </row>
    <row r="1184">
      <c r="A1184" s="13" t="inlineStr">
        <is>
          <t>Foul Familiar / Familiar Abominável</t>
        </is>
      </c>
      <c r="B1184" s="13" t="inlineStr">
        <is>
          <t>Creature — Spirit</t>
        </is>
      </c>
      <c r="C1184" s="13" t="inlineStr">
        <is>
          <t>Common / Comum</t>
        </is>
      </c>
      <c r="D1184" s="13" t="inlineStr">
        <is>
          <t>This creature can't block. {B}, Pay 1 life: Return this creature to its owner's hand.</t>
        </is>
      </c>
      <c r="E1184" s="13" t="inlineStr">
        <is>
          <t>{2}{B}</t>
        </is>
      </c>
      <c r="F1184" s="13" t="inlineStr">
        <is>
          <t>Preto</t>
        </is>
      </c>
      <c r="G1184" s="8" t="n">
        <v>0.05</v>
      </c>
      <c r="H1184" s="13" t="inlineStr">
        <is>
          <t>Era Glacial</t>
        </is>
      </c>
      <c r="I1184" s="13" t="inlineStr">
        <is>
          <t>Não</t>
        </is>
      </c>
      <c r="J1184" s="13" t="n">
        <v>1995</v>
      </c>
      <c r="K1184" s="10" t="n">
        <v>46025</v>
      </c>
      <c r="L1184" s="13" t="n">
        <v>1</v>
      </c>
      <c r="M1184" s="8">
        <f>L1184*G1184</f>
        <v/>
      </c>
      <c r="P1184" s="9" t="n"/>
    </row>
    <row r="1185">
      <c r="A1185" s="13" t="inlineStr">
        <is>
          <t>Foul Play / Trapaça</t>
        </is>
      </c>
      <c r="B1185" s="13" t="inlineStr">
        <is>
          <t>Sorcery / Feitiço</t>
        </is>
      </c>
      <c r="C1185" s="13" t="inlineStr">
        <is>
          <t>Uncommon / Incomum</t>
        </is>
      </c>
      <c r="D1185" s="13"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1185" s="13" t="inlineStr">
        <is>
          <t>{1}{B}</t>
        </is>
      </c>
      <c r="F1185" s="13" t="inlineStr">
        <is>
          <t>Preto</t>
        </is>
      </c>
      <c r="G1185" s="8" t="n">
        <v>0.04</v>
      </c>
      <c r="H1185" s="13" t="inlineStr">
        <is>
          <t>Innistrad: Midnight Hunt (MID)</t>
        </is>
      </c>
      <c r="I1185" s="13" t="inlineStr">
        <is>
          <t>Não</t>
        </is>
      </c>
      <c r="J1185" s="13" t="n">
        <v>2021</v>
      </c>
      <c r="L1185" s="13" t="n">
        <v>1</v>
      </c>
      <c r="M1185" s="8">
        <f>L1185*G1185</f>
        <v/>
      </c>
      <c r="P1185" s="9" t="n"/>
    </row>
    <row r="1186">
      <c r="A1186" s="13" t="inlineStr">
        <is>
          <t>Found Footage</t>
        </is>
      </c>
      <c r="B1186" s="13" t="inlineStr">
        <is>
          <t>Artifact — Clue</t>
        </is>
      </c>
      <c r="C1186" s="13" t="inlineStr">
        <is>
          <t>Common</t>
        </is>
      </c>
      <c r="D1186" s="13" t="inlineStr">
        <is>
          <t>You may look at face-down creatures your opponents control any time. {2}, Sacrifice Found Footage: Surveil 2, then draw a card.</t>
        </is>
      </c>
      <c r="E1186" s="13" t="inlineStr">
        <is>
          <t>{1}</t>
        </is>
      </c>
      <c r="F1186" s="13" t="inlineStr">
        <is>
          <t>Colorless</t>
        </is>
      </c>
      <c r="G1186" s="8" t="n">
        <v>0.03</v>
      </c>
      <c r="H1186" s="13" t="inlineStr">
        <is>
          <t>Duskmourn: House of Horror (DSK)</t>
        </is>
      </c>
      <c r="I1186" s="13" t="inlineStr">
        <is>
          <t>No</t>
        </is>
      </c>
      <c r="J1186" s="13" t="n">
        <v>2024</v>
      </c>
      <c r="L1186" s="13" t="n">
        <v>1</v>
      </c>
      <c r="M1186" s="8">
        <f>L1186*G1186</f>
        <v/>
      </c>
      <c r="P1186" s="9" t="n"/>
    </row>
    <row r="1187">
      <c r="A1187" s="13" t="inlineStr">
        <is>
          <t>Foundry Street Denizen / Habitante da Rua da Fundição</t>
        </is>
      </c>
      <c r="B1187" s="13" t="inlineStr">
        <is>
          <t>Creature — Goblin Warrior / Criatura — Goblin Guerreiro</t>
        </is>
      </c>
      <c r="C1187" s="13" t="inlineStr">
        <is>
          <t>Common / Comum</t>
        </is>
      </c>
      <c r="D1187" s="13" t="inlineStr">
        <is>
          <t>Whenever another red creature you control enters, this creature gets +1/+0 until end of turn. / Toda vez que outra criatura vermelha entra no campo de batalha sob o seu controle, Habitante da Rua da Fundição recebe +1/+0 até o final do turno.</t>
        </is>
      </c>
      <c r="E1187" s="13" t="inlineStr">
        <is>
          <t>{R}</t>
        </is>
      </c>
      <c r="F1187" s="13" t="inlineStr">
        <is>
          <t>Vermelho</t>
        </is>
      </c>
      <c r="G1187" s="8" t="n">
        <v>0.09</v>
      </c>
      <c r="H1187" s="13" t="inlineStr">
        <is>
          <t>Gatecrash (GTC)</t>
        </is>
      </c>
      <c r="I1187" s="13" t="inlineStr">
        <is>
          <t>Não</t>
        </is>
      </c>
      <c r="J1187" s="13" t="n">
        <v>2013</v>
      </c>
      <c r="K1187" s="10" t="n">
        <v>46023</v>
      </c>
      <c r="L1187" s="13" t="n">
        <v>1</v>
      </c>
      <c r="M1187" s="8">
        <f>L1187*G1187</f>
        <v/>
      </c>
      <c r="P1187" s="9" t="n"/>
    </row>
    <row r="1188">
      <c r="A1188" s="13" t="inlineStr">
        <is>
          <t>Fowl Strike / Ataque Avícola</t>
        </is>
      </c>
      <c r="B1188" s="13" t="inlineStr">
        <is>
          <t>Instant / Mágica Instantânea</t>
        </is>
      </c>
      <c r="C1188" s="13" t="inlineStr">
        <is>
          <t>Common / Comum</t>
        </is>
      </c>
      <c r="D1188" s="13" t="inlineStr">
        <is>
          <t>Destroy target creature with flying. Reinforce 2—{2}{G} ({2}{G}, Discard this card: Put two +1/+1 counters on target creature.) / Destrua a criatura alvo com voar. Fortalecer 2 — {2}{G} ({2}{G}, descarte este card: Coloque dois marcadores +1/+1 na criatura alvo.)</t>
        </is>
      </c>
      <c r="E1188" s="13" t="inlineStr">
        <is>
          <t>{1}{G}</t>
        </is>
      </c>
      <c r="F1188" s="13" t="inlineStr">
        <is>
          <t>Verde</t>
        </is>
      </c>
      <c r="G1188" s="8" t="n">
        <v>0.04</v>
      </c>
      <c r="H1188" s="13" t="inlineStr">
        <is>
          <t>Modern Horizons 3 (MH3)</t>
        </is>
      </c>
      <c r="I1188" s="13" t="inlineStr">
        <is>
          <t>Não</t>
        </is>
      </c>
      <c r="J1188" s="13" t="n">
        <v>2024</v>
      </c>
      <c r="L1188" s="13" t="n">
        <v>1</v>
      </c>
      <c r="M1188" s="8">
        <f>L1188*G1188</f>
        <v/>
      </c>
      <c r="P1188" s="9" t="n"/>
    </row>
    <row r="1189">
      <c r="A1189" s="13" t="inlineStr">
        <is>
          <t>Fractal Mascot / Mascote Fractal</t>
        </is>
      </c>
      <c r="B1189" s="13" t="inlineStr">
        <is>
          <t>Criatura — Alce Fractal</t>
        </is>
      </c>
      <c r="C1189" s="13" t="inlineStr">
        <is>
          <t>Comum</t>
        </is>
      </c>
      <c r="D1189" s="13" t="inlineStr">
        <is>
          <t>Atropelar. Quando esta criatura entrar, vire a criatura alvo que um oponente controla. Coloque um marcador de atordoamento nela. (Se uma permanente com um marcador de atordoamento fosse se tornar desvirada, em vez disso, remova um dele.)</t>
        </is>
      </c>
      <c r="E1189" s="13" t="inlineStr">
        <is>
          <t>4{G}{U}</t>
        </is>
      </c>
      <c r="F1189" s="13" t="inlineStr">
        <is>
          <t>Multicolorido</t>
        </is>
      </c>
      <c r="G1189" s="8" t="n">
        <v>0.05</v>
      </c>
      <c r="H1189" s="13" t="inlineStr">
        <is>
          <t>Strixhaven: School of Mages (SOS)</t>
        </is>
      </c>
      <c r="I1189" s="13" t="inlineStr">
        <is>
          <t>Não</t>
        </is>
      </c>
      <c r="J1189" s="13" t="n">
        <v>2026</v>
      </c>
      <c r="K1189" s="10" t="n">
        <v>46179</v>
      </c>
      <c r="L1189" s="13" t="n">
        <v>5</v>
      </c>
      <c r="M1189" s="8">
        <f>L1189*G1189</f>
        <v/>
      </c>
      <c r="P1189" s="9" t="n"/>
    </row>
    <row r="1190">
      <c r="A1190" s="13" t="inlineStr">
        <is>
          <t>Fractal Mascot / Mascote Fractal</t>
        </is>
      </c>
      <c r="B1190" s="13" t="inlineStr">
        <is>
          <t>Criatura — Alce Fractal</t>
        </is>
      </c>
      <c r="C1190" s="13" t="inlineStr">
        <is>
          <t>Comum</t>
        </is>
      </c>
      <c r="D1190" s="13" t="inlineStr">
        <is>
          <t>Atropelar. Quando esta criatura entrar, vire a criatura alvo que um oponente controla. Coloque um marcador de atordoamento nela. (Se uma permanente com um marcador de atordoamento fosse se tornar desvirada, em vez disso, remova um dele.)</t>
        </is>
      </c>
      <c r="E1190" s="13" t="inlineStr">
        <is>
          <t>4{G}{U}</t>
        </is>
      </c>
      <c r="F1190" s="13" t="inlineStr">
        <is>
          <t>Multicolorido</t>
        </is>
      </c>
      <c r="G1190" s="8" t="n">
        <v>0.29</v>
      </c>
      <c r="H1190" s="13" t="inlineStr">
        <is>
          <t>Strixhaven: School of Mages (SOS)</t>
        </is>
      </c>
      <c r="I1190" s="13" t="inlineStr">
        <is>
          <t>Sim</t>
        </is>
      </c>
      <c r="J1190" s="13" t="n">
        <v>2026</v>
      </c>
      <c r="K1190" s="10" t="n">
        <v>46179</v>
      </c>
      <c r="L1190" s="13" t="n">
        <v>2</v>
      </c>
      <c r="M1190" s="8">
        <f>L1190*G1190</f>
        <v/>
      </c>
      <c r="P1190" s="9" t="n"/>
    </row>
    <row r="1191">
      <c r="A1191" s="13" t="inlineStr">
        <is>
          <t>Frantic Strength</t>
        </is>
      </c>
      <c r="B1191" s="13" t="inlineStr">
        <is>
          <t>Enchantment — Aura</t>
        </is>
      </c>
      <c r="C1191" s="13" t="inlineStr">
        <is>
          <t>Common / Comum</t>
        </is>
      </c>
      <c r="D1191" s="13" t="inlineStr">
        <is>
          <t>Flash Enchant creature Enchanted creature gets +2/+2 and has trample.</t>
        </is>
      </c>
      <c r="E1191" s="13" t="inlineStr">
        <is>
          <t>{2}{G}</t>
        </is>
      </c>
      <c r="F1191" s="13" t="inlineStr">
        <is>
          <t>Verde</t>
        </is>
      </c>
      <c r="G1191" s="8" t="n">
        <v>0.05</v>
      </c>
      <c r="H1191" s="13" t="inlineStr">
        <is>
          <t>Duskmourn: House of Horror (DSK)</t>
        </is>
      </c>
      <c r="I1191" s="13" t="inlineStr">
        <is>
          <t>Não</t>
        </is>
      </c>
      <c r="J1191" s="13" t="n">
        <v>2024</v>
      </c>
      <c r="L1191" s="13" t="n">
        <v>1</v>
      </c>
      <c r="M1191" s="8">
        <f>L1191*G1191</f>
        <v/>
      </c>
      <c r="P1191" s="9" t="n"/>
    </row>
    <row r="1192">
      <c r="A1192" s="13" t="inlineStr">
        <is>
          <t>Freewind Falcon</t>
        </is>
      </c>
      <c r="B1192" s="13" t="inlineStr">
        <is>
          <t>Criatura — Falcão / Summon Falcon</t>
        </is>
      </c>
      <c r="C1192" s="13" t="inlineStr">
        <is>
          <t>Comum / Common</t>
        </is>
      </c>
      <c r="D1192" s="13" t="inlineStr">
        <is>
          <t>Flying, protection from red.</t>
        </is>
      </c>
      <c r="E1192" s="13" t="inlineStr">
        <is>
          <t>{1}{W}</t>
        </is>
      </c>
      <c r="F1192" s="13" t="inlineStr">
        <is>
          <t>Branco</t>
        </is>
      </c>
      <c r="G1192" s="8" t="n">
        <v>1.5</v>
      </c>
      <c r="H1192" s="13" t="inlineStr">
        <is>
          <t>Visions (VIS)</t>
        </is>
      </c>
      <c r="I1192" s="13" t="inlineStr">
        <is>
          <t>Não</t>
        </is>
      </c>
      <c r="J1192" s="13" t="n">
        <v>1996</v>
      </c>
      <c r="K1192" s="10" t="n">
        <v>46023</v>
      </c>
      <c r="L1192" s="13" t="n">
        <v>4</v>
      </c>
      <c r="M1192" s="8">
        <f>L1192*G1192</f>
        <v/>
      </c>
      <c r="N1192" s="13" t="inlineStr">
        <is>
          <t>Pasta</t>
        </is>
      </c>
      <c r="P1192" s="9" t="n"/>
    </row>
    <row r="1193">
      <c r="A1193" s="13" t="inlineStr">
        <is>
          <t>Frenzied Goblin / Goblino Enlouquecido</t>
        </is>
      </c>
      <c r="B1193" s="13" t="inlineStr">
        <is>
          <t>Criatura — Goblino Berserker</t>
        </is>
      </c>
      <c r="C1193" s="13" t="inlineStr">
        <is>
          <t>Incomum</t>
        </is>
      </c>
      <c r="D1193" s="13" t="inlineStr">
        <is>
          <t>Toda vez que Goblino Enlouquecido atacar, você poderá pagar {R}. Se fizer isso, a criatura alvo não poderá bloquear neste turno.</t>
        </is>
      </c>
      <c r="E1193" s="13" t="inlineStr">
        <is>
          <t>R</t>
        </is>
      </c>
      <c r="F1193" s="13" t="inlineStr">
        <is>
          <t>Vermelho</t>
        </is>
      </c>
      <c r="G1193" s="8" t="n">
        <v>0.09</v>
      </c>
      <c r="H1193" s="13" t="inlineStr">
        <is>
          <t>Duel Decks: Speed vs. Cunning</t>
        </is>
      </c>
      <c r="I1193" s="13" t="inlineStr">
        <is>
          <t>Não</t>
        </is>
      </c>
      <c r="J1193" s="13" t="n">
        <v>2014</v>
      </c>
      <c r="K1193" s="10" t="n">
        <v>46023</v>
      </c>
      <c r="L1193" s="13" t="n">
        <v>1</v>
      </c>
      <c r="M1193" s="8">
        <f>L1193*G1193</f>
        <v/>
      </c>
      <c r="P1193" s="9" t="n"/>
    </row>
    <row r="1194">
      <c r="A1194" s="13" t="inlineStr">
        <is>
          <t>Frenzied Raptor / Raptor Frenético</t>
        </is>
      </c>
      <c r="B1194" s="13" t="inlineStr">
        <is>
          <t>Creature — Dinosaur / Criatura — Dinossauro</t>
        </is>
      </c>
      <c r="C1194" s="13" t="inlineStr">
        <is>
          <t>Common / Comum</t>
        </is>
      </c>
      <c r="E1194" s="13" t="inlineStr">
        <is>
          <t>{2}{R}</t>
        </is>
      </c>
      <c r="F1194" s="13" t="inlineStr">
        <is>
          <t>Vermelho</t>
        </is>
      </c>
      <c r="G1194" s="8" t="n">
        <v>0.03</v>
      </c>
      <c r="H1194" s="13" t="inlineStr">
        <is>
          <t>Ixalan (XLN)</t>
        </is>
      </c>
      <c r="I1194" s="13" t="inlineStr">
        <is>
          <t>Não</t>
        </is>
      </c>
      <c r="J1194" s="13" t="n">
        <v>2017</v>
      </c>
      <c r="K1194" s="10" t="n">
        <v>46057</v>
      </c>
      <c r="L1194" s="13" t="n">
        <v>1</v>
      </c>
      <c r="M1194" s="8">
        <f>L1194*G1194</f>
        <v/>
      </c>
      <c r="P1194" s="9" t="n"/>
    </row>
    <row r="1195">
      <c r="A1195" s="13" t="inlineStr">
        <is>
          <t>Freya Crescent / Freya Crescent</t>
        </is>
      </c>
      <c r="B1195" s="13" t="inlineStr">
        <is>
          <t>Criatura Lendária — Rato Cavaleiro</t>
        </is>
      </c>
      <c r="C1195" s="13" t="inlineStr">
        <is>
          <t>Incomum</t>
        </is>
      </c>
      <c r="D1195" s="13" t="inlineStr">
        <is>
          <t>Salto — Durante o seu turno, Freya Crescent tem voar. {T}: Adicione {R}. Gaste este mana apenas para conjurar uma mágica de Equipamento ou para ativar uma habilidade de equipar.</t>
        </is>
      </c>
      <c r="E1195" s="13" t="inlineStr">
        <is>
          <t>{R}</t>
        </is>
      </c>
      <c r="F1195" s="13" t="inlineStr">
        <is>
          <t>Vermelho</t>
        </is>
      </c>
      <c r="G1195" s="8" t="n">
        <v>0.37</v>
      </c>
      <c r="H1195" s="13" t="inlineStr">
        <is>
          <t>Final Fantasy</t>
        </is>
      </c>
      <c r="I1195" s="13" t="inlineStr">
        <is>
          <t>Não</t>
        </is>
      </c>
      <c r="J1195" s="13" t="n">
        <v>2025</v>
      </c>
      <c r="K1195" s="10" t="n">
        <v>46023</v>
      </c>
      <c r="L1195" s="13" t="n">
        <v>1</v>
      </c>
      <c r="M1195" s="8">
        <f>L1195*G1195</f>
        <v/>
      </c>
      <c r="P1195" s="9" t="n"/>
    </row>
    <row r="1196">
      <c r="A1196" s="13" t="inlineStr">
        <is>
          <t>Friendly Ghost</t>
        </is>
      </c>
      <c r="B1196" s="13" t="inlineStr">
        <is>
          <t>Creature — Spirit</t>
        </is>
      </c>
      <c r="C1196" s="13" t="inlineStr">
        <is>
          <t>Common / Comum</t>
        </is>
      </c>
      <c r="D1196" s="13" t="inlineStr">
        <is>
          <t>Flying When this creature enters, target creature gets +2/+4 until end of turn.</t>
        </is>
      </c>
      <c r="E1196" s="13" t="inlineStr">
        <is>
          <t>{3}{W}</t>
        </is>
      </c>
      <c r="F1196" s="13" t="inlineStr">
        <is>
          <t>Branco</t>
        </is>
      </c>
      <c r="G1196" s="8" t="n">
        <v>0.05</v>
      </c>
      <c r="H1196" s="13" t="inlineStr">
        <is>
          <t>Duskmourn: House of Horror (DSK)</t>
        </is>
      </c>
      <c r="I1196" s="13" t="inlineStr">
        <is>
          <t>Não</t>
        </is>
      </c>
      <c r="J1196" s="13" t="n">
        <v>2024</v>
      </c>
      <c r="K1196" s="10" t="n">
        <v>46114</v>
      </c>
      <c r="L1196" s="13" t="n">
        <v>1</v>
      </c>
      <c r="M1196" s="8">
        <f>L1196*G1196</f>
        <v/>
      </c>
      <c r="P1196" s="9" t="n"/>
    </row>
    <row r="1197">
      <c r="A1197" s="13" t="inlineStr">
        <is>
          <t>Friendly Rivalry / Rivalidade Amigável</t>
        </is>
      </c>
      <c r="B1197" s="13" t="inlineStr">
        <is>
          <t>Instant / Mágica Instantânea</t>
        </is>
      </c>
      <c r="C1197" s="13" t="inlineStr">
        <is>
          <t>Uncommon / Incomum</t>
        </is>
      </c>
      <c r="D1197" s="13"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1197" s="13" t="inlineStr">
        <is>
          <t>{R}{G}</t>
        </is>
      </c>
      <c r="F1197" s="13" t="inlineStr">
        <is>
          <t>Vermelho e Verde</t>
        </is>
      </c>
      <c r="G1197" s="8" t="n">
        <v>0.18</v>
      </c>
      <c r="H1197" s="13" t="inlineStr">
        <is>
          <t>The Lord of the Rings: Tales of Middle-earth (LTR)</t>
        </is>
      </c>
      <c r="I1197" s="13" t="inlineStr">
        <is>
          <t>Não</t>
        </is>
      </c>
      <c r="J1197" s="13" t="n">
        <v>2023</v>
      </c>
      <c r="L1197" s="13" t="n">
        <v>1</v>
      </c>
      <c r="M1197" s="8">
        <f>L1197*G1197</f>
        <v/>
      </c>
      <c r="P1197" s="9" t="n"/>
    </row>
    <row r="1198">
      <c r="A1198" s="13" t="inlineStr">
        <is>
          <t>Friendly Teddy</t>
        </is>
      </c>
      <c r="B1198" s="13" t="inlineStr">
        <is>
          <t>Artifact Creature — Bear Toy</t>
        </is>
      </c>
      <c r="C1198" s="13" t="inlineStr">
        <is>
          <t>Common / Comum</t>
        </is>
      </c>
      <c r="D1198" s="13" t="inlineStr">
        <is>
          <t>When this creature dies, each player draws a card.</t>
        </is>
      </c>
      <c r="E1198" s="13" t="inlineStr">
        <is>
          <t>{2}</t>
        </is>
      </c>
      <c r="F1198" s="13" t="inlineStr">
        <is>
          <t>Incolor</t>
        </is>
      </c>
      <c r="G1198" s="8" t="n">
        <v>0.05</v>
      </c>
      <c r="H1198" s="13" t="inlineStr">
        <is>
          <t>Duskmourn: House of Horror (DSK)</t>
        </is>
      </c>
      <c r="I1198" s="13" t="inlineStr">
        <is>
          <t>Não</t>
        </is>
      </c>
      <c r="J1198" s="13" t="n">
        <v>2024</v>
      </c>
      <c r="K1198" s="10" t="n">
        <v>46055</v>
      </c>
      <c r="L1198" s="13" t="n">
        <v>1</v>
      </c>
      <c r="M1198" s="8">
        <f>L1198*G1198</f>
        <v/>
      </c>
      <c r="P1198" s="9" t="n"/>
    </row>
    <row r="1199">
      <c r="A1199" s="13" t="inlineStr">
        <is>
          <t>Friendly Teddy / Ursinho Amigável</t>
        </is>
      </c>
      <c r="B1199" s="13" t="inlineStr">
        <is>
          <t>Artifact Creature — Bear Toy / Criatura Artefato — Brinquedo de Urso</t>
        </is>
      </c>
      <c r="C1199" s="13" t="inlineStr">
        <is>
          <t>Common / Comum</t>
        </is>
      </c>
      <c r="D1199" s="13" t="inlineStr">
        <is>
          <t>When Friendly Teddy dies, each player draws a card. / Quando Ursinho Amigável morre, cada jogador compra um card.</t>
        </is>
      </c>
      <c r="E1199" s="13" t="inlineStr">
        <is>
          <t>{2}</t>
        </is>
      </c>
      <c r="F1199" s="13" t="inlineStr">
        <is>
          <t>Incolor</t>
        </is>
      </c>
      <c r="G1199" s="8" t="n">
        <v>0.05</v>
      </c>
      <c r="H1199" s="13" t="inlineStr">
        <is>
          <t>Duskmourn: House of Horror (DSK)</t>
        </is>
      </c>
      <c r="I1199" s="13" t="inlineStr">
        <is>
          <t>No</t>
        </is>
      </c>
      <c r="J1199" s="13" t="n">
        <v>2024</v>
      </c>
      <c r="K1199" s="10" t="n">
        <v>46055</v>
      </c>
      <c r="L1199" s="13" t="n">
        <v>1</v>
      </c>
      <c r="M1199" s="8">
        <f>L1199*G1199</f>
        <v/>
      </c>
      <c r="P1199" s="9" t="n"/>
    </row>
    <row r="1200">
      <c r="A1200" s="13" t="inlineStr">
        <is>
          <t>Frodo Bolseiro / Frodo Baggins</t>
        </is>
      </c>
      <c r="B1200" s="13" t="inlineStr">
        <is>
          <t>Criatura Lendária — Pequenino Batedor</t>
        </is>
      </c>
      <c r="C1200" s="13" t="inlineStr">
        <is>
          <t>Incomum</t>
        </is>
      </c>
      <c r="D1200" s="13" t="inlineStr">
        <is>
          <t>Toda vez que Frodo Bolseiro ou outra criatura lendária entra no campo de batalha sob seu controle, o Anel tenta você. Enquanto Frodo for o seu Guardião do Anel, ele deverá ser bloqueado se estiver apto.</t>
        </is>
      </c>
      <c r="E1200" s="13" t="inlineStr">
        <is>
          <t>{G}{W}</t>
        </is>
      </c>
      <c r="F1200" s="13" t="inlineStr">
        <is>
          <t>Multicolorido (Verde e Branco)</t>
        </is>
      </c>
      <c r="G1200" s="8" t="n">
        <v>0.15</v>
      </c>
      <c r="H1200" s="13" t="inlineStr">
        <is>
          <t>The Lord of the Rings: Tales of Middle-earth (LTR)</t>
        </is>
      </c>
      <c r="I1200" s="13" t="inlineStr">
        <is>
          <t>Não</t>
        </is>
      </c>
      <c r="J1200" s="13" t="n">
        <v>2023</v>
      </c>
      <c r="K1200" s="10" t="n">
        <v>46082</v>
      </c>
      <c r="L1200" s="13" t="n">
        <v>1</v>
      </c>
      <c r="M1200" s="8">
        <f>L1200*G1200</f>
        <v/>
      </c>
      <c r="P1200" s="9" t="n"/>
    </row>
    <row r="1201">
      <c r="A1201" s="13" t="inlineStr">
        <is>
          <t>Frog Butler</t>
        </is>
      </c>
      <c r="B1201" s="13" t="inlineStr">
        <is>
          <t>Creature — Frog Spirit</t>
        </is>
      </c>
      <c r="C1201" s="13" t="inlineStr">
        <is>
          <t>Common / Comum</t>
        </is>
      </c>
      <c r="D1201" s="13" t="inlineStr">
        <is>
          <t>Deathtouch {T}: Add one mana of any color. {2}: This creature gains reach until end of turn.</t>
        </is>
      </c>
      <c r="E1201" s="13" t="inlineStr">
        <is>
          <t>{1}{G}</t>
        </is>
      </c>
      <c r="F1201" s="13" t="inlineStr">
        <is>
          <t>Verde</t>
        </is>
      </c>
      <c r="G1201" s="8" t="n">
        <v>0.1</v>
      </c>
      <c r="H1201" s="13" t="inlineStr">
        <is>
          <t>Teenage Mutant Ninja Turtles (TMT)</t>
        </is>
      </c>
      <c r="I1201" s="13" t="inlineStr">
        <is>
          <t>Não</t>
        </is>
      </c>
      <c r="J1201" s="13" t="n">
        <v>2026</v>
      </c>
      <c r="K1201" s="10" t="n">
        <v>46023</v>
      </c>
      <c r="L1201" s="13" t="n">
        <v>4</v>
      </c>
      <c r="M1201" s="8">
        <f>L1201*G1201</f>
        <v/>
      </c>
      <c r="P1201" s="9" t="n"/>
    </row>
    <row r="1202">
      <c r="A1202" s="13" t="inlineStr">
        <is>
          <t>Frogmite</t>
        </is>
      </c>
      <c r="B1202" s="13" t="inlineStr">
        <is>
          <t>Artifact Creature — Frog</t>
        </is>
      </c>
      <c r="C1202" s="13" t="inlineStr">
        <is>
          <t>Common</t>
        </is>
      </c>
      <c r="D1202" s="13" t="inlineStr">
        <is>
          <t>Affinity for artifacts (This spell costs 1 less to cast for each artifact you control.)</t>
        </is>
      </c>
      <c r="E1202" s="13" t="inlineStr">
        <is>
          <t>{4}</t>
        </is>
      </c>
      <c r="F1202" s="13" t="inlineStr">
        <is>
          <t>Colorless</t>
        </is>
      </c>
      <c r="G1202" s="8" t="n">
        <v>0.32</v>
      </c>
      <c r="H1202" s="13" t="inlineStr">
        <is>
          <t>Modern Masters 2015 (MM2)</t>
        </is>
      </c>
      <c r="I1202" s="13" t="inlineStr">
        <is>
          <t>Não</t>
        </is>
      </c>
      <c r="J1202" s="13" t="n">
        <v>2015</v>
      </c>
      <c r="K1202" s="10" t="n">
        <v>46055</v>
      </c>
      <c r="L1202" s="13" t="n">
        <v>1</v>
      </c>
      <c r="M1202" s="8">
        <f>L1202*G1202</f>
        <v/>
      </c>
      <c r="P1202" s="9" t="n"/>
    </row>
    <row r="1203">
      <c r="A1203" s="13" t="inlineStr">
        <is>
          <t>Frogmite / Batracóide</t>
        </is>
      </c>
      <c r="B1203" s="13" t="inlineStr">
        <is>
          <t>Artifact Creature — Frog / Criatura Artefato</t>
        </is>
      </c>
      <c r="C1203" s="13" t="inlineStr">
        <is>
          <t>Common / Comum</t>
        </is>
      </c>
      <c r="D1203" s="13" t="inlineStr">
        <is>
          <t>Affinity for artifacts (This spell costs {1} less to cast for each artifact you control.) / Afinidade por artefatos (Esta mágica custa {1} a menos para jogar para cada artefato que você controla.)</t>
        </is>
      </c>
      <c r="E1203" s="13" t="inlineStr">
        <is>
          <t>{4}</t>
        </is>
      </c>
      <c r="F1203" s="13" t="inlineStr">
        <is>
          <t>Incolor</t>
        </is>
      </c>
      <c r="G1203" s="8" t="n">
        <v>0.32</v>
      </c>
      <c r="H1203" s="13" t="inlineStr">
        <is>
          <t>Mirrodin (MRD)</t>
        </is>
      </c>
      <c r="I1203" s="13" t="inlineStr">
        <is>
          <t>Não</t>
        </is>
      </c>
      <c r="J1203" s="13" t="n">
        <v>2003</v>
      </c>
      <c r="K1203" s="10" t="n">
        <v>46055</v>
      </c>
      <c r="L1203" s="13" t="n">
        <v>4</v>
      </c>
      <c r="M1203" s="8">
        <f>L1203*G1203</f>
        <v/>
      </c>
      <c r="P1203" s="9" t="n"/>
    </row>
    <row r="1204">
      <c r="A1204" s="13" t="inlineStr">
        <is>
          <t>From Father to Son / De Pai para Filho</t>
        </is>
      </c>
      <c r="B1204" s="13" t="inlineStr">
        <is>
          <t>Feitiço</t>
        </is>
      </c>
      <c r="C1204" s="13" t="inlineStr">
        <is>
          <t>Rara</t>
        </is>
      </c>
      <c r="D1204" s="13"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1204" s="13" t="inlineStr">
        <is>
          <t>1{W}</t>
        </is>
      </c>
      <c r="F1204" s="13" t="inlineStr">
        <is>
          <t>Branco</t>
        </is>
      </c>
      <c r="G1204" s="8" t="n">
        <v>0.74</v>
      </c>
      <c r="H1204" s="13" t="inlineStr">
        <is>
          <t>Final Fantasy</t>
        </is>
      </c>
      <c r="I1204" s="13" t="inlineStr">
        <is>
          <t>Não</t>
        </is>
      </c>
      <c r="J1204" s="13" t="n">
        <v>2025</v>
      </c>
      <c r="L1204" s="13" t="n">
        <v>1</v>
      </c>
      <c r="M1204" s="8">
        <f>L1204*G1204</f>
        <v/>
      </c>
      <c r="P1204" s="9" t="n"/>
    </row>
    <row r="1205">
      <c r="A1205" s="13" t="inlineStr">
        <is>
          <t>Frontier Seeker / Buscadora da Fronteira</t>
        </is>
      </c>
      <c r="B1205" s="13" t="inlineStr">
        <is>
          <t>Creature — Human Scout / Criatura — Humano Batedor</t>
        </is>
      </c>
      <c r="C1205" s="13" t="inlineStr">
        <is>
          <t>Uncommon / Incomum</t>
        </is>
      </c>
      <c r="D1205" s="13"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1205" s="13" t="inlineStr">
        <is>
          <t>{1}{W}</t>
        </is>
      </c>
      <c r="F1205" s="13" t="inlineStr">
        <is>
          <t>Branco</t>
        </is>
      </c>
      <c r="G1205" s="8" t="n">
        <v>0.08</v>
      </c>
      <c r="H1205" s="13" t="inlineStr">
        <is>
          <t>Outlaws of Thunder Junction (OTJ)</t>
        </is>
      </c>
      <c r="I1205" s="13" t="inlineStr">
        <is>
          <t>Não</t>
        </is>
      </c>
      <c r="J1205" s="13" t="n">
        <v>2024</v>
      </c>
      <c r="K1205" s="10" t="n">
        <v>46024</v>
      </c>
      <c r="L1205" s="13" t="n">
        <v>1</v>
      </c>
      <c r="M1205" s="8">
        <f>L1205*G1205</f>
        <v/>
      </c>
      <c r="P1205" s="9" t="n"/>
    </row>
    <row r="1206">
      <c r="A1206" s="13" t="inlineStr">
        <is>
          <t>Frozen in Ice / Congelado no Gelo</t>
        </is>
      </c>
      <c r="B1206" s="13" t="inlineStr">
        <is>
          <t>Encantamento — Aura</t>
        </is>
      </c>
      <c r="C1206" s="13" t="inlineStr">
        <is>
          <t>Comum</t>
        </is>
      </c>
      <c r="D1206" s="13" t="inlineStr">
        <is>
          <t>Encantar criatura. Quando esta Aura entrar, vire a criatura encantada. A criatura encantada perde todas as habilidades e não pode ser desvirada.</t>
        </is>
      </c>
      <c r="E1206" s="13" t="inlineStr">
        <is>
          <t>2{U}</t>
        </is>
      </c>
      <c r="F1206" s="13" t="inlineStr">
        <is>
          <t>Azul</t>
        </is>
      </c>
      <c r="G1206" s="8" t="n">
        <v>0.13</v>
      </c>
      <c r="H1206" s="13" t="inlineStr">
        <is>
          <t>Marvel</t>
        </is>
      </c>
      <c r="I1206" s="13" t="inlineStr">
        <is>
          <t>Não</t>
        </is>
      </c>
      <c r="J1206" s="13" t="n">
        <v>2026</v>
      </c>
      <c r="L1206" s="13" t="n">
        <v>1</v>
      </c>
      <c r="M1206" s="8">
        <f>L1206*G1206</f>
        <v/>
      </c>
      <c r="P1206" s="9" t="n"/>
    </row>
    <row r="1207">
      <c r="A1207" s="13" t="inlineStr">
        <is>
          <t>Frozen Shade / Sombra Materializada</t>
        </is>
      </c>
      <c r="B1207" s="13" t="inlineStr">
        <is>
          <t>Creature — Shade</t>
        </is>
      </c>
      <c r="C1207" s="13" t="inlineStr">
        <is>
          <t>Common / Comum</t>
        </is>
      </c>
      <c r="D1207" s="13" t="inlineStr">
        <is>
          <t>{B}: This creature gets +1/+1 until end of turn.</t>
        </is>
      </c>
      <c r="E1207" s="13" t="inlineStr">
        <is>
          <t>{2}{B}</t>
        </is>
      </c>
      <c r="F1207" s="13" t="inlineStr">
        <is>
          <t>Preto</t>
        </is>
      </c>
      <c r="G1207" s="8" t="n">
        <v>0.08</v>
      </c>
      <c r="H1207" s="13" t="inlineStr">
        <is>
          <t>Quarta Edição</t>
        </is>
      </c>
      <c r="I1207" s="13" t="inlineStr">
        <is>
          <t>Não</t>
        </is>
      </c>
      <c r="J1207" s="13" t="n">
        <v>1995</v>
      </c>
      <c r="K1207" s="13" t="inlineStr">
        <is>
          <t>0/1</t>
        </is>
      </c>
      <c r="L1207" s="13" t="n">
        <v>1</v>
      </c>
      <c r="M1207" s="8">
        <f>L1207*G1207</f>
        <v/>
      </c>
      <c r="P1207" s="9" t="n"/>
    </row>
    <row r="1208">
      <c r="A1208" s="13" t="inlineStr">
        <is>
          <t>Frozen Shade / Sombra Materializada</t>
        </is>
      </c>
      <c r="B1208" s="13" t="inlineStr">
        <is>
          <t>Creature — Shade</t>
        </is>
      </c>
      <c r="C1208" s="13" t="inlineStr">
        <is>
          <t>Common / Comum</t>
        </is>
      </c>
      <c r="D1208" s="13" t="inlineStr">
        <is>
          <t>{B}: This creature gets +1/+1 until end of turn.</t>
        </is>
      </c>
      <c r="E1208" s="13" t="inlineStr">
        <is>
          <t>{2}{B}</t>
        </is>
      </c>
      <c r="F1208" s="13" t="inlineStr">
        <is>
          <t>Preto</t>
        </is>
      </c>
      <c r="G1208" s="8" t="n">
        <v>0.17</v>
      </c>
      <c r="H1208" s="13" t="inlineStr">
        <is>
          <t>Quarta Edição (BB)</t>
        </is>
      </c>
      <c r="I1208" s="13" t="inlineStr">
        <is>
          <t>Não</t>
        </is>
      </c>
      <c r="J1208" s="13" t="n">
        <v>1995</v>
      </c>
      <c r="K1208" s="13" t="inlineStr">
        <is>
          <t>0/1</t>
        </is>
      </c>
      <c r="L1208" s="13" t="n">
        <v>2</v>
      </c>
      <c r="M1208" s="8">
        <f>L1208*G1208</f>
        <v/>
      </c>
      <c r="P1208" s="9" t="n"/>
    </row>
    <row r="1209">
      <c r="A1209" s="13" t="inlineStr">
        <is>
          <t>Frozen Shade / Sombra Materializada</t>
        </is>
      </c>
      <c r="B1209" s="13" t="inlineStr">
        <is>
          <t>Creature — Shade</t>
        </is>
      </c>
      <c r="C1209" s="13" t="inlineStr">
        <is>
          <t>Common / Comum</t>
        </is>
      </c>
      <c r="D1209" s="13" t="inlineStr">
        <is>
          <t>{B}: This creature gets +1/+1 until end of turn.</t>
        </is>
      </c>
      <c r="E1209" s="13" t="inlineStr">
        <is>
          <t>{2}{B}</t>
        </is>
      </c>
      <c r="F1209" s="13" t="inlineStr">
        <is>
          <t>Preto</t>
        </is>
      </c>
      <c r="G1209" s="8" t="n">
        <v>0.21</v>
      </c>
      <c r="H1209" s="13" t="inlineStr">
        <is>
          <t>Revised Edition</t>
        </is>
      </c>
      <c r="I1209" s="13" t="inlineStr">
        <is>
          <t>Não</t>
        </is>
      </c>
      <c r="J1209" s="13" t="n">
        <v>1994</v>
      </c>
      <c r="K1209" s="13" t="inlineStr">
        <is>
          <t>0/1</t>
        </is>
      </c>
      <c r="L1209" s="13" t="n">
        <v>3</v>
      </c>
      <c r="M1209" s="8">
        <f>L1209*G1209</f>
        <v/>
      </c>
      <c r="P1209" s="9" t="n"/>
    </row>
    <row r="1210">
      <c r="A1210" s="13" t="inlineStr">
        <is>
          <t>Fruit of Tizerus / Fruto de Tízero</t>
        </is>
      </c>
      <c r="B1210" s="13" t="inlineStr">
        <is>
          <t>Sorcery / Feitiço</t>
        </is>
      </c>
      <c r="C1210" s="13" t="inlineStr">
        <is>
          <t>Common / Comum</t>
        </is>
      </c>
      <c r="D1210" s="13"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210" s="13" t="inlineStr">
        <is>
          <t>{B}</t>
        </is>
      </c>
      <c r="F1210" s="13" t="inlineStr">
        <is>
          <t>Preto</t>
        </is>
      </c>
      <c r="G1210" s="8" t="n">
        <v>0.07000000000000001</v>
      </c>
      <c r="H1210" s="13" t="inlineStr">
        <is>
          <t>Theros Beyond Death (THB)</t>
        </is>
      </c>
      <c r="I1210" s="13" t="inlineStr">
        <is>
          <t>Não</t>
        </is>
      </c>
      <c r="J1210" s="13" t="n">
        <v>2020</v>
      </c>
      <c r="L1210" s="13" t="n">
        <v>1</v>
      </c>
      <c r="M1210" s="8">
        <f>L1210*G1210</f>
        <v/>
      </c>
      <c r="P1210" s="9" t="n"/>
    </row>
    <row r="1211">
      <c r="A1211" s="13" t="inlineStr">
        <is>
          <t>Fugitive Droid</t>
        </is>
      </c>
      <c r="B1211" s="13" t="inlineStr">
        <is>
          <t>Artifact Creature — Robot Scientist</t>
        </is>
      </c>
      <c r="C1211" s="13" t="inlineStr">
        <is>
          <t>Uncommon / Incomum</t>
        </is>
      </c>
      <c r="D1211" s="13" t="inlineStr">
        <is>
          <t>This creature can't be blocked if an artifact entered the battlefield under your control this turn. {U}, Sacrifice this creature: Counter target spell that targets an artifact or creature you control.</t>
        </is>
      </c>
      <c r="E1211" s="13" t="inlineStr">
        <is>
          <t>{U}</t>
        </is>
      </c>
      <c r="F1211" s="13" t="inlineStr">
        <is>
          <t>Azul</t>
        </is>
      </c>
      <c r="G1211" s="8" t="n">
        <v>0.2</v>
      </c>
      <c r="H1211" s="13" t="inlineStr">
        <is>
          <t>Teenage Mutant Ninja Turtles (TMT)</t>
        </is>
      </c>
      <c r="I1211" s="13" t="inlineStr">
        <is>
          <t>Não</t>
        </is>
      </c>
      <c r="J1211" s="13" t="n">
        <v>2026</v>
      </c>
      <c r="K1211" s="10" t="n">
        <v>46023</v>
      </c>
      <c r="L1211" s="13" t="n">
        <v>1</v>
      </c>
      <c r="M1211" s="8">
        <f>L1211*G1211</f>
        <v/>
      </c>
      <c r="P1211" s="9" t="n"/>
    </row>
    <row r="1212">
      <c r="A1212" s="13" t="inlineStr">
        <is>
          <t>Full Steam Ahead / A Todo Vapor</t>
        </is>
      </c>
      <c r="B1212" s="13" t="inlineStr">
        <is>
          <t>Sorcery / Feitiço</t>
        </is>
      </c>
      <c r="C1212" s="13" t="inlineStr">
        <is>
          <t>Uncommon / Incomum</t>
        </is>
      </c>
      <c r="D1212" s="13"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1212" s="13" t="inlineStr">
        <is>
          <t>{3}{G}{G}</t>
        </is>
      </c>
      <c r="F1212" s="13" t="inlineStr">
        <is>
          <t>Verde</t>
        </is>
      </c>
      <c r="G1212" s="8" t="n">
        <v>0.1</v>
      </c>
      <c r="H1212" s="13" t="inlineStr">
        <is>
          <t>Outlaws of Thunder Junction (OTJ)</t>
        </is>
      </c>
      <c r="I1212" s="13" t="inlineStr">
        <is>
          <t>Não</t>
        </is>
      </c>
      <c r="J1212" s="13" t="n">
        <v>2024</v>
      </c>
      <c r="L1212" s="13" t="n">
        <v>1</v>
      </c>
      <c r="M1212" s="8">
        <f>L1212*G1212</f>
        <v/>
      </c>
      <c r="P1212" s="9" t="n"/>
    </row>
    <row r="1213">
      <c r="A1213" s="13" t="inlineStr">
        <is>
          <t>Fungal Colossus / Colosso Fúngico</t>
        </is>
      </c>
      <c r="B1213" s="13" t="inlineStr">
        <is>
          <t>Criatura — Fungo Besta</t>
        </is>
      </c>
      <c r="C1213" s="13" t="inlineStr">
        <is>
          <t>Comum</t>
        </is>
      </c>
      <c r="D1213" s="13" t="inlineStr">
        <is>
          <t>Esta mágica custa {X} a menos para ser conjurada, onde X é o número de terrenos com nomes diferentes que você controla.</t>
        </is>
      </c>
      <c r="E1213" s="13" t="inlineStr">
        <is>
          <t>6{G}</t>
        </is>
      </c>
      <c r="F1213" s="13" t="inlineStr">
        <is>
          <t>Verde</t>
        </is>
      </c>
      <c r="G1213" s="8" t="n">
        <v>0.09</v>
      </c>
      <c r="H1213" s="13" t="inlineStr">
        <is>
          <t>Edge of Eternity</t>
        </is>
      </c>
      <c r="I1213" s="13" t="inlineStr">
        <is>
          <t>Não</t>
        </is>
      </c>
      <c r="J1213" s="13" t="n">
        <v>2025</v>
      </c>
      <c r="K1213" s="10" t="n">
        <v>46147</v>
      </c>
      <c r="L1213" s="13" t="n">
        <v>1</v>
      </c>
      <c r="M1213" s="8">
        <f>L1213*G1213</f>
        <v/>
      </c>
      <c r="P1213" s="9" t="n"/>
    </row>
    <row r="1214">
      <c r="A1214" s="13" t="inlineStr">
        <is>
          <t>Fungal Plots / Terrenos Fungais</t>
        </is>
      </c>
      <c r="B1214" s="13" t="inlineStr">
        <is>
          <t>Enchantment / Encantamento</t>
        </is>
      </c>
      <c r="C1214" s="13" t="inlineStr">
        <is>
          <t>Uncommon / Incomum</t>
        </is>
      </c>
      <c r="D1214" s="13"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1214" s="13" t="inlineStr">
        <is>
          <t>{1}{G}</t>
        </is>
      </c>
      <c r="F1214" s="13" t="inlineStr">
        <is>
          <t>Verde</t>
        </is>
      </c>
      <c r="G1214" s="8" t="n">
        <v>0.23</v>
      </c>
      <c r="H1214" s="13" t="inlineStr">
        <is>
          <t>Commander Masters (CMM)</t>
        </is>
      </c>
      <c r="I1214" s="13" t="inlineStr">
        <is>
          <t>Não</t>
        </is>
      </c>
      <c r="J1214" s="13" t="n">
        <v>2023</v>
      </c>
      <c r="L1214" s="13" t="n">
        <v>1</v>
      </c>
      <c r="M1214" s="8">
        <f>L1214*G1214</f>
        <v/>
      </c>
      <c r="P1214" s="9" t="n"/>
    </row>
    <row r="1215">
      <c r="A1215" s="13" t="inlineStr">
        <is>
          <t>Fungus Sliver</t>
        </is>
      </c>
      <c r="B1215" s="13" t="inlineStr">
        <is>
          <t>Creature — Fungus Sliver</t>
        </is>
      </c>
      <c r="C1215" s="13" t="inlineStr">
        <is>
          <t>Uncommon</t>
        </is>
      </c>
      <c r="D1215" s="13" t="inlineStr">
        <is>
          <t>All Slivers have "Whenever this creature is dealt damage, put a +1/+1 counter on it." (The damage is dealt before the counter is put on.)</t>
        </is>
      </c>
      <c r="E1215" s="13" t="inlineStr">
        <is>
          <t>{3}{G}</t>
        </is>
      </c>
      <c r="F1215" s="13" t="inlineStr">
        <is>
          <t>Verde</t>
        </is>
      </c>
      <c r="G1215" s="8" t="n">
        <v>0.74</v>
      </c>
      <c r="H1215" s="8" t="inlineStr">
        <is>
          <t>Time Spiral (TSP)</t>
        </is>
      </c>
      <c r="I1215" s="13" t="inlineStr">
        <is>
          <t>Não</t>
        </is>
      </c>
      <c r="J1215" s="13" t="n">
        <v>2006</v>
      </c>
      <c r="K1215" s="10" t="n">
        <v>46055</v>
      </c>
      <c r="L1215" s="13" t="n">
        <v>1</v>
      </c>
      <c r="M1215" s="8">
        <f>L1215*G1215</f>
        <v/>
      </c>
      <c r="P1215" s="9" t="n"/>
    </row>
    <row r="1216">
      <c r="A1216" s="13" t="inlineStr">
        <is>
          <t>Fúria do Ent / Ent's Fury</t>
        </is>
      </c>
      <c r="B1216" s="13" t="inlineStr">
        <is>
          <t>Feitiço</t>
        </is>
      </c>
      <c r="C1216" s="13" t="inlineStr">
        <is>
          <t>Comum</t>
        </is>
      </c>
      <c r="D1216" s="13" t="inlineStr">
        <is>
          <t>Coloque um marcador +1/+1 na criatura alvo que você controla se o poder dela for igual ou superior a 4Normally I can help with things like this, but I don't seem to have access to that content. You can try again or ask me for something else.</t>
        </is>
      </c>
      <c r="E1216" s="13" t="inlineStr">
        <is>
          <t>1{G}</t>
        </is>
      </c>
      <c r="F1216" s="13" t="inlineStr">
        <is>
          <t>Verde</t>
        </is>
      </c>
      <c r="G1216" s="8" t="n">
        <v>0.08</v>
      </c>
      <c r="H1216" s="13" t="inlineStr">
        <is>
          <t>The Lord of the Rings: Tales of Middle-earth (LTR)</t>
        </is>
      </c>
      <c r="I1216" s="13" t="inlineStr">
        <is>
          <t>Não</t>
        </is>
      </c>
      <c r="J1216" s="13" t="n">
        <v>2023</v>
      </c>
      <c r="L1216" s="13" t="n">
        <v>1</v>
      </c>
      <c r="M1216" s="8">
        <f>L1216*G1216</f>
        <v/>
      </c>
      <c r="P1216" s="9" t="n"/>
    </row>
    <row r="1217">
      <c r="A1217" s="13" t="inlineStr">
        <is>
          <t>Furnace Celebration / Celebração na Fornalha</t>
        </is>
      </c>
      <c r="B1217" s="13" t="inlineStr">
        <is>
          <t>Enchantment / Encantamento</t>
        </is>
      </c>
      <c r="C1217" s="13" t="inlineStr">
        <is>
          <t>Uncommon / Incomum</t>
        </is>
      </c>
      <c r="D1217" s="13"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1217" s="13" t="inlineStr">
        <is>
          <t>{1}{R}{R}</t>
        </is>
      </c>
      <c r="F1217" s="13" t="inlineStr">
        <is>
          <t>Vermelho</t>
        </is>
      </c>
      <c r="G1217" s="8" t="n">
        <v>0.07000000000000001</v>
      </c>
      <c r="H1217" s="13" t="inlineStr">
        <is>
          <t>Scars of Mirrodin (SOM)</t>
        </is>
      </c>
      <c r="I1217" s="13" t="inlineStr">
        <is>
          <t>Não</t>
        </is>
      </c>
      <c r="J1217" s="13" t="n">
        <v>2010</v>
      </c>
      <c r="L1217" s="13" t="n">
        <v>1</v>
      </c>
      <c r="M1217" s="8">
        <f>L1217*G1217</f>
        <v/>
      </c>
      <c r="P1217" s="9" t="n"/>
    </row>
    <row r="1218">
      <c r="A1218" s="13" t="inlineStr">
        <is>
          <t>Furtive Courier / Mensageira Furtiva</t>
        </is>
      </c>
      <c r="B1218" s="13" t="inlineStr">
        <is>
          <t>Creature — Merfolk Advisor / Criatura — Tritão Conselheiro</t>
        </is>
      </c>
      <c r="C1218" s="13" t="inlineStr">
        <is>
          <t>Uncommon / Incomum</t>
        </is>
      </c>
      <c r="D1218" s="13"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1218" s="13" t="inlineStr">
        <is>
          <t>{2}{U}</t>
        </is>
      </c>
      <c r="F1218" s="13" t="inlineStr">
        <is>
          <t>Azul</t>
        </is>
      </c>
      <c r="G1218" s="8" t="n">
        <v>0.09</v>
      </c>
      <c r="H1218" s="13" t="inlineStr">
        <is>
          <t>Murders at Karlov Manor (MKM)</t>
        </is>
      </c>
      <c r="I1218" s="13" t="inlineStr">
        <is>
          <t>Não</t>
        </is>
      </c>
      <c r="J1218" s="13" t="n">
        <v>2024</v>
      </c>
      <c r="K1218" s="10" t="n">
        <v>46056</v>
      </c>
      <c r="L1218" s="13" t="n">
        <v>1</v>
      </c>
      <c r="M1218" s="8">
        <f>L1218*G1218</f>
        <v/>
      </c>
      <c r="P1218" s="9" t="n"/>
    </row>
    <row r="1219">
      <c r="A1219" s="13" t="inlineStr">
        <is>
          <t>Fury of the Horde / Fúria da Horda</t>
        </is>
      </c>
      <c r="B1219" s="13" t="inlineStr">
        <is>
          <t>Feitiço</t>
        </is>
      </c>
      <c r="C1219" s="13" t="inlineStr">
        <is>
          <t>Rara</t>
        </is>
      </c>
      <c r="D1219" s="13"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1219" s="13" t="inlineStr">
        <is>
          <t>5RR</t>
        </is>
      </c>
      <c r="F1219" s="13" t="inlineStr">
        <is>
          <t>Vermelho</t>
        </is>
      </c>
      <c r="G1219" s="8" t="n">
        <v>17.95</v>
      </c>
      <c r="H1219" s="13" t="inlineStr">
        <is>
          <t>Duel Decks: Speed vs. Cunning</t>
        </is>
      </c>
      <c r="I1219" s="13" t="inlineStr">
        <is>
          <t>Não</t>
        </is>
      </c>
      <c r="J1219" s="13" t="n">
        <v>2014</v>
      </c>
      <c r="L1219" s="13" t="n">
        <v>1</v>
      </c>
      <c r="M1219" s="8">
        <f>L1219*G1219</f>
        <v/>
      </c>
      <c r="P1219" s="9" t="n"/>
    </row>
    <row r="1220">
      <c r="A1220" s="13" t="inlineStr">
        <is>
          <t>Futurist Sentinel / Sentinela Futurista</t>
        </is>
      </c>
      <c r="B1220" s="13" t="inlineStr">
        <is>
          <t>Artifact — Vehicle / Artefato — Veículo</t>
        </is>
      </c>
      <c r="C1220" s="13" t="inlineStr">
        <is>
          <t>Common / Comum</t>
        </is>
      </c>
      <c r="D1220" s="13"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220" s="13" t="inlineStr">
        <is>
          <t>{3}{U}</t>
        </is>
      </c>
      <c r="F1220" s="13" t="inlineStr">
        <is>
          <t>Azul</t>
        </is>
      </c>
      <c r="G1220" s="8" t="n">
        <v>0.06</v>
      </c>
      <c r="H1220" s="13" t="inlineStr">
        <is>
          <t>Kamigawa: Neon Dynasty (NEO)</t>
        </is>
      </c>
      <c r="I1220" s="13" t="inlineStr">
        <is>
          <t>Não</t>
        </is>
      </c>
      <c r="J1220" s="13" t="n">
        <v>2022</v>
      </c>
      <c r="K1220" s="10" t="n">
        <v>46179</v>
      </c>
      <c r="L1220" s="13" t="n">
        <v>3</v>
      </c>
      <c r="M1220" s="8">
        <f>L1220*G1220</f>
        <v/>
      </c>
      <c r="P1220" s="9" t="n"/>
    </row>
    <row r="1221">
      <c r="A1221" s="13" t="inlineStr">
        <is>
          <t>Fyndhorn Bow / Arco de Fyndhorn</t>
        </is>
      </c>
      <c r="B1221" s="13" t="inlineStr">
        <is>
          <t>Artifact</t>
        </is>
      </c>
      <c r="C1221" s="13" t="inlineStr">
        <is>
          <t>Uncommon / Incomum</t>
        </is>
      </c>
      <c r="D1221" s="13" t="inlineStr">
        <is>
          <t>{3}, {T}: Target creature gains first strike until end of turn.</t>
        </is>
      </c>
      <c r="E1221" s="13" t="inlineStr">
        <is>
          <t>{2}</t>
        </is>
      </c>
      <c r="F1221" s="13" t="inlineStr">
        <is>
          <t>Incolor</t>
        </is>
      </c>
      <c r="G1221" s="8" t="n">
        <v>0.5</v>
      </c>
      <c r="H1221" s="13" t="inlineStr">
        <is>
          <t>Ice Age (ICE)</t>
        </is>
      </c>
      <c r="I1221" s="13" t="inlineStr">
        <is>
          <t>Não</t>
        </is>
      </c>
      <c r="J1221" s="13" t="n">
        <v>1995</v>
      </c>
      <c r="L1221" s="13" t="n">
        <v>1</v>
      </c>
      <c r="M1221" s="8">
        <f>L1221*G1221</f>
        <v/>
      </c>
      <c r="P1221" s="9" t="n"/>
    </row>
    <row r="1222">
      <c r="A1222" s="13" t="inlineStr">
        <is>
          <t>Gaea's Gift / Presente de Gaia</t>
        </is>
      </c>
      <c r="B1222" s="13" t="inlineStr">
        <is>
          <t>Instant / Mágica Instantânea</t>
        </is>
      </c>
      <c r="C1222" s="13" t="inlineStr">
        <is>
          <t>Common / Comum</t>
        </is>
      </c>
      <c r="D1222" s="13"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222" s="13" t="inlineStr">
        <is>
          <t>{1}{G}</t>
        </is>
      </c>
      <c r="F1222" s="13" t="inlineStr">
        <is>
          <t>Verde</t>
        </is>
      </c>
      <c r="G1222" s="8" t="n">
        <v>1.81</v>
      </c>
      <c r="H1222" s="13" t="inlineStr">
        <is>
          <t>The Brothers' War (BRO)</t>
        </is>
      </c>
      <c r="I1222" s="13" t="inlineStr">
        <is>
          <t>Não</t>
        </is>
      </c>
      <c r="J1222" s="13" t="n">
        <v>2022</v>
      </c>
      <c r="L1222" s="13" t="n">
        <v>1</v>
      </c>
      <c r="M1222" s="8">
        <f>L1222*G1222</f>
        <v/>
      </c>
      <c r="P1222" s="9" t="n"/>
    </row>
    <row r="1223">
      <c r="A1223" s="13" t="inlineStr">
        <is>
          <t>Gaelicat / Gato Gaélico</t>
        </is>
      </c>
      <c r="B1223" s="13" t="inlineStr">
        <is>
          <t>Criatura — Gato</t>
        </is>
      </c>
      <c r="C1223" s="13" t="inlineStr">
        <is>
          <t>Comum</t>
        </is>
      </c>
      <c r="D1223" s="13" t="inlineStr">
        <is>
          <t>Voar, vigilância. Enquanto você controlar dois ou mais artefatos, esta criatura receberá +2/+0.</t>
        </is>
      </c>
      <c r="E1223" s="13" t="inlineStr">
        <is>
          <t>2{W}</t>
        </is>
      </c>
      <c r="F1223" s="13" t="inlineStr">
        <is>
          <t>Branco</t>
        </is>
      </c>
      <c r="G1223" s="8" t="n">
        <v>0.05</v>
      </c>
      <c r="H1223" s="13" t="inlineStr">
        <is>
          <t>Final Fantasy</t>
        </is>
      </c>
      <c r="I1223" s="13" t="inlineStr">
        <is>
          <t>Não</t>
        </is>
      </c>
      <c r="J1223" s="13" t="n">
        <v>2025</v>
      </c>
      <c r="K1223" s="10" t="n">
        <v>46082</v>
      </c>
      <c r="L1223" s="13" t="n">
        <v>7</v>
      </c>
      <c r="M1223" s="8">
        <f>L1223*G1223</f>
        <v/>
      </c>
      <c r="P1223" s="9" t="n"/>
    </row>
    <row r="1224">
      <c r="A1224" s="13" t="inlineStr">
        <is>
          <t>Gaelicat / Gato Gaélico</t>
        </is>
      </c>
      <c r="B1224" s="13" t="inlineStr">
        <is>
          <t>Criatura — Gato</t>
        </is>
      </c>
      <c r="C1224" s="13" t="inlineStr">
        <is>
          <t>Comum</t>
        </is>
      </c>
      <c r="D1224" s="13" t="inlineStr">
        <is>
          <t>Voar, vigilância. Enquanto você controlar dois ou mais artefatos, esta criatura receberá +2/+0.</t>
        </is>
      </c>
      <c r="E1224" s="13" t="inlineStr">
        <is>
          <t>2{W}</t>
        </is>
      </c>
      <c r="F1224" s="13" t="inlineStr">
        <is>
          <t>Branco</t>
        </is>
      </c>
      <c r="G1224" s="8" t="n">
        <v>0.25</v>
      </c>
      <c r="H1224" s="13" t="inlineStr">
        <is>
          <t>Final Fantasy</t>
        </is>
      </c>
      <c r="I1224" s="13" t="inlineStr">
        <is>
          <t>Sim</t>
        </is>
      </c>
      <c r="J1224" s="13" t="n">
        <v>2025</v>
      </c>
      <c r="K1224" s="10" t="n">
        <v>46082</v>
      </c>
      <c r="L1224" s="13" t="n">
        <v>2</v>
      </c>
      <c r="M1224" s="8">
        <f>L1224*G1224</f>
        <v/>
      </c>
      <c r="P1224" s="9" t="n"/>
    </row>
    <row r="1225">
      <c r="A1225" s="13" t="inlineStr">
        <is>
          <t>Gaius van Baelsar</t>
        </is>
      </c>
      <c r="B1225" s="13" t="inlineStr">
        <is>
          <t>Legendary Creature — Human Soldier</t>
        </is>
      </c>
      <c r="C1225" s="13" t="inlineStr">
        <is>
          <t>Incomum</t>
        </is>
      </c>
      <c r="D1225" s="13" t="inlineStr">
        <is>
          <t>When Gaius van Baelsar enters, choose one — • Each player sacrifices a creature token of their choice. • Each player sacrifices a nontoken creature of their choice. • Each player sacrifices an enchantment of their choice.</t>
        </is>
      </c>
      <c r="E1225" s="13" t="inlineStr">
        <is>
          <t>2BB</t>
        </is>
      </c>
      <c r="F1225" s="13" t="inlineStr">
        <is>
          <t>Preta</t>
        </is>
      </c>
      <c r="G1225" s="8" t="n">
        <v>0.25</v>
      </c>
      <c r="H1225" s="13" t="inlineStr">
        <is>
          <t>Final Fantasy (FFXIV)</t>
        </is>
      </c>
      <c r="I1225" s="13" t="inlineStr">
        <is>
          <t>Não</t>
        </is>
      </c>
      <c r="J1225" s="13" t="n">
        <v>2025</v>
      </c>
      <c r="K1225" s="10" t="n">
        <v>46056</v>
      </c>
      <c r="L1225" s="13" t="n">
        <v>2</v>
      </c>
      <c r="M1225" s="8">
        <f>L1225*G1225</f>
        <v/>
      </c>
      <c r="P1225" s="9" t="n"/>
    </row>
    <row r="1226">
      <c r="A1226" s="13" t="inlineStr">
        <is>
          <t>Galadriel, Elven-Queen / Galadriel, Rainha Élfica</t>
        </is>
      </c>
      <c r="B1226" s="13" t="inlineStr">
        <is>
          <t>Legendary Creature — Elf Noble / Criatura Lendária — Elfo Nobre</t>
        </is>
      </c>
      <c r="C1226" s="13" t="inlineStr">
        <is>
          <t>Mythic / Mítica</t>
        </is>
      </c>
      <c r="D1226" s="13"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26" s="13" t="inlineStr">
        <is>
          <t>{2}{G}{U}</t>
        </is>
      </c>
      <c r="F1226" s="13" t="inlineStr">
        <is>
          <t>Verde, Azul</t>
        </is>
      </c>
      <c r="G1226" s="8" t="n">
        <v>1.76</v>
      </c>
      <c r="H1226" s="13" t="inlineStr">
        <is>
          <t>Tales of Middle-earth Commander (LTC)</t>
        </is>
      </c>
      <c r="I1226" s="13" t="inlineStr">
        <is>
          <t>Não</t>
        </is>
      </c>
      <c r="J1226" s="13" t="n">
        <v>2023</v>
      </c>
      <c r="K1226" s="10" t="n">
        <v>46146</v>
      </c>
      <c r="L1226" s="13" t="n">
        <v>1</v>
      </c>
      <c r="M1226" s="8">
        <f>L1226*G1226</f>
        <v/>
      </c>
      <c r="P1226" s="9" t="n"/>
    </row>
    <row r="1227">
      <c r="A1227" s="13" t="inlineStr">
        <is>
          <t>Gallant Fowlknight</t>
        </is>
      </c>
      <c r="B1227" s="13" t="inlineStr">
        <is>
          <t>Creature — Kithkin Knight</t>
        </is>
      </c>
      <c r="C1227" s="13" t="inlineStr">
        <is>
          <t>Common / Comum</t>
        </is>
      </c>
      <c r="D1227" s="13" t="inlineStr">
        <is>
          <t>When this creature enters, creatures you control get +1/+0 until end of turn. Kithkin creatures you control also gain first strike until end of turn.</t>
        </is>
      </c>
      <c r="E1227" s="13" t="inlineStr">
        <is>
          <t>{3}{W}</t>
        </is>
      </c>
      <c r="F1227" s="13" t="inlineStr">
        <is>
          <t>Branco</t>
        </is>
      </c>
      <c r="G1227" s="8" t="n">
        <v>0.1</v>
      </c>
      <c r="H1227" s="13" t="inlineStr">
        <is>
          <t>Lorwyn Eclipsed (ECL)</t>
        </is>
      </c>
      <c r="I1227" s="13" t="inlineStr">
        <is>
          <t>Não</t>
        </is>
      </c>
      <c r="J1227" s="13" t="n">
        <v>2026</v>
      </c>
      <c r="K1227" s="10" t="n">
        <v>46115</v>
      </c>
      <c r="L1227" s="13" t="n">
        <v>2</v>
      </c>
      <c r="M1227" s="8">
        <f>L1227*G1227</f>
        <v/>
      </c>
      <c r="P1227" s="9" t="n"/>
    </row>
    <row r="1228">
      <c r="A1228" s="13" t="inlineStr">
        <is>
          <t>Gallant Strike</t>
        </is>
      </c>
      <c r="B1228" s="13" t="inlineStr">
        <is>
          <t>Instant</t>
        </is>
      </c>
      <c r="C1228" s="13" t="inlineStr">
        <is>
          <t>Uncommon / Incomum</t>
        </is>
      </c>
      <c r="D1228" s="13" t="inlineStr">
        <is>
          <t>Destroy target creature with toughness 4 or greater. Cycling {2} ({2}, Discard this card: Draw a card.)</t>
        </is>
      </c>
      <c r="E1228" s="13" t="inlineStr">
        <is>
          <t>{1}{W}</t>
        </is>
      </c>
      <c r="F1228" s="13" t="inlineStr">
        <is>
          <t>Branco</t>
        </is>
      </c>
      <c r="G1228" s="8" t="n">
        <v>0.13</v>
      </c>
      <c r="H1228" s="13" t="inlineStr">
        <is>
          <t>Aetherdrift (DFT)</t>
        </is>
      </c>
      <c r="I1228" s="13" t="inlineStr">
        <is>
          <t>Não</t>
        </is>
      </c>
      <c r="J1228" s="13" t="n">
        <v>2025</v>
      </c>
      <c r="L1228" s="13" t="n">
        <v>1</v>
      </c>
      <c r="M1228" s="8">
        <f>L1228*G1228</f>
        <v/>
      </c>
      <c r="P1228" s="9" t="n"/>
    </row>
    <row r="1229">
      <c r="A1229" s="13" t="inlineStr">
        <is>
          <t>Gallantry / Galanteria</t>
        </is>
      </c>
      <c r="B1229" s="13" t="inlineStr">
        <is>
          <t>Instant / Mágica Instantânea</t>
        </is>
      </c>
      <c r="C1229" s="13" t="inlineStr">
        <is>
          <t>Uncommon / Incomum</t>
        </is>
      </c>
      <c r="D1229" s="13" t="inlineStr">
        <is>
          <t>Target blocking creature gets +4/+4 until end of turn. Draw a card. / A criatura alvo bloqueadora recebe +4/+4 até o final do turno. Compre um card.</t>
        </is>
      </c>
      <c r="E1229" s="13" t="inlineStr">
        <is>
          <t>{1}{W}</t>
        </is>
      </c>
      <c r="F1229" s="13" t="inlineStr">
        <is>
          <t>Branco</t>
        </is>
      </c>
      <c r="G1229" s="8" t="n">
        <v>0.17</v>
      </c>
      <c r="H1229" s="13" t="inlineStr">
        <is>
          <t>Tempest (TMP)</t>
        </is>
      </c>
      <c r="I1229" s="13" t="inlineStr">
        <is>
          <t>Não</t>
        </is>
      </c>
      <c r="J1229" s="13" t="n">
        <v>1997</v>
      </c>
      <c r="L1229" s="13" t="n">
        <v>1</v>
      </c>
      <c r="M1229" s="8">
        <f>L1229*G1229</f>
        <v/>
      </c>
      <c r="P1229" s="9" t="n"/>
    </row>
    <row r="1230">
      <c r="A1230" s="13" t="inlineStr">
        <is>
          <t>Galuf's Final Act / Ato Final de Galuf</t>
        </is>
      </c>
      <c r="B1230" s="13" t="inlineStr">
        <is>
          <t>Mágica Instantânea</t>
        </is>
      </c>
      <c r="C1230" s="13" t="inlineStr">
        <is>
          <t>Incomum</t>
        </is>
      </c>
      <c r="D1230" s="13" t="inlineStr">
        <is>
          <t>Até o final do turno, a criatura alvo recebe +1/+0 e ganha "Quando esta criatura morrer, coloque uma quantidade de marcadores +1/+1 igual ao poder dela em até uma criatura alvo."</t>
        </is>
      </c>
      <c r="E1230" s="13" t="inlineStr">
        <is>
          <t>1{G}</t>
        </is>
      </c>
      <c r="F1230" s="13" t="inlineStr">
        <is>
          <t>Verde</t>
        </is>
      </c>
      <c r="G1230" s="8" t="n">
        <v>0.18</v>
      </c>
      <c r="H1230" s="13" t="inlineStr">
        <is>
          <t>Final Fantasy</t>
        </is>
      </c>
      <c r="I1230" s="13" t="inlineStr">
        <is>
          <t>Não</t>
        </is>
      </c>
      <c r="J1230" s="13" t="n">
        <v>2025</v>
      </c>
      <c r="L1230" s="13" t="n">
        <v>3</v>
      </c>
      <c r="M1230" s="8">
        <f>L1230*G1230</f>
        <v/>
      </c>
      <c r="P1230" s="9" t="n"/>
    </row>
    <row r="1231">
      <c r="A1231" s="13" t="inlineStr">
        <is>
          <t>Galvanic Alchemist / Alquimista Galvânico</t>
        </is>
      </c>
      <c r="B1231" s="13" t="inlineStr">
        <is>
          <t>Creature — Human Wizard / Criatura — Humano Mago</t>
        </is>
      </c>
      <c r="C1231" s="13" t="inlineStr">
        <is>
          <t>Common / Comum</t>
        </is>
      </c>
      <c r="D1231" s="13"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231" s="13" t="inlineStr">
        <is>
          <t>{2}{U}</t>
        </is>
      </c>
      <c r="F1231" s="13" t="inlineStr">
        <is>
          <t>Azul</t>
        </is>
      </c>
      <c r="G1231" s="8" t="n">
        <v>0.2</v>
      </c>
      <c r="H1231" s="13" t="inlineStr">
        <is>
          <t>Avacyn Restored (AVR)</t>
        </is>
      </c>
      <c r="I1231" s="13" t="inlineStr">
        <is>
          <t>Não</t>
        </is>
      </c>
      <c r="J1231" s="13" t="n">
        <v>2012</v>
      </c>
      <c r="K1231" s="10" t="n">
        <v>46113</v>
      </c>
      <c r="L1231" s="13" t="n">
        <v>1</v>
      </c>
      <c r="M1231" s="8">
        <f>L1231*G1231</f>
        <v/>
      </c>
      <c r="P1231" s="9" t="n"/>
    </row>
    <row r="1232">
      <c r="A1232" s="13" t="inlineStr">
        <is>
          <t>Galvanic Blast / Explosão Galvânica</t>
        </is>
      </c>
      <c r="B1232" s="13" t="inlineStr">
        <is>
          <t>Instant / Mágica Instantânea</t>
        </is>
      </c>
      <c r="C1232" s="13" t="inlineStr">
        <is>
          <t>Common / Comum</t>
        </is>
      </c>
      <c r="D1232" s="13"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232" s="13" t="inlineStr">
        <is>
          <t>{R}</t>
        </is>
      </c>
      <c r="F1232" s="13" t="inlineStr">
        <is>
          <t>Vermelho</t>
        </is>
      </c>
      <c r="G1232" s="8" t="n">
        <v>12.26</v>
      </c>
      <c r="H1232" s="13" t="inlineStr">
        <is>
          <t>Scars of Mirrodin (SOM)</t>
        </is>
      </c>
      <c r="I1232" s="13" t="inlineStr">
        <is>
          <t>Não</t>
        </is>
      </c>
      <c r="J1232" s="13" t="n">
        <v>2010</v>
      </c>
      <c r="L1232" s="13" t="n">
        <v>4</v>
      </c>
      <c r="M1232" s="8">
        <f>L1232*G1232</f>
        <v/>
      </c>
      <c r="P1232" s="9" t="n"/>
    </row>
    <row r="1233">
      <c r="A1233" s="13" t="inlineStr">
        <is>
          <t>Galvanic Key</t>
        </is>
      </c>
      <c r="B1233" s="13" t="inlineStr">
        <is>
          <t>Artifact</t>
        </is>
      </c>
      <c r="C1233" s="13" t="inlineStr">
        <is>
          <t>Uncommon</t>
        </is>
      </c>
      <c r="D1233" s="13" t="inlineStr">
        <is>
          <t>You may play Galvanic Key any time you could play an instant. {3}, {T}: Untap target artifact.</t>
        </is>
      </c>
      <c r="E1233" s="13" t="inlineStr">
        <is>
          <t>{2}</t>
        </is>
      </c>
      <c r="F1233" s="13" t="inlineStr">
        <is>
          <t>Colorless</t>
        </is>
      </c>
      <c r="G1233" s="8" t="n">
        <v>0.05</v>
      </c>
      <c r="H1233" s="13" t="inlineStr">
        <is>
          <t>Mirrodin (MRD)</t>
        </is>
      </c>
      <c r="I1233" s="13" t="inlineStr">
        <is>
          <t>No</t>
        </is>
      </c>
      <c r="J1233" s="13" t="n">
        <v>2003</v>
      </c>
      <c r="L1233" s="13" t="n">
        <v>1</v>
      </c>
      <c r="M1233" s="8">
        <f>L1233*G1233</f>
        <v/>
      </c>
      <c r="P1233" s="9" t="n"/>
    </row>
    <row r="1234">
      <c r="A1234" s="13" t="inlineStr">
        <is>
          <t>Galvanizing Sawship / Nauserra Galvanizante</t>
        </is>
      </c>
      <c r="B1234" s="13" t="inlineStr">
        <is>
          <t>Artefato — Nave Espacial</t>
        </is>
      </c>
      <c r="C1234" s="13" t="inlineStr">
        <is>
          <t>Incomum</t>
        </is>
      </c>
      <c r="D1234" s="13" t="inlineStr">
        <is>
          <t>Estação (Vire outra criatura que você controla: Coloque marcadores de carga iguais ao poder dela nesta Nave Espacial. Estacione somente como um feitiço. É uma criatura artefato enquanto tiver 3+.) Voar, ímpeto</t>
        </is>
      </c>
      <c r="E1234" s="13" t="inlineStr">
        <is>
          <t>5{R}</t>
        </is>
      </c>
      <c r="F1234" s="13" t="inlineStr">
        <is>
          <t>Vermelho</t>
        </is>
      </c>
      <c r="G1234" s="8" t="n">
        <v>0.26</v>
      </c>
      <c r="H1234" s="13" t="inlineStr">
        <is>
          <t>Edge of Eternity</t>
        </is>
      </c>
      <c r="I1234" s="13" t="inlineStr">
        <is>
          <t>Sim</t>
        </is>
      </c>
      <c r="J1234" s="13" t="n">
        <v>2025</v>
      </c>
      <c r="K1234" s="10" t="n">
        <v>46148</v>
      </c>
      <c r="L1234" s="13" t="n">
        <v>1</v>
      </c>
      <c r="M1234" s="8">
        <f>L1234*G1234</f>
        <v/>
      </c>
      <c r="P1234" s="9" t="n"/>
    </row>
    <row r="1235">
      <c r="A1235" s="13" t="inlineStr">
        <is>
          <t>Gandalf, Amigo do Condado / Gandalf, Friend of the Shire</t>
        </is>
      </c>
      <c r="B1235" s="13" t="inlineStr">
        <is>
          <t>Criatura Lendária — Avatar Mago</t>
        </is>
      </c>
      <c r="C1235" s="13" t="inlineStr">
        <is>
          <t>Incomum</t>
        </is>
      </c>
      <c r="D1235" s="13" t="inlineStr">
        <is>
          <t>Lampejo. Você pode conjurar mágicas de feitiço como se tivessem lampejo. Toda vez que o Anel tentar você, se você escolher uma criatura que não seja Gandalf, Amigo do Condado, como seu Guardião do Anel, compre um card.</t>
        </is>
      </c>
      <c r="E1235" s="13" t="inlineStr">
        <is>
          <t>3{U}</t>
        </is>
      </c>
      <c r="F1235" s="13" t="inlineStr">
        <is>
          <t>Azul</t>
        </is>
      </c>
      <c r="G1235" s="8" t="n">
        <v>0.5</v>
      </c>
      <c r="H1235" s="13" t="inlineStr">
        <is>
          <t>The Lord of the Rings: Tales of Middle-earth (LTR)</t>
        </is>
      </c>
      <c r="I1235" s="13" t="inlineStr">
        <is>
          <t>Não</t>
        </is>
      </c>
      <c r="J1235" s="13" t="n">
        <v>2023</v>
      </c>
      <c r="K1235" s="10" t="n">
        <v>46114</v>
      </c>
      <c r="L1235" s="13" t="n">
        <v>2</v>
      </c>
      <c r="M1235" s="8">
        <f>L1235*G1235</f>
        <v/>
      </c>
      <c r="P1235" s="9" t="n"/>
    </row>
    <row r="1236">
      <c r="A1236" s="13" t="inlineStr">
        <is>
          <t>Gangly Stompling</t>
        </is>
      </c>
      <c r="B1236" s="13" t="inlineStr">
        <is>
          <t>Creature — Shapeshifter</t>
        </is>
      </c>
      <c r="C1236" s="13" t="inlineStr">
        <is>
          <t>Common / Comum</t>
        </is>
      </c>
      <c r="D1236" s="13" t="inlineStr">
        <is>
          <t>Changeling (This card is every creature type.) Trample</t>
        </is>
      </c>
      <c r="E1236" s="13" t="inlineStr">
        <is>
          <t>{2}{R/G}</t>
        </is>
      </c>
      <c r="F1236" s="13" t="inlineStr">
        <is>
          <t>Verde, Vermelho</t>
        </is>
      </c>
      <c r="G1236" s="8" t="n">
        <v>0.11</v>
      </c>
      <c r="H1236" s="13" t="inlineStr">
        <is>
          <t>Lorwyn Eclipsed (ECL)</t>
        </is>
      </c>
      <c r="I1236" s="13" t="inlineStr">
        <is>
          <t>Não</t>
        </is>
      </c>
      <c r="J1236" s="13" t="n">
        <v>2026</v>
      </c>
      <c r="K1236" s="10" t="n">
        <v>46057</v>
      </c>
      <c r="L1236" s="13" t="n">
        <v>2</v>
      </c>
      <c r="M1236" s="8">
        <f>L1236*G1236</f>
        <v/>
      </c>
      <c r="P1236" s="9" t="n"/>
    </row>
    <row r="1237">
      <c r="A1237" s="13" t="inlineStr">
        <is>
          <t>Gangrenous Zombies / Zumbis Gangrenosos</t>
        </is>
      </c>
      <c r="B1237" s="13" t="inlineStr">
        <is>
          <t>Creature — Zombie</t>
        </is>
      </c>
      <c r="C1237" s="13" t="inlineStr">
        <is>
          <t>Common / Comum</t>
        </is>
      </c>
      <c r="D1237" s="13" t="inlineStr">
        <is>
          <t>{T}, Sacrifice this creature: This creature deals 1 damage to each creature and each player. If you control a snow Swamp, this creature deals 2 damage to each creature and each player instead.</t>
        </is>
      </c>
      <c r="E1237" s="13" t="inlineStr">
        <is>
          <t>{1}{B}{B}</t>
        </is>
      </c>
      <c r="F1237" s="13" t="inlineStr">
        <is>
          <t>Preto</t>
        </is>
      </c>
      <c r="G1237" s="8" t="n">
        <v>0.1</v>
      </c>
      <c r="H1237" s="13" t="inlineStr">
        <is>
          <t>Ice Age (ICE)</t>
        </is>
      </c>
      <c r="I1237" s="13" t="inlineStr">
        <is>
          <t>Não</t>
        </is>
      </c>
      <c r="J1237" s="13" t="n">
        <v>1995</v>
      </c>
      <c r="K1237" s="10" t="n">
        <v>46055</v>
      </c>
      <c r="L1237" s="13" t="n">
        <v>3</v>
      </c>
      <c r="M1237" s="8">
        <f>L1237*G1237</f>
        <v/>
      </c>
      <c r="P1237" s="9" t="n"/>
    </row>
    <row r="1238">
      <c r="A1238" s="13" t="inlineStr">
        <is>
          <t>Garna, the Bloodflame / Garna, a Chama Sanguínea</t>
        </is>
      </c>
      <c r="B1238" s="13" t="inlineStr">
        <is>
          <t>Legendary Creature — Human Warrior / Criatura Lendária — Humano Guerreiro</t>
        </is>
      </c>
      <c r="C1238" s="13" t="inlineStr">
        <is>
          <t>Uncommon / Incomum</t>
        </is>
      </c>
      <c r="D1238" s="13"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1238" s="13" t="inlineStr">
        <is>
          <t>{3}{B}{R}</t>
        </is>
      </c>
      <c r="F1238" s="13" t="inlineStr">
        <is>
          <t>Preto, Vermelho</t>
        </is>
      </c>
      <c r="G1238" s="8" t="n">
        <v>0.05</v>
      </c>
      <c r="H1238" s="13" t="inlineStr">
        <is>
          <t>Ultimate Masters (UMA)</t>
        </is>
      </c>
      <c r="I1238" s="13" t="inlineStr">
        <is>
          <t>Não</t>
        </is>
      </c>
      <c r="J1238" s="13" t="n">
        <v>2018</v>
      </c>
      <c r="K1238" s="10" t="n">
        <v>46084</v>
      </c>
      <c r="L1238" s="13" t="n">
        <v>1</v>
      </c>
      <c r="M1238" s="8">
        <f>L1238*G1238</f>
        <v/>
      </c>
      <c r="P1238" s="9" t="n"/>
    </row>
    <row r="1239">
      <c r="A1239" s="13" t="inlineStr">
        <is>
          <t>Garnet, Princess of Alexandria / Garnet, Princesa de Alexandria</t>
        </is>
      </c>
      <c r="B1239" s="13" t="inlineStr">
        <is>
          <t>Criatura Lendária — Humano Nobre Clerigo</t>
        </is>
      </c>
      <c r="C1239" s="13" t="inlineStr">
        <is>
          <t>Incomum</t>
        </is>
      </c>
      <c r="D1239" s="13" t="inlineStr">
        <is>
          <t>Vínculo com a vida. Sempre que Garnet atacar, você poderá remover um marcador de conhecimento de cada um de qualquer número de Sagas que você controla. Coloque um marcador +1/+1 em Garnet para cada marcador de conhecimento removido deste modo.</t>
        </is>
      </c>
      <c r="E1239" s="13" t="inlineStr">
        <is>
          <t>{G}{W}</t>
        </is>
      </c>
      <c r="F1239" s="13" t="inlineStr">
        <is>
          <t>Multicolorido (Verde/Branco)</t>
        </is>
      </c>
      <c r="G1239" s="8" t="n">
        <v>0.32</v>
      </c>
      <c r="H1239" s="13" t="inlineStr">
        <is>
          <t>Final Fantasy</t>
        </is>
      </c>
      <c r="I1239" s="13" t="inlineStr">
        <is>
          <t>Não</t>
        </is>
      </c>
      <c r="J1239" s="13" t="n">
        <v>2025</v>
      </c>
      <c r="K1239" s="10" t="n">
        <v>46055</v>
      </c>
      <c r="L1239" s="13" t="n">
        <v>1</v>
      </c>
      <c r="M1239" s="8">
        <f>L1239*G1239</f>
        <v/>
      </c>
      <c r="P1239" s="9" t="n"/>
    </row>
    <row r="1240">
      <c r="A1240" s="13" t="inlineStr">
        <is>
          <t>Garrison Excavator / Escavador da Guarnição</t>
        </is>
      </c>
      <c r="B1240" s="13" t="inlineStr">
        <is>
          <t>Creature — Orc Sorcerer / Criatura — Orc Feiticeiro</t>
        </is>
      </c>
      <c r="C1240" s="13" t="inlineStr">
        <is>
          <t>Uncommon / Incomum</t>
        </is>
      </c>
      <c r="D1240" s="13"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1240" s="13" t="inlineStr">
        <is>
          <t>{3}{R}</t>
        </is>
      </c>
      <c r="F1240" s="13" t="inlineStr">
        <is>
          <t>Vermelho</t>
        </is>
      </c>
      <c r="G1240" s="8" t="n">
        <v>0.18</v>
      </c>
      <c r="H1240" s="13" t="inlineStr">
        <is>
          <t>Shadows of Sothia (SOS)</t>
        </is>
      </c>
      <c r="I1240" s="13" t="inlineStr">
        <is>
          <t>No</t>
        </is>
      </c>
      <c r="J1240" s="13" t="n">
        <v>2026</v>
      </c>
      <c r="K1240" s="10" t="n">
        <v>46115</v>
      </c>
      <c r="L1240" s="13" t="n">
        <v>1</v>
      </c>
      <c r="M1240" s="8">
        <f>L1240*G1240</f>
        <v/>
      </c>
      <c r="P1240" s="9" t="n"/>
    </row>
    <row r="1241">
      <c r="A1241" s="13" t="inlineStr">
        <is>
          <t>Gate Colossus / Colosso do Portão</t>
        </is>
      </c>
      <c r="B1241" s="13" t="inlineStr">
        <is>
          <t>Artifact Creature — Construct / Criatura Artefato — Constructo</t>
        </is>
      </c>
      <c r="C1241" s="13" t="inlineStr">
        <is>
          <t>Uncommon / Incomum</t>
        </is>
      </c>
      <c r="D1241" s="13" t="inlineStr">
        <is>
          <t>This spell costs {1} less to cast for each Gate you control. Gate Colossus can't be blocked by creatures with power 2 or less. Whenever a Gate enters the battlefield under your control, you may put Gate Colossus from your graveyard on top of your library.</t>
        </is>
      </c>
      <c r="E1241" s="13" t="inlineStr">
        <is>
          <t>{8}</t>
        </is>
      </c>
      <c r="F1241" s="13" t="inlineStr">
        <is>
          <t>Incolor</t>
        </is>
      </c>
      <c r="G1241" s="8" t="n">
        <v>0.09</v>
      </c>
      <c r="H1241" s="13" t="inlineStr">
        <is>
          <t>Ravnica Allegiance (RNA)</t>
        </is>
      </c>
      <c r="I1241" s="13" t="inlineStr">
        <is>
          <t>No</t>
        </is>
      </c>
      <c r="J1241" s="13" t="n">
        <v>2019</v>
      </c>
      <c r="K1241" s="10" t="n">
        <v>46242</v>
      </c>
      <c r="L1241" s="13" t="n">
        <v>1</v>
      </c>
      <c r="M1241" s="8">
        <f>L1241*G1241</f>
        <v/>
      </c>
      <c r="P1241" s="9" t="n"/>
    </row>
    <row r="1242">
      <c r="A1242" s="13" t="inlineStr">
        <is>
          <t>Gatebreaker Ram / Carneiro Quebra-portões</t>
        </is>
      </c>
      <c r="B1242" s="13" t="inlineStr">
        <is>
          <t>Creature — Sheep / Criatura — Ovelha</t>
        </is>
      </c>
      <c r="C1242" s="13" t="inlineStr">
        <is>
          <t>Uncommon / Incomum</t>
        </is>
      </c>
      <c r="D1242" s="13"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1242" s="13" t="inlineStr">
        <is>
          <t>{2}{G}</t>
        </is>
      </c>
      <c r="F1242" s="13" t="inlineStr">
        <is>
          <t>Verde</t>
        </is>
      </c>
      <c r="G1242" s="8" t="n">
        <v>0.13</v>
      </c>
      <c r="H1242" s="13" t="inlineStr">
        <is>
          <t>Ravnica Allegiance (RNA)</t>
        </is>
      </c>
      <c r="I1242" s="13" t="inlineStr">
        <is>
          <t>Não</t>
        </is>
      </c>
      <c r="J1242" s="13" t="n">
        <v>2019</v>
      </c>
      <c r="K1242" s="10" t="n">
        <v>46055</v>
      </c>
      <c r="L1242" s="13" t="n">
        <v>3</v>
      </c>
      <c r="M1242" s="8">
        <f>L1242*G1242</f>
        <v/>
      </c>
      <c r="P1242" s="9" t="n"/>
    </row>
    <row r="1243">
      <c r="A1243" s="13" t="inlineStr">
        <is>
          <t>Gateway Plaza / Praça do Portão</t>
        </is>
      </c>
      <c r="B1243" s="13" t="inlineStr">
        <is>
          <t>Land — Gate / Terreno — Portão</t>
        </is>
      </c>
      <c r="C1243" s="13" t="inlineStr">
        <is>
          <t>Common / Comum</t>
        </is>
      </c>
      <c r="D1243" s="13"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243" s="13" t="inlineStr">
        <is>
          <t>Incolor</t>
        </is>
      </c>
      <c r="G1243" s="8" t="n">
        <v>0.1</v>
      </c>
      <c r="H1243" s="13" t="inlineStr">
        <is>
          <t>Ravnica Allegiance (RNA)</t>
        </is>
      </c>
      <c r="I1243" s="13" t="inlineStr">
        <is>
          <t>Não</t>
        </is>
      </c>
      <c r="J1243" s="13" t="n">
        <v>2019</v>
      </c>
      <c r="L1243" s="13" t="n">
        <v>3</v>
      </c>
      <c r="M1243" s="8">
        <f>L1243*G1243</f>
        <v/>
      </c>
      <c r="P1243" s="9" t="n"/>
    </row>
    <row r="1244">
      <c r="A1244" s="13" t="inlineStr">
        <is>
          <t>Gather the Townsfolk / Reunir o Povo</t>
        </is>
      </c>
      <c r="B1244" s="13" t="inlineStr">
        <is>
          <t>Sorcery / Feitiço</t>
        </is>
      </c>
      <c r="C1244" s="13" t="inlineStr">
        <is>
          <t>Common / Comum</t>
        </is>
      </c>
      <c r="D1244" s="13"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1244" s="13" t="inlineStr">
        <is>
          <t>{1}{W}</t>
        </is>
      </c>
      <c r="F1244" s="13" t="inlineStr">
        <is>
          <t>Branco</t>
        </is>
      </c>
      <c r="G1244" s="8" t="n">
        <v>0.08</v>
      </c>
      <c r="H1244" s="13" t="inlineStr">
        <is>
          <t>Innistrad Remastered (INR)</t>
        </is>
      </c>
      <c r="I1244" s="13" t="inlineStr">
        <is>
          <t>Não</t>
        </is>
      </c>
      <c r="J1244" s="13" t="n">
        <v>2025</v>
      </c>
      <c r="L1244" s="13" t="n">
        <v>1</v>
      </c>
      <c r="M1244" s="8">
        <f>L1244*G1244</f>
        <v/>
      </c>
      <c r="P1244" s="9" t="n"/>
    </row>
    <row r="1245">
      <c r="A1245" s="13" t="inlineStr">
        <is>
          <t>Gato Preto / Black Cat</t>
        </is>
      </c>
      <c r="B1245" s="13" t="inlineStr">
        <is>
          <t>Criatura — Zumbi Felino / Creature — Zombie Cat</t>
        </is>
      </c>
      <c r="C1245" s="13" t="inlineStr">
        <is>
          <t>Comum / Common</t>
        </is>
      </c>
      <c r="D1245" s="13" t="inlineStr">
        <is>
          <t>Quando Gato Preto morre, o oponente alvo descarta um card aleatoriamente. / When Black Cat dies, target opponent discards a card at random.</t>
        </is>
      </c>
      <c r="E1245" s="13" t="inlineStr">
        <is>
          <t>{1}{B}</t>
        </is>
      </c>
      <c r="F1245" s="13" t="inlineStr">
        <is>
          <t>Preto / Black</t>
        </is>
      </c>
      <c r="G1245" s="8" t="n">
        <v>0.11</v>
      </c>
      <c r="H1245" s="13" t="inlineStr">
        <is>
          <t>Dark Ascension (DKA)</t>
        </is>
      </c>
      <c r="I1245" s="13" t="inlineStr">
        <is>
          <t>Não</t>
        </is>
      </c>
      <c r="J1245" s="13" t="n">
        <v>2012</v>
      </c>
      <c r="K1245" s="10" t="n">
        <v>46023</v>
      </c>
      <c r="L1245" s="13" t="n">
        <v>4</v>
      </c>
      <c r="M1245" s="8">
        <f>L1245*G1245</f>
        <v/>
      </c>
      <c r="P1245" s="9" t="n"/>
    </row>
    <row r="1246">
      <c r="A1246" s="13" t="inlineStr">
        <is>
          <t>Gaze of Pain / Olhar de Dor</t>
        </is>
      </c>
      <c r="B1246" s="13" t="inlineStr">
        <is>
          <t>Sorcery</t>
        </is>
      </c>
      <c r="C1246" s="13" t="inlineStr">
        <is>
          <t>Common / Comum</t>
        </is>
      </c>
      <c r="D1246" s="13" t="inlineStr">
        <is>
          <t>Until end of turn, whenever a creature you control attacks and isn't blocked, you may choose to have it deal damage equal to its power to a target creature. If you do, it assigns no combat damage this turn.</t>
        </is>
      </c>
      <c r="E1246" s="13" t="inlineStr">
        <is>
          <t>{1}{B}</t>
        </is>
      </c>
      <c r="F1246" s="13" t="inlineStr">
        <is>
          <t>Preto</t>
        </is>
      </c>
      <c r="G1246" s="8" t="n">
        <v>0.05</v>
      </c>
      <c r="H1246" s="13" t="inlineStr">
        <is>
          <t>Ice Age (ICE)</t>
        </is>
      </c>
      <c r="I1246" s="13" t="inlineStr">
        <is>
          <t>Não</t>
        </is>
      </c>
      <c r="J1246" s="13" t="n">
        <v>1995</v>
      </c>
      <c r="L1246" s="13" t="n">
        <v>2</v>
      </c>
      <c r="M1246" s="8">
        <f>L1246*G1246</f>
        <v/>
      </c>
      <c r="P1246" s="9" t="n"/>
    </row>
    <row r="1247">
      <c r="A1247" s="13" t="inlineStr">
        <is>
          <t>Gearseeker Serpent / Serpente Mecanívora</t>
        </is>
      </c>
      <c r="B1247" s="13" t="inlineStr">
        <is>
          <t>Creature — Serpent / Criatura — Serpente</t>
        </is>
      </c>
      <c r="C1247" s="13" t="inlineStr">
        <is>
          <t>Common / Comum</t>
        </is>
      </c>
      <c r="D1247" s="13"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1247" s="13" t="inlineStr">
        <is>
          <t>{5}{U}{U}</t>
        </is>
      </c>
      <c r="F1247" s="13" t="inlineStr">
        <is>
          <t>Azul</t>
        </is>
      </c>
      <c r="G1247" s="8" t="n">
        <v>0.1</v>
      </c>
      <c r="H1247" s="13" t="inlineStr">
        <is>
          <t>Aetherdrift (DFT)</t>
        </is>
      </c>
      <c r="I1247" s="13" t="inlineStr">
        <is>
          <t>Não</t>
        </is>
      </c>
      <c r="J1247" s="13" t="n">
        <v>2025</v>
      </c>
      <c r="K1247" s="10" t="n">
        <v>46178</v>
      </c>
      <c r="L1247" s="13" t="n">
        <v>2</v>
      </c>
      <c r="M1247" s="8">
        <f>L1247*G1247</f>
        <v/>
      </c>
      <c r="P1247" s="9" t="n"/>
    </row>
    <row r="1248">
      <c r="A1248" s="13" t="inlineStr">
        <is>
          <t>Gelar</t>
        </is>
      </c>
      <c r="B1248" s="13" t="inlineStr">
        <is>
          <t>Mágica Instantânea / Instant</t>
        </is>
      </c>
      <c r="C1248" s="13" t="inlineStr">
        <is>
          <t>Comum / Common</t>
        </is>
      </c>
      <c r="D1248" s="13" t="inlineStr">
        <is>
          <t>Negociar (Você pode sacrificar um artefato, um encantamento ou uma ficha conforme conjura esta mágica.) Esta mágica custa {1} a menos para conjurar se tiver sido negociada. Anule a mágica alvo.</t>
        </is>
      </c>
      <c r="E1248" s="13" t="inlineStr">
        <is>
          <t>{1}{U}{U}</t>
        </is>
      </c>
      <c r="F1248" s="13" t="inlineStr">
        <is>
          <t>Azul</t>
        </is>
      </c>
      <c r="G1248" s="8" t="n">
        <v>0.12</v>
      </c>
      <c r="H1248" s="13" t="inlineStr">
        <is>
          <t>Terras Selvagens de Eldraine (WOE)</t>
        </is>
      </c>
      <c r="I1248" s="13" t="inlineStr">
        <is>
          <t>Não</t>
        </is>
      </c>
      <c r="J1248" s="13" t="n">
        <v>2023</v>
      </c>
      <c r="L1248" s="13" t="n">
        <v>1</v>
      </c>
      <c r="M1248" s="8">
        <f>L1248*G1248</f>
        <v/>
      </c>
      <c r="P1248" s="9" t="n"/>
    </row>
    <row r="1249">
      <c r="A1249" s="13" t="inlineStr">
        <is>
          <t>General Traag, Heart of Stone</t>
        </is>
      </c>
      <c r="B1249" s="13" t="inlineStr">
        <is>
          <t>Legendary Artifact Creature — Elemental Soldier</t>
        </is>
      </c>
      <c r="C1249" s="13" t="inlineStr">
        <is>
          <t>Uncommon / Incomum</t>
        </is>
      </c>
      <c r="D1249" s="13" t="inlineStr">
        <is>
          <t>Trample When General Traag enters, you may sacrifice another artifact. When you do, General Traag deals 4 damage to target creature.</t>
        </is>
      </c>
      <c r="E1249" s="13" t="inlineStr">
        <is>
          <t>{3}{R}{R}</t>
        </is>
      </c>
      <c r="F1249" s="13" t="inlineStr">
        <is>
          <t>Vermelho</t>
        </is>
      </c>
      <c r="G1249" s="8" t="n">
        <v>0.13</v>
      </c>
      <c r="H1249" s="13" t="inlineStr">
        <is>
          <t>Teenage Mutant Ninja Turtles (TMT)</t>
        </is>
      </c>
      <c r="I1249" s="13" t="inlineStr">
        <is>
          <t>Não</t>
        </is>
      </c>
      <c r="J1249" s="13" t="n">
        <v>2026</v>
      </c>
      <c r="K1249" s="10" t="n">
        <v>46085</v>
      </c>
      <c r="L1249" s="13" t="n">
        <v>1</v>
      </c>
      <c r="M1249" s="8">
        <f>L1249*G1249</f>
        <v/>
      </c>
      <c r="P1249" s="9" t="n"/>
    </row>
    <row r="1250">
      <c r="A1250" s="13" t="inlineStr">
        <is>
          <t>Gênese Planar / Planar Genesis</t>
        </is>
      </c>
      <c r="B1250" s="13" t="inlineStr">
        <is>
          <t>Mágica Instantânea / Instant</t>
        </is>
      </c>
      <c r="C1250" s="13" t="inlineStr">
        <is>
          <t>Incomum / Uncommon</t>
        </is>
      </c>
      <c r="D1250" s="13"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1250" s="13" t="inlineStr">
        <is>
          <t>{G}{U}</t>
        </is>
      </c>
      <c r="F1250" s="13" t="inlineStr">
        <is>
          <t>Verde e Azul</t>
        </is>
      </c>
      <c r="G1250" s="8" t="n">
        <v>0.75</v>
      </c>
      <c r="H1250" s="13" t="inlineStr">
        <is>
          <t>Modern Horizons 3 (MH3)</t>
        </is>
      </c>
      <c r="I1250" s="13" t="inlineStr">
        <is>
          <t>Não</t>
        </is>
      </c>
      <c r="J1250" s="13" t="n">
        <v>2024</v>
      </c>
      <c r="L1250" s="13" t="n">
        <v>1</v>
      </c>
      <c r="M1250" s="8">
        <f>L1250*G1250</f>
        <v/>
      </c>
      <c r="P1250" s="9" t="n"/>
    </row>
    <row r="1251">
      <c r="A1251" s="13" t="inlineStr">
        <is>
          <t>Genghis Frog</t>
        </is>
      </c>
      <c r="B1251" s="13" t="inlineStr">
        <is>
          <t>Legendary Creature — Frog Mutant Rogue</t>
        </is>
      </c>
      <c r="C1251" s="13" t="inlineStr">
        <is>
          <t>Uncommon / Incomum</t>
        </is>
      </c>
      <c r="D1251" s="13" t="inlineStr">
        <is>
          <t>Trample Whenever Genghis Frog or another Mutant you control enters, create a Mutagen token. (It's an artifact with "{1}, {T}, Sacrifice this token: Put a +1/+1 counter on target creature. Activate only as a sorcery.")</t>
        </is>
      </c>
      <c r="E1251" s="13" t="inlineStr">
        <is>
          <t>{G}{U}</t>
        </is>
      </c>
      <c r="F1251" s="13" t="inlineStr">
        <is>
          <t>Verde, Azul</t>
        </is>
      </c>
      <c r="G1251" s="8" t="n">
        <v>0.14</v>
      </c>
      <c r="H1251" s="13" t="inlineStr">
        <is>
          <t>Teenage Mutant Ninja Turtles (TMT)</t>
        </is>
      </c>
      <c r="I1251" s="13" t="inlineStr">
        <is>
          <t>Não</t>
        </is>
      </c>
      <c r="J1251" s="13" t="n">
        <v>2026</v>
      </c>
      <c r="K1251" s="10" t="n">
        <v>46082</v>
      </c>
      <c r="L1251" s="13" t="n">
        <v>2</v>
      </c>
      <c r="M1251" s="8">
        <f>L1251*G1251</f>
        <v/>
      </c>
      <c r="P1251" s="9" t="n"/>
    </row>
    <row r="1252">
      <c r="A1252" s="13" t="inlineStr">
        <is>
          <t>Genju of the Falls / Genju das Cataratas</t>
        </is>
      </c>
      <c r="B1252" s="13" t="inlineStr">
        <is>
          <t>Enchantment — Aura / Encantar Ilha</t>
        </is>
      </c>
      <c r="C1252" s="13" t="inlineStr">
        <is>
          <t>Uncommon / Incomum</t>
        </is>
      </c>
      <c r="D1252" s="13"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252" s="13" t="inlineStr">
        <is>
          <t>{U}</t>
        </is>
      </c>
      <c r="F1252" s="13" t="inlineStr">
        <is>
          <t>Azul</t>
        </is>
      </c>
      <c r="G1252" s="8" t="n">
        <v>0.5</v>
      </c>
      <c r="H1252" s="13" t="inlineStr">
        <is>
          <t>Masters 25 (A25)</t>
        </is>
      </c>
      <c r="I1252" s="13" t="inlineStr">
        <is>
          <t>Sim</t>
        </is>
      </c>
      <c r="J1252" s="13" t="n">
        <v>2018</v>
      </c>
      <c r="L1252" s="13" t="n">
        <v>1</v>
      </c>
      <c r="M1252" s="8">
        <f>L1252*G1252</f>
        <v/>
      </c>
      <c r="P1252" s="9" t="n"/>
    </row>
    <row r="1253">
      <c r="A1253" s="13" t="inlineStr">
        <is>
          <t>Geothermal Kami / Kami Geotérmico</t>
        </is>
      </c>
      <c r="B1253" s="13" t="inlineStr">
        <is>
          <t>Creature — Spirit / Criatura — Espírito</t>
        </is>
      </c>
      <c r="C1253" s="13" t="inlineStr">
        <is>
          <t>Common / Comum</t>
        </is>
      </c>
      <c r="D1253" s="13"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1253" s="13" t="inlineStr">
        <is>
          <t>{3}{G}</t>
        </is>
      </c>
      <c r="F1253" s="13" t="inlineStr">
        <is>
          <t>Verde</t>
        </is>
      </c>
      <c r="G1253" s="8" t="n">
        <v>0.06</v>
      </c>
      <c r="H1253" s="8" t="inlineStr">
        <is>
          <t>Kamigawa: Neon Dynasty (NEO)</t>
        </is>
      </c>
      <c r="I1253" s="13" t="inlineStr">
        <is>
          <t>Não</t>
        </is>
      </c>
      <c r="J1253" s="13" t="n">
        <v>2022</v>
      </c>
      <c r="K1253" s="10" t="n">
        <v>46085</v>
      </c>
      <c r="L1253" s="13" t="n">
        <v>1</v>
      </c>
      <c r="M1253" s="8">
        <f>L1253*G1253</f>
        <v/>
      </c>
      <c r="P1253" s="9" t="n"/>
    </row>
    <row r="1254">
      <c r="A1254" s="13" t="inlineStr">
        <is>
          <t>Gerador de Carniçais / Ghoulraiser</t>
        </is>
      </c>
      <c r="B1254" s="13" t="inlineStr">
        <is>
          <t>Criatura — Zumbi / Creature — Zombie</t>
        </is>
      </c>
      <c r="C1254" s="13" t="inlineStr">
        <is>
          <t>Comum / Common</t>
        </is>
      </c>
      <c r="D1254" s="13" t="inlineStr">
        <is>
          <t>Quando Gerador de Carniçais entrar no campo de batalha, devolva um card de Zumbi de seu cemitério para sua mão aleatoriamente. / When Ghoulraiser enters the battlefield, return a Zombie card from your graveyard to your hand at random.</t>
        </is>
      </c>
      <c r="E1254" s="13" t="inlineStr">
        <is>
          <t>{1}{B}{B}</t>
        </is>
      </c>
      <c r="F1254" s="13" t="inlineStr">
        <is>
          <t>Preto</t>
        </is>
      </c>
      <c r="G1254" s="8" t="n">
        <v>1.31</v>
      </c>
      <c r="H1254" s="13" t="inlineStr">
        <is>
          <t>Innistrad (ISD)</t>
        </is>
      </c>
      <c r="I1254" s="13" t="inlineStr">
        <is>
          <t>Sim</t>
        </is>
      </c>
      <c r="J1254" s="13" t="n">
        <v>2011</v>
      </c>
      <c r="K1254" s="10" t="n">
        <v>46055</v>
      </c>
      <c r="L1254" s="13" t="n">
        <v>1</v>
      </c>
      <c r="M1254" s="8">
        <f>L1254*G1254</f>
        <v/>
      </c>
      <c r="P1254" s="9" t="n"/>
    </row>
    <row r="1255">
      <c r="A1255" s="13" t="inlineStr">
        <is>
          <t>Geyser Leaper</t>
        </is>
      </c>
      <c r="B1255" s="13" t="inlineStr">
        <is>
          <t>Creature — Human Warrior Ally</t>
        </is>
      </c>
      <c r="C1255" s="13" t="inlineStr">
        <is>
          <t>Common / Comum</t>
        </is>
      </c>
      <c r="D1255" s="13" t="inlineStr">
        <is>
          <t>Flying Waterbend {4}: Draw a card, then discard a card. (While paying a waterbend cost, you can tap your artifacts and creatures to help. Each one pays for {1}.)</t>
        </is>
      </c>
      <c r="E1255" s="13" t="inlineStr">
        <is>
          <t>{4}{U}</t>
        </is>
      </c>
      <c r="F1255" s="13" t="inlineStr">
        <is>
          <t>Azul</t>
        </is>
      </c>
      <c r="G1255" s="8" t="n">
        <v>0.05</v>
      </c>
      <c r="H1255" s="13" t="inlineStr">
        <is>
          <t>Avatar: The Last Airbender (TLA)</t>
        </is>
      </c>
      <c r="I1255" s="13" t="inlineStr">
        <is>
          <t>Não</t>
        </is>
      </c>
      <c r="J1255" s="13" t="n">
        <v>2025</v>
      </c>
      <c r="K1255" s="10" t="n">
        <v>46085</v>
      </c>
      <c r="L1255" s="13" t="n">
        <v>2</v>
      </c>
      <c r="M1255" s="8">
        <f>L1255*G1255</f>
        <v/>
      </c>
      <c r="P1255" s="9" t="n"/>
    </row>
    <row r="1256">
      <c r="A1256" s="13" t="inlineStr">
        <is>
          <t>Ghirapur Guide / Guia de Ghirapur</t>
        </is>
      </c>
      <c r="B1256" s="13" t="inlineStr">
        <is>
          <t>Creature — Elf Scout / Criatura — Elfo Batedor</t>
        </is>
      </c>
      <c r="C1256" s="13" t="inlineStr">
        <is>
          <t>Uncommon / Incomum</t>
        </is>
      </c>
      <c r="D1256" s="13" t="inlineStr">
        <is>
          <t>{2}{G}: Target creature you control can't be blocked by creatures with power 2 or less this turn. / {2}{G}: A criatura alvo que você controla não pode ser boqueada neste turno por criaturas com poder igual ou inferior a 2.</t>
        </is>
      </c>
      <c r="E1256" s="13" t="inlineStr">
        <is>
          <t>{2}{G}</t>
        </is>
      </c>
      <c r="F1256" s="13" t="inlineStr">
        <is>
          <t>Verde</t>
        </is>
      </c>
      <c r="G1256" s="8" t="n">
        <v>0.17</v>
      </c>
      <c r="H1256" s="13" t="inlineStr">
        <is>
          <t>Jumpstart (JMP)</t>
        </is>
      </c>
      <c r="I1256" s="13" t="inlineStr">
        <is>
          <t>Não</t>
        </is>
      </c>
      <c r="J1256" s="13" t="n">
        <v>2020</v>
      </c>
      <c r="K1256" s="10" t="n">
        <v>46056</v>
      </c>
      <c r="L1256" s="13" t="n">
        <v>1</v>
      </c>
      <c r="M1256" s="8">
        <f>L1256*G1256</f>
        <v/>
      </c>
      <c r="P1256" s="9" t="n"/>
    </row>
    <row r="1257">
      <c r="A1257" s="13" t="inlineStr">
        <is>
          <t>Ghitu Amplifier / Amplificadora Ghitu</t>
        </is>
      </c>
      <c r="B1257" s="13" t="inlineStr">
        <is>
          <t>Creature — Human Wizard / Criatura — Humano Mago</t>
        </is>
      </c>
      <c r="C1257" s="13" t="inlineStr">
        <is>
          <t>Common / Comum</t>
        </is>
      </c>
      <c r="D1257" s="13"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1257" s="13" t="inlineStr">
        <is>
          <t>{1}{R}</t>
        </is>
      </c>
      <c r="F1257" s="13" t="inlineStr">
        <is>
          <t>Vermelho</t>
        </is>
      </c>
      <c r="G1257" s="8" t="n">
        <v>0.05</v>
      </c>
      <c r="H1257" s="13" t="inlineStr">
        <is>
          <t>Dominaria United (DMU)</t>
        </is>
      </c>
      <c r="I1257" s="13" t="inlineStr">
        <is>
          <t>Não</t>
        </is>
      </c>
      <c r="J1257" s="13" t="n">
        <v>2022</v>
      </c>
      <c r="K1257" s="10" t="n">
        <v>46054</v>
      </c>
      <c r="L1257" s="13" t="n">
        <v>1</v>
      </c>
      <c r="M1257" s="8">
        <f>L1257*G1257</f>
        <v/>
      </c>
      <c r="P1257" s="9" t="n"/>
    </row>
    <row r="1258">
      <c r="A1258" s="13" t="inlineStr">
        <is>
          <t>Ghitu Encampment / Acampamento Ghitu</t>
        </is>
      </c>
      <c r="B1258" s="13" t="inlineStr">
        <is>
          <t>Terreno</t>
        </is>
      </c>
      <c r="C1258" s="13" t="inlineStr">
        <is>
          <t>Incomum</t>
        </is>
      </c>
      <c r="D1258" s="13" t="inlineStr">
        <is>
          <t>Ghitu Encampment entra no campo de batalha virado. T: Adicione R à sua reserva de mana. 1R: Ghitu Encampment torna-se uma criatura 2/1 vermelha do tipo Guerreiro com iniciativa até o final do turno. Ainda é um terreno.</t>
        </is>
      </c>
      <c r="E1258" s="13" t="inlineStr">
        <is>
          <t>Nenhum</t>
        </is>
      </c>
      <c r="F1258" s="13" t="inlineStr">
        <is>
          <t>Vermelho</t>
        </is>
      </c>
      <c r="G1258" s="8" t="n">
        <v>0.44</v>
      </c>
      <c r="H1258" s="13" t="inlineStr">
        <is>
          <t>Duel Decks: Speed vs. Cunning</t>
        </is>
      </c>
      <c r="I1258" s="13" t="inlineStr">
        <is>
          <t>Não</t>
        </is>
      </c>
      <c r="J1258" s="13" t="n">
        <v>2014</v>
      </c>
      <c r="L1258" s="13" t="n">
        <v>1</v>
      </c>
      <c r="M1258" s="8">
        <f>L1258*G1258</f>
        <v/>
      </c>
      <c r="P1258" s="9" t="n"/>
    </row>
    <row r="1259">
      <c r="A1259" s="13" t="inlineStr">
        <is>
          <t>Ghost, Spectral Saboteur / Fantasma, Sabotador Espectral</t>
        </is>
      </c>
      <c r="B1259" s="13" t="inlineStr">
        <is>
          <t>Criatura Lendária — Humano Ladino Vilão</t>
        </is>
      </c>
      <c r="C1259" s="13" t="inlineStr">
        <is>
          <t>Incomum</t>
        </is>
      </c>
      <c r="D1259" s="13" t="inlineStr">
        <is>
          <t>Lampejo. Intangibilidade — Fantasma não pode ser bloqueado.</t>
        </is>
      </c>
      <c r="E1259" s="13" t="inlineStr">
        <is>
          <t>2{U/B}</t>
        </is>
      </c>
      <c r="F1259" s="13" t="inlineStr">
        <is>
          <t>Multicolorido</t>
        </is>
      </c>
      <c r="G1259" s="8" t="n">
        <v>0.44</v>
      </c>
      <c r="H1259" s="13" t="inlineStr">
        <is>
          <t>Marvel</t>
        </is>
      </c>
      <c r="I1259" s="13" t="inlineStr">
        <is>
          <t>Não</t>
        </is>
      </c>
      <c r="J1259" s="13" t="n">
        <v>2026</v>
      </c>
      <c r="K1259" s="10" t="n">
        <v>46055</v>
      </c>
      <c r="L1259" s="13" t="n">
        <v>1</v>
      </c>
      <c r="M1259" s="8">
        <f>L1259*G1259</f>
        <v/>
      </c>
      <c r="P1259" s="9" t="n"/>
    </row>
    <row r="1260">
      <c r="A1260" s="13" t="inlineStr">
        <is>
          <t>Ghostly Keybearer</t>
        </is>
      </c>
      <c r="B1260" s="13" t="inlineStr">
        <is>
          <t>Creature — Spirit</t>
        </is>
      </c>
      <c r="C1260" s="13" t="inlineStr">
        <is>
          <t>Uncommon / Incomum</t>
        </is>
      </c>
      <c r="D1260" s="13" t="inlineStr">
        <is>
          <t>Flying Whenever this creature deals combat damage to a player, unlock a locked door of up to one target Room you control.</t>
        </is>
      </c>
      <c r="E1260" s="13" t="inlineStr">
        <is>
          <t>{3}{U}</t>
        </is>
      </c>
      <c r="F1260" s="13" t="inlineStr">
        <is>
          <t>Azul</t>
        </is>
      </c>
      <c r="G1260" s="8" t="n">
        <v>0.05</v>
      </c>
      <c r="H1260" s="13" t="inlineStr">
        <is>
          <t>Duskmourn: House of Horror (DSK)</t>
        </is>
      </c>
      <c r="I1260" s="13" t="inlineStr">
        <is>
          <t>Não</t>
        </is>
      </c>
      <c r="J1260" s="13" t="n">
        <v>2024</v>
      </c>
      <c r="K1260" s="10" t="n">
        <v>46084</v>
      </c>
      <c r="L1260" s="13" t="n">
        <v>1</v>
      </c>
      <c r="M1260" s="8">
        <f>L1260*G1260</f>
        <v/>
      </c>
      <c r="P1260" s="9" t="n"/>
    </row>
    <row r="1261">
      <c r="A1261" s="13" t="inlineStr">
        <is>
          <t>Giant Cockroach / Barata Gigante</t>
        </is>
      </c>
      <c r="B1261" s="13" t="inlineStr">
        <is>
          <t>Creature — Insect / Criatura — Inseto</t>
        </is>
      </c>
      <c r="C1261" s="13" t="inlineStr">
        <is>
          <t>Common / Comum</t>
        </is>
      </c>
      <c r="E1261" s="13" t="inlineStr">
        <is>
          <t>{3}{B}</t>
        </is>
      </c>
      <c r="F1261" s="13" t="inlineStr">
        <is>
          <t>Preto</t>
        </is>
      </c>
      <c r="G1261" s="8" t="n">
        <v>0.09</v>
      </c>
      <c r="H1261" s="13" t="inlineStr">
        <is>
          <t>Oitava Edição</t>
        </is>
      </c>
      <c r="I1261" s="13" t="inlineStr">
        <is>
          <t>Não</t>
        </is>
      </c>
      <c r="J1261" s="13" t="n">
        <v>2003</v>
      </c>
      <c r="K1261" s="10" t="n">
        <v>46057</v>
      </c>
      <c r="L1261" s="13" t="n">
        <v>1</v>
      </c>
      <c r="M1261" s="8">
        <f>L1261*G1261</f>
        <v/>
      </c>
      <c r="P1261" s="9" t="n"/>
    </row>
    <row r="1262">
      <c r="A1262" s="13" t="inlineStr">
        <is>
          <t>Giant Cockroach / Barata Gigante</t>
        </is>
      </c>
      <c r="B1262" s="13" t="inlineStr">
        <is>
          <t>Creature — Insect / Criatura — Inseto</t>
        </is>
      </c>
      <c r="C1262" s="13" t="inlineStr">
        <is>
          <t>Common / Comum</t>
        </is>
      </c>
      <c r="E1262" s="13" t="inlineStr">
        <is>
          <t>{3}{B}</t>
        </is>
      </c>
      <c r="F1262" s="13" t="inlineStr">
        <is>
          <t>Preto</t>
        </is>
      </c>
      <c r="G1262" s="8" t="n">
        <v>14.99</v>
      </c>
      <c r="H1262" s="13" t="inlineStr">
        <is>
          <t>Urza's Legacy (ULG)</t>
        </is>
      </c>
      <c r="I1262" s="13" t="inlineStr">
        <is>
          <t>Sim</t>
        </is>
      </c>
      <c r="J1262" s="13" t="n">
        <v>1999</v>
      </c>
      <c r="K1262" s="10" t="n">
        <v>46057</v>
      </c>
      <c r="L1262" s="13" t="n">
        <v>1</v>
      </c>
      <c r="M1262" s="8">
        <f>L1262*G1262</f>
        <v/>
      </c>
      <c r="P1262" s="9" t="n"/>
    </row>
    <row r="1263">
      <c r="A1263" s="13" t="inlineStr">
        <is>
          <t>Giant Growth / Crescimento Desenfreado</t>
        </is>
      </c>
      <c r="B1263" s="13" t="inlineStr">
        <is>
          <t>Instant / Mágica Instantânea</t>
        </is>
      </c>
      <c r="C1263" s="13" t="inlineStr">
        <is>
          <t>Common / Comum</t>
        </is>
      </c>
      <c r="D1263" s="13" t="inlineStr">
        <is>
          <t>Target creature gets +3/+3 until end of turn. / A criatura alvo recebe +3/+3 até o final do turno.</t>
        </is>
      </c>
      <c r="E1263" s="13" t="inlineStr">
        <is>
          <t>{G}</t>
        </is>
      </c>
      <c r="F1263" s="13" t="inlineStr">
        <is>
          <t>Verde</t>
        </is>
      </c>
      <c r="G1263" s="8" t="n">
        <v>0.39</v>
      </c>
      <c r="H1263" s="13" t="inlineStr">
        <is>
          <t>Foundations (FDN)</t>
        </is>
      </c>
      <c r="I1263" s="13" t="inlineStr">
        <is>
          <t>Sim</t>
        </is>
      </c>
      <c r="J1263" s="13" t="n">
        <v>2024</v>
      </c>
      <c r="L1263" s="13" t="n">
        <v>1</v>
      </c>
      <c r="M1263" s="8">
        <f>L1263*G1263</f>
        <v/>
      </c>
      <c r="P1263" s="9" t="n"/>
    </row>
    <row r="1264">
      <c r="A1264" s="13" t="inlineStr">
        <is>
          <t>Giant Koi</t>
        </is>
      </c>
      <c r="B1264" s="13" t="inlineStr">
        <is>
          <t>Creature — Fish</t>
        </is>
      </c>
      <c r="C1264" s="13" t="inlineStr">
        <is>
          <t>Common / Comum</t>
        </is>
      </c>
      <c r="D1264" s="13"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1264" s="13" t="inlineStr">
        <is>
          <t>{4}{U}{U}</t>
        </is>
      </c>
      <c r="F1264" s="13" t="inlineStr">
        <is>
          <t>Azul</t>
        </is>
      </c>
      <c r="G1264" s="8" t="n">
        <v>0.05</v>
      </c>
      <c r="H1264" s="13" t="inlineStr">
        <is>
          <t>Avatar: The Last Airbender (TLA)</t>
        </is>
      </c>
      <c r="I1264" s="13" t="inlineStr">
        <is>
          <t>Não</t>
        </is>
      </c>
      <c r="J1264" s="13" t="n">
        <v>2025</v>
      </c>
      <c r="K1264" s="10" t="n">
        <v>46208</v>
      </c>
      <c r="L1264" s="13" t="n">
        <v>3</v>
      </c>
      <c r="M1264" s="8">
        <f>L1264*G1264</f>
        <v/>
      </c>
      <c r="P1264" s="9" t="n"/>
    </row>
    <row r="1265">
      <c r="A1265" s="13" t="inlineStr">
        <is>
          <t>Giant Slug</t>
        </is>
      </c>
      <c r="B1265" s="13" t="inlineStr">
        <is>
          <t>Creature — Slug</t>
        </is>
      </c>
      <c r="C1265" s="13" t="inlineStr">
        <is>
          <t>Common / Comum</t>
        </is>
      </c>
      <c r="D1265" s="13" t="inlineStr">
        <is>
          <t>{5}: At the beginning of your next upkeep, choose a basic land type. This creature gains landwalk of the chosen type until the end of that turn. (It can't be blocked as long as defending player controls a land of that type.)</t>
        </is>
      </c>
      <c r="E1265" s="13" t="inlineStr">
        <is>
          <t>{1}{B}</t>
        </is>
      </c>
      <c r="F1265" s="13" t="inlineStr">
        <is>
          <t>Preto</t>
        </is>
      </c>
      <c r="G1265" s="8" t="n">
        <v>0.5</v>
      </c>
      <c r="H1265" s="13" t="inlineStr">
        <is>
          <t>Legends (LEG)</t>
        </is>
      </c>
      <c r="I1265" s="13" t="inlineStr">
        <is>
          <t>Não</t>
        </is>
      </c>
      <c r="J1265" s="13" t="n">
        <v>1994</v>
      </c>
      <c r="K1265" s="10" t="n">
        <v>46023</v>
      </c>
      <c r="L1265" s="13" t="n">
        <v>1</v>
      </c>
      <c r="M1265" s="8">
        <f>L1265*G1265</f>
        <v/>
      </c>
      <c r="P1265" s="9" t="n"/>
    </row>
    <row r="1266">
      <c r="A1266" s="13" t="inlineStr">
        <is>
          <t>Giant Strength / Força do Gigante</t>
        </is>
      </c>
      <c r="B1266" s="13" t="inlineStr">
        <is>
          <t>Enchantment — Aura</t>
        </is>
      </c>
      <c r="C1266" s="13" t="inlineStr">
        <is>
          <t>Common / Comum</t>
        </is>
      </c>
      <c r="D1266" s="13" t="inlineStr">
        <is>
          <t>Enchant creature Enchanted creature gets +2/+2.</t>
        </is>
      </c>
      <c r="E1266" s="13" t="inlineStr">
        <is>
          <t>{R}{R}</t>
        </is>
      </c>
      <c r="F1266" s="13" t="inlineStr">
        <is>
          <t>Vermelho</t>
        </is>
      </c>
      <c r="G1266" s="8" t="n">
        <v>0.08</v>
      </c>
      <c r="H1266" s="13" t="inlineStr">
        <is>
          <t>Quarta Edição</t>
        </is>
      </c>
      <c r="I1266" s="13" t="inlineStr">
        <is>
          <t>Não</t>
        </is>
      </c>
      <c r="J1266" s="13" t="n">
        <v>1995</v>
      </c>
      <c r="L1266" s="13" t="n">
        <v>4</v>
      </c>
      <c r="M1266" s="8">
        <f>L1266*G1266</f>
        <v/>
      </c>
      <c r="P1266" s="9" t="n"/>
    </row>
    <row r="1267">
      <c r="A1267" s="13" t="inlineStr">
        <is>
          <t>Giant Strength / Força do Gigante</t>
        </is>
      </c>
      <c r="B1267" s="13" t="inlineStr">
        <is>
          <t>Enchantment — Aura</t>
        </is>
      </c>
      <c r="C1267" s="13" t="inlineStr">
        <is>
          <t>Common / Comum</t>
        </is>
      </c>
      <c r="D1267" s="13" t="inlineStr">
        <is>
          <t>Enchant creature Enchanted creature gets +2/+2.</t>
        </is>
      </c>
      <c r="E1267" s="13" t="inlineStr">
        <is>
          <t>{R}{R}</t>
        </is>
      </c>
      <c r="F1267" s="13" t="inlineStr">
        <is>
          <t>Vermelho</t>
        </is>
      </c>
      <c r="G1267" s="8" t="n">
        <v>0.09</v>
      </c>
      <c r="H1267" s="13" t="inlineStr">
        <is>
          <t>Quarta Edição (BB)</t>
        </is>
      </c>
      <c r="I1267" s="13" t="inlineStr">
        <is>
          <t>Não</t>
        </is>
      </c>
      <c r="J1267" s="13" t="n">
        <v>1995</v>
      </c>
      <c r="L1267" s="13" t="n">
        <v>2</v>
      </c>
      <c r="M1267" s="8">
        <f>L1267*G1267</f>
        <v/>
      </c>
      <c r="P1267" s="9" t="n"/>
    </row>
    <row r="1268">
      <c r="A1268" s="13" t="inlineStr">
        <is>
          <t>Gideon's Lawkeeper / Guardião da Lei de Gideon</t>
        </is>
      </c>
      <c r="B1268" s="13" t="inlineStr">
        <is>
          <t>Creature — Human Soldier / Criatura — Humano Soldado</t>
        </is>
      </c>
      <c r="C1268" s="13" t="inlineStr">
        <is>
          <t>Common / Comum</t>
        </is>
      </c>
      <c r="D1268" s="13" t="inlineStr">
        <is>
          <t>{W}, {T}: Tap target creature. / {W}, {T}: Vire a criatura alvo.</t>
        </is>
      </c>
      <c r="E1268" s="13" t="inlineStr">
        <is>
          <t>{W}</t>
        </is>
      </c>
      <c r="F1268" s="13" t="inlineStr">
        <is>
          <t>Branco</t>
        </is>
      </c>
      <c r="G1268" s="8" t="n">
        <v>0.32</v>
      </c>
      <c r="H1268" s="13" t="inlineStr">
        <is>
          <t>Modern Masters 2017 (MM3)</t>
        </is>
      </c>
      <c r="I1268" s="13" t="inlineStr">
        <is>
          <t>Sim</t>
        </is>
      </c>
      <c r="J1268" s="13" t="n">
        <v>2017</v>
      </c>
      <c r="K1268" s="10" t="n">
        <v>46023</v>
      </c>
      <c r="L1268" s="13" t="n">
        <v>1</v>
      </c>
      <c r="M1268" s="8">
        <f>L1268*G1268</f>
        <v/>
      </c>
      <c r="P1268" s="9" t="n"/>
    </row>
    <row r="1269">
      <c r="A1269" s="13" t="inlineStr">
        <is>
          <t>Gideon's Triumph / Triunfo de Gideon</t>
        </is>
      </c>
      <c r="B1269" s="13" t="inlineStr">
        <is>
          <t>Instant / Mágica Instantânea</t>
        </is>
      </c>
      <c r="C1269" s="13" t="inlineStr">
        <is>
          <t>Uncommon / Incomum</t>
        </is>
      </c>
      <c r="D1269" s="13"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1269" s="13" t="inlineStr">
        <is>
          <t>{1}{W}</t>
        </is>
      </c>
      <c r="F1269" s="13" t="inlineStr">
        <is>
          <t>Branco</t>
        </is>
      </c>
      <c r="G1269" s="8" t="n">
        <v>0.06</v>
      </c>
      <c r="H1269" s="13" t="inlineStr">
        <is>
          <t>War of the Spark (WAR)</t>
        </is>
      </c>
      <c r="I1269" s="13" t="inlineStr">
        <is>
          <t>Não</t>
        </is>
      </c>
      <c r="J1269" s="13" t="n">
        <v>2019</v>
      </c>
      <c r="L1269" s="13" t="n">
        <v>1</v>
      </c>
      <c r="M1269" s="8">
        <f>L1269*G1269</f>
        <v/>
      </c>
      <c r="P1269" s="9" t="n"/>
    </row>
    <row r="1270">
      <c r="A1270" s="13" t="inlineStr">
        <is>
          <t>Gift of Strength / Dádiva da Força</t>
        </is>
      </c>
      <c r="B1270" s="13" t="inlineStr">
        <is>
          <t>Instant / Mágica Instantânea</t>
        </is>
      </c>
      <c r="C1270" s="13" t="inlineStr">
        <is>
          <t>Common / Comum</t>
        </is>
      </c>
      <c r="D1270" s="13" t="inlineStr">
        <is>
          <t>Target creature gets +3/+3 and gains reach until end of turn. / A criatura alvo recebe +3/+3 e ganha alcance até o final do turno.</t>
        </is>
      </c>
      <c r="E1270" s="13" t="inlineStr">
        <is>
          <t>{1}{G}</t>
        </is>
      </c>
      <c r="F1270" s="13" t="inlineStr">
        <is>
          <t>Verde</t>
        </is>
      </c>
      <c r="G1270" s="8" t="n">
        <v>0.03</v>
      </c>
      <c r="H1270" s="13" t="inlineStr">
        <is>
          <t>Hour of Devastation (HOU)</t>
        </is>
      </c>
      <c r="I1270" s="13" t="inlineStr">
        <is>
          <t>Não</t>
        </is>
      </c>
      <c r="J1270" s="13" t="n">
        <v>2017</v>
      </c>
      <c r="L1270" s="13" t="n">
        <v>4</v>
      </c>
      <c r="M1270" s="8">
        <f>L1270*G1270</f>
        <v/>
      </c>
      <c r="P1270" s="9" t="n"/>
    </row>
    <row r="1271">
      <c r="A1271" s="13" t="inlineStr">
        <is>
          <t>Gift of the Viper / Presente da Víbora</t>
        </is>
      </c>
      <c r="B1271" s="13" t="inlineStr">
        <is>
          <t>Instant / Mágica Instantânea</t>
        </is>
      </c>
      <c r="C1271" s="13" t="inlineStr">
        <is>
          <t>Common / Comum</t>
        </is>
      </c>
      <c r="D1271" s="13" t="inlineStr">
        <is>
          <t>Put a +1/+1 counter, a reach counter, and a deathtouch counter on target creature. Untap it. / Coloque um marcador +1/+1, um marcador de alcance e um marcador de toque mortífero na criatura alvo. Desvire aquela criatura.</t>
        </is>
      </c>
      <c r="E1271" s="13" t="inlineStr">
        <is>
          <t>{G}</t>
        </is>
      </c>
      <c r="F1271" s="13" t="inlineStr">
        <is>
          <t>Verde</t>
        </is>
      </c>
      <c r="G1271" s="8" t="n">
        <v>0.11</v>
      </c>
      <c r="H1271" s="13" t="inlineStr">
        <is>
          <t>Modern Horizons 3 (MH3)</t>
        </is>
      </c>
      <c r="I1271" s="13" t="inlineStr">
        <is>
          <t>Não</t>
        </is>
      </c>
      <c r="J1271" s="13" t="n">
        <v>2024</v>
      </c>
      <c r="L1271" s="13" t="n">
        <v>1</v>
      </c>
      <c r="M1271" s="8">
        <f>L1271*G1271</f>
        <v/>
      </c>
      <c r="P1271" s="9" t="n"/>
    </row>
    <row r="1272">
      <c r="A1272" s="13" t="inlineStr">
        <is>
          <t>Gift of Wrath / Dádiva da Ira</t>
        </is>
      </c>
      <c r="B1272" s="13" t="inlineStr">
        <is>
          <t>Enchantment — Aura / Encantamento — Aura</t>
        </is>
      </c>
      <c r="C1272" s="13" t="inlineStr">
        <is>
          <t>Common / Comum</t>
        </is>
      </c>
      <c r="D1272" s="13"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272" s="13" t="inlineStr">
        <is>
          <t>{3}{R}</t>
        </is>
      </c>
      <c r="F1272" s="13" t="inlineStr">
        <is>
          <t>Vermelho</t>
        </is>
      </c>
      <c r="G1272" s="8" t="n">
        <v>0.06</v>
      </c>
      <c r="H1272" s="13" t="inlineStr">
        <is>
          <t>Kamigawa: Neon Dynasty (NEO)</t>
        </is>
      </c>
      <c r="I1272" s="13" t="inlineStr">
        <is>
          <t>Não</t>
        </is>
      </c>
      <c r="J1272" s="13" t="n">
        <v>2022</v>
      </c>
      <c r="L1272" s="13" t="n">
        <v>1</v>
      </c>
      <c r="M1272" s="8">
        <f>L1272*G1272</f>
        <v/>
      </c>
      <c r="P1272" s="9" t="n"/>
    </row>
    <row r="1273">
      <c r="A1273" s="13" t="inlineStr">
        <is>
          <t>Gigantoad</t>
        </is>
      </c>
      <c r="B1273" s="13" t="inlineStr">
        <is>
          <t>Creature — Frog</t>
        </is>
      </c>
      <c r="C1273" s="13" t="inlineStr">
        <is>
          <t>Comum</t>
        </is>
      </c>
      <c r="D1273" s="13" t="inlineStr">
        <is>
          <t>As long as you control seven or more lands, this creature gets +2/+2.</t>
        </is>
      </c>
      <c r="E1273" s="13" t="inlineStr">
        <is>
          <t>3G</t>
        </is>
      </c>
      <c r="F1273" s="13" t="inlineStr">
        <is>
          <t>Verde</t>
        </is>
      </c>
      <c r="G1273" s="8" t="n">
        <v>0.04</v>
      </c>
      <c r="H1273" s="13" t="inlineStr">
        <is>
          <t>Final Fantasy (FFXV)</t>
        </is>
      </c>
      <c r="I1273" s="13" t="inlineStr">
        <is>
          <t>Não</t>
        </is>
      </c>
      <c r="J1273" s="13" t="n">
        <v>2025</v>
      </c>
      <c r="K1273" s="10" t="n">
        <v>46116</v>
      </c>
      <c r="L1273" s="13" t="n">
        <v>4</v>
      </c>
      <c r="M1273" s="8">
        <f>L1273*G1273</f>
        <v/>
      </c>
      <c r="P1273" s="9" t="n"/>
    </row>
    <row r="1274">
      <c r="A1274" s="13" t="inlineStr">
        <is>
          <t>Gilded Ghoda</t>
        </is>
      </c>
      <c r="B1274" s="13" t="inlineStr">
        <is>
          <t>Creature — Horse Mount</t>
        </is>
      </c>
      <c r="C1274" s="13" t="inlineStr">
        <is>
          <t>Common / Comum</t>
        </is>
      </c>
      <c r="D1274" s="13"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1274" s="13" t="inlineStr">
        <is>
          <t>{1}{R}</t>
        </is>
      </c>
      <c r="F1274" s="13" t="inlineStr">
        <is>
          <t>Vermelho</t>
        </is>
      </c>
      <c r="G1274" s="8" t="n">
        <v>0.1</v>
      </c>
      <c r="H1274" s="13" t="inlineStr">
        <is>
          <t>Aetherdrift (DFT)</t>
        </is>
      </c>
      <c r="I1274" s="13" t="inlineStr">
        <is>
          <t>Não</t>
        </is>
      </c>
      <c r="J1274" s="13" t="n">
        <v>2025</v>
      </c>
      <c r="K1274" s="10" t="n">
        <v>46055</v>
      </c>
      <c r="L1274" s="13" t="n">
        <v>2</v>
      </c>
      <c r="M1274" s="8">
        <f>L1274*G1274</f>
        <v/>
      </c>
      <c r="P1274" s="9" t="n"/>
    </row>
    <row r="1275">
      <c r="A1275" s="13" t="inlineStr">
        <is>
          <t>Gilgamesh, Master-at-Arms / Gilgamesh, Mestre de Armas</t>
        </is>
      </c>
      <c r="B1275" s="13" t="inlineStr">
        <is>
          <t>Criatura Lendária — Humano Samurai</t>
        </is>
      </c>
      <c r="C1275" s="13" t="inlineStr">
        <is>
          <t>Rara</t>
        </is>
      </c>
      <c r="D1275" s="13"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275" s="13" t="inlineStr">
        <is>
          <t>4RR</t>
        </is>
      </c>
      <c r="F1275" s="13" t="inlineStr">
        <is>
          <t>Vermelho</t>
        </is>
      </c>
      <c r="G1275" s="8" t="n">
        <v>1.8</v>
      </c>
      <c r="H1275" s="13" t="inlineStr">
        <is>
          <t>Final Fantasy</t>
        </is>
      </c>
      <c r="I1275" s="13" t="inlineStr">
        <is>
          <t>Não</t>
        </is>
      </c>
      <c r="J1275" s="13" t="n">
        <v>2025</v>
      </c>
      <c r="K1275" s="10" t="n">
        <v>46179</v>
      </c>
      <c r="L1275" s="13" t="n">
        <v>1</v>
      </c>
      <c r="M1275" s="8">
        <f>L1275*G1275</f>
        <v/>
      </c>
      <c r="P1275" s="9" t="n"/>
    </row>
    <row r="1276">
      <c r="A1276" s="13" t="inlineStr">
        <is>
          <t>Gilt-Leaf's Embrace</t>
        </is>
      </c>
      <c r="B1276" s="13" t="inlineStr">
        <is>
          <t>Enchantment — Aura</t>
        </is>
      </c>
      <c r="C1276" s="13" t="inlineStr">
        <is>
          <t>Common</t>
        </is>
      </c>
      <c r="D1276" s="13" t="inlineStr">
        <is>
          <t>Flash. Enchant creature. When this Aura enters, enchanted creature gains trample and indestructible until end of turn. Enchanted creature gets +2/+0.</t>
        </is>
      </c>
      <c r="E1276" s="13" t="inlineStr">
        <is>
          <t>{2}{G}</t>
        </is>
      </c>
      <c r="F1276" s="13" t="inlineStr">
        <is>
          <t>Verde</t>
        </is>
      </c>
      <c r="G1276" s="8" t="n">
        <v>0.08</v>
      </c>
      <c r="H1276" s="13" t="inlineStr">
        <is>
          <t>Lorwyn Eclipsed (ECL)</t>
        </is>
      </c>
      <c r="I1276" s="13" t="inlineStr">
        <is>
          <t>Não</t>
        </is>
      </c>
      <c r="J1276" s="13" t="n">
        <v>2026</v>
      </c>
      <c r="L1276" s="13" t="n">
        <v>2</v>
      </c>
      <c r="M1276" s="8">
        <f>L1276*G1276</f>
        <v/>
      </c>
      <c r="P1276" s="9" t="n"/>
    </row>
    <row r="1277">
      <c r="A1277" s="13" t="inlineStr">
        <is>
          <t>Gilt-Leaf's Embrace</t>
        </is>
      </c>
      <c r="B1277" s="13" t="inlineStr">
        <is>
          <t>Enchantment — Aura</t>
        </is>
      </c>
      <c r="C1277" s="13" t="inlineStr">
        <is>
          <t>Common</t>
        </is>
      </c>
      <c r="D1277" s="13" t="inlineStr">
        <is>
          <t>Flash. Enchant creature. When this Aura enters, enchanted creature gains trample and indestructible until end of turn. Enchanted creature gets +2/+0.</t>
        </is>
      </c>
      <c r="E1277" s="13" t="inlineStr">
        <is>
          <t>{2}{G}</t>
        </is>
      </c>
      <c r="F1277" s="13" t="inlineStr">
        <is>
          <t>Verde</t>
        </is>
      </c>
      <c r="G1277" s="8" t="n">
        <v>0.35</v>
      </c>
      <c r="H1277" s="13" t="inlineStr">
        <is>
          <t>Lorwyn Eclipsed (ECL)</t>
        </is>
      </c>
      <c r="I1277" s="13" t="inlineStr">
        <is>
          <t>Sim</t>
        </is>
      </c>
      <c r="J1277" s="13" t="n">
        <v>2026</v>
      </c>
      <c r="L1277" s="13" t="n">
        <v>1</v>
      </c>
      <c r="M1277" s="8">
        <f>L1277*G1277</f>
        <v/>
      </c>
      <c r="P1277" s="9" t="n"/>
    </row>
    <row r="1278">
      <c r="A1278" s="13" t="inlineStr">
        <is>
          <t>Gimli, Contador de Abantes / Gimli, Counter of Kills</t>
        </is>
      </c>
      <c r="B1278" s="13" t="inlineStr">
        <is>
          <t>Criatura Lendária — Anão Guerreiro</t>
        </is>
      </c>
      <c r="C1278" s="13" t="inlineStr">
        <is>
          <t>Incomum</t>
        </is>
      </c>
      <c r="D1278" s="13" t="inlineStr">
        <is>
          <t>Atropelar. Toda vez que uma criatura que um oponente controla morre, Gimli, Contador de Abantes, causa 1 ponto de dano ao controlador daquela criatura.</t>
        </is>
      </c>
      <c r="E1278" s="13" t="inlineStr">
        <is>
          <t>3{R}</t>
        </is>
      </c>
      <c r="F1278" s="13" t="inlineStr">
        <is>
          <t>Vermelho</t>
        </is>
      </c>
      <c r="G1278" s="8" t="n">
        <v>0.23</v>
      </c>
      <c r="H1278" s="13" t="inlineStr">
        <is>
          <t>The Lord of the Rings: Tales of Middle-earth (LTR)</t>
        </is>
      </c>
      <c r="I1278" s="13" t="inlineStr">
        <is>
          <t>Não</t>
        </is>
      </c>
      <c r="J1278" s="13" t="n">
        <v>2023</v>
      </c>
      <c r="K1278" s="10" t="n">
        <v>46085</v>
      </c>
      <c r="L1278" s="13" t="n">
        <v>2</v>
      </c>
      <c r="M1278" s="8">
        <f>L1278*G1278</f>
        <v/>
      </c>
      <c r="P1278" s="9" t="n"/>
    </row>
    <row r="1279">
      <c r="A1279" s="13" t="inlineStr">
        <is>
          <t>Giott, King of the Dwarves</t>
        </is>
      </c>
      <c r="B1279" s="13" t="inlineStr">
        <is>
          <t>Legendary Creature — Dwarf Noble</t>
        </is>
      </c>
      <c r="C1279" s="13" t="inlineStr">
        <is>
          <t>Incomum</t>
        </is>
      </c>
      <c r="D1279" s="13" t="inlineStr">
        <is>
          <t>Double strike Whenever Giott or another Dwarf you control enters and whenever an Equipment you control enters, you may discard a card. If you do, draw a card.</t>
        </is>
      </c>
      <c r="E1279" s="13" t="inlineStr">
        <is>
          <t>RW</t>
        </is>
      </c>
      <c r="F1279" s="13" t="inlineStr">
        <is>
          <t>Vermelha e Branca</t>
        </is>
      </c>
      <c r="G1279" s="8" t="n">
        <v>0.19</v>
      </c>
      <c r="H1279" s="13" t="inlineStr">
        <is>
          <t>Final Fantasy (FFIV)</t>
        </is>
      </c>
      <c r="I1279" s="13" t="inlineStr">
        <is>
          <t>Não</t>
        </is>
      </c>
      <c r="J1279" s="13" t="n">
        <v>2025</v>
      </c>
      <c r="K1279" s="10" t="n">
        <v>46023</v>
      </c>
      <c r="L1279" s="13" t="n">
        <v>1</v>
      </c>
      <c r="M1279" s="8">
        <f>L1279*G1279</f>
        <v/>
      </c>
      <c r="P1279" s="9" t="n"/>
    </row>
    <row r="1280">
      <c r="A1280" s="13" t="inlineStr">
        <is>
          <t>Glaciers</t>
        </is>
      </c>
      <c r="B1280" s="13" t="inlineStr">
        <is>
          <t>Enchantment</t>
        </is>
      </c>
      <c r="C1280" s="13" t="inlineStr">
        <is>
          <t>Rara / Rare</t>
        </is>
      </c>
      <c r="D1280" s="13" t="inlineStr">
        <is>
          <t>During your upkeep, pay {W}{U} or destroy Glaciers. All mountains become plains.</t>
        </is>
      </c>
      <c r="E1280" s="13" t="inlineStr">
        <is>
          <t>{2}{W}{U}</t>
        </is>
      </c>
      <c r="F1280" s="13" t="inlineStr">
        <is>
          <t>Branco e Azul / White and Blue</t>
        </is>
      </c>
      <c r="G1280" s="8" t="n">
        <v>1.5</v>
      </c>
      <c r="H1280" s="13" t="inlineStr">
        <is>
          <t>Ice Age (ICE)</t>
        </is>
      </c>
      <c r="I1280" s="13" t="inlineStr">
        <is>
          <t>Não</t>
        </is>
      </c>
      <c r="J1280" s="13" t="n">
        <v>1995</v>
      </c>
      <c r="L1280" s="13" t="n">
        <v>1</v>
      </c>
      <c r="M1280" s="8">
        <f>L1280*G1280</f>
        <v/>
      </c>
      <c r="N1280" s="13" t="inlineStr">
        <is>
          <t>Pasta</t>
        </is>
      </c>
      <c r="P1280" s="9" t="n"/>
    </row>
    <row r="1281">
      <c r="A1281" s="13" t="inlineStr">
        <is>
          <t>Gladiolus Amicitia / Gladiolus Amicitia</t>
        </is>
      </c>
      <c r="B1281" s="13" t="inlineStr">
        <is>
          <t>Criatura Lendária — Humano Guerreiro</t>
        </is>
      </c>
      <c r="C1281" s="13" t="inlineStr">
        <is>
          <t>Incomum</t>
        </is>
      </c>
      <c r="D1281" s="13"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1281" s="13" t="inlineStr">
        <is>
          <t>4{R}{G}</t>
        </is>
      </c>
      <c r="F1281" s="13" t="inlineStr">
        <is>
          <t>Multicolorido (Vermelho/Verde)</t>
        </is>
      </c>
      <c r="G1281" s="8" t="n">
        <v>0.25</v>
      </c>
      <c r="H1281" s="13" t="inlineStr">
        <is>
          <t>Final Fantasy</t>
        </is>
      </c>
      <c r="I1281" s="13" t="inlineStr">
        <is>
          <t>Não</t>
        </is>
      </c>
      <c r="J1281" s="13" t="n">
        <v>2025</v>
      </c>
      <c r="K1281" s="10" t="n">
        <v>46179</v>
      </c>
      <c r="L1281" s="13" t="n">
        <v>2</v>
      </c>
      <c r="M1281" s="8">
        <f>L1281*G1281</f>
        <v/>
      </c>
      <c r="P1281" s="9" t="n"/>
    </row>
    <row r="1282">
      <c r="A1282" s="13" t="inlineStr">
        <is>
          <t>Glaive do Pacto das Guildas / Glaive of the Guildpact</t>
        </is>
      </c>
      <c r="B1282" s="13" t="inlineStr">
        <is>
          <t>Artefato — Equipamento</t>
        </is>
      </c>
      <c r="C1282" s="13" t="inlineStr">
        <is>
          <t>Incomum</t>
        </is>
      </c>
      <c r="D1282" s="13"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1282" s="13" t="inlineStr">
        <is>
          <t>{2}</t>
        </is>
      </c>
      <c r="F1282" s="13" t="inlineStr">
        <is>
          <t>Incolor</t>
        </is>
      </c>
      <c r="G1282" s="8" t="n">
        <v>0.03</v>
      </c>
      <c r="H1282" s="13" t="inlineStr">
        <is>
          <t>Guilds of Ravnica (GRN)</t>
        </is>
      </c>
      <c r="I1282" s="13" t="inlineStr">
        <is>
          <t>Não</t>
        </is>
      </c>
      <c r="J1282" s="13" t="n">
        <v>2018</v>
      </c>
      <c r="L1282" s="13" t="n">
        <v>1</v>
      </c>
      <c r="M1282" s="8">
        <f>L1282*G1282</f>
        <v/>
      </c>
      <c r="P1282" s="9" t="n"/>
    </row>
    <row r="1283">
      <c r="A1283" s="13" t="inlineStr">
        <is>
          <t>Glamer Gifter</t>
        </is>
      </c>
      <c r="B1283" s="13" t="inlineStr">
        <is>
          <t>Creature — Faerie Wizard</t>
        </is>
      </c>
      <c r="C1283" s="13" t="inlineStr">
        <is>
          <t>Uncommon</t>
        </is>
      </c>
      <c r="D1283" s="13" t="inlineStr">
        <is>
          <t>Flash. Flying. When this creature enters, choose up to one other target creature. Until end of turn, that creature has base power and toughness 4/4 and gains all creature types.</t>
        </is>
      </c>
      <c r="E1283" s="13" t="inlineStr">
        <is>
          <t>{1}{U}</t>
        </is>
      </c>
      <c r="F1283" s="13" t="inlineStr">
        <is>
          <t>Azul</t>
        </is>
      </c>
      <c r="G1283" s="8" t="n">
        <v>0.06</v>
      </c>
      <c r="H1283" s="13" t="inlineStr">
        <is>
          <t>Lorwyn Eclipsed (ECL)</t>
        </is>
      </c>
      <c r="I1283" s="13" t="inlineStr">
        <is>
          <t>Não</t>
        </is>
      </c>
      <c r="J1283" s="13" t="n">
        <v>2026</v>
      </c>
      <c r="K1283" s="10" t="n">
        <v>46054</v>
      </c>
      <c r="L1283" s="13" t="n">
        <v>1</v>
      </c>
      <c r="M1283" s="8">
        <f>L1283*G1283</f>
        <v/>
      </c>
      <c r="P1283" s="9" t="n"/>
    </row>
    <row r="1284">
      <c r="A1284" s="13" t="inlineStr">
        <is>
          <t>Glamer Gifter</t>
        </is>
      </c>
      <c r="B1284" s="13" t="inlineStr">
        <is>
          <t>Creature — Faerie Wizard</t>
        </is>
      </c>
      <c r="C1284" s="13" t="inlineStr">
        <is>
          <t>Uncommon</t>
        </is>
      </c>
      <c r="D1284" s="13" t="inlineStr">
        <is>
          <t>Flash. Flying. When this creature enters, choose up to one other target creature. Until end of turn, that creature has base power and toughness 4/4 and gains all creature types.</t>
        </is>
      </c>
      <c r="E1284" s="13" t="inlineStr">
        <is>
          <t>{1}{U}</t>
        </is>
      </c>
      <c r="F1284" s="13" t="inlineStr">
        <is>
          <t>Azul</t>
        </is>
      </c>
      <c r="G1284" s="8" t="n">
        <v>0.27</v>
      </c>
      <c r="H1284" s="13" t="inlineStr">
        <is>
          <t>Lorwyn Eclipsed (ECL)</t>
        </is>
      </c>
      <c r="I1284" s="13" t="inlineStr">
        <is>
          <t>Sim</t>
        </is>
      </c>
      <c r="J1284" s="13" t="n">
        <v>2026</v>
      </c>
      <c r="K1284" s="10" t="n">
        <v>46054</v>
      </c>
      <c r="L1284" s="13" t="n">
        <v>1</v>
      </c>
      <c r="M1284" s="8">
        <f>L1284*G1284</f>
        <v/>
      </c>
      <c r="P1284" s="9" t="n"/>
    </row>
    <row r="1285">
      <c r="A1285" s="13" t="inlineStr">
        <is>
          <t>Glamermite</t>
        </is>
      </c>
      <c r="B1285" s="13" t="inlineStr">
        <is>
          <t>Creature — Faerie Rogue</t>
        </is>
      </c>
      <c r="C1285" s="13" t="inlineStr">
        <is>
          <t>Common</t>
        </is>
      </c>
      <c r="D1285" s="13" t="inlineStr">
        <is>
          <t>Flash. Flying. When this creature enters, choose one — Tap target creature. Untap target creature.</t>
        </is>
      </c>
      <c r="E1285" s="13" t="inlineStr">
        <is>
          <t>{2}{U}</t>
        </is>
      </c>
      <c r="F1285" s="13" t="inlineStr">
        <is>
          <t>Azul</t>
        </is>
      </c>
      <c r="G1285" s="8" t="n">
        <v>0.05</v>
      </c>
      <c r="H1285" s="13" t="inlineStr">
        <is>
          <t>Lorwyn Eclipsed (ECL)</t>
        </is>
      </c>
      <c r="I1285" s="13" t="inlineStr">
        <is>
          <t>Não</t>
        </is>
      </c>
      <c r="J1285" s="13" t="n">
        <v>2026</v>
      </c>
      <c r="K1285" s="10" t="n">
        <v>46055</v>
      </c>
      <c r="L1285" s="13" t="n">
        <v>1</v>
      </c>
      <c r="M1285" s="8">
        <f>L1285*G1285</f>
        <v/>
      </c>
      <c r="P1285" s="9" t="n"/>
    </row>
    <row r="1286">
      <c r="A1286" s="13" t="inlineStr">
        <is>
          <t>Glasses of Urza / Óculos de Urza</t>
        </is>
      </c>
      <c r="B1286" s="13" t="inlineStr">
        <is>
          <t>Artifact</t>
        </is>
      </c>
      <c r="C1286" s="13" t="inlineStr">
        <is>
          <t>Uncommon</t>
        </is>
      </c>
      <c r="D1286" s="13" t="inlineStr">
        <is>
          <t>{T}: Look at target player's hand.</t>
        </is>
      </c>
      <c r="E1286" s="13" t="inlineStr">
        <is>
          <t>{1}</t>
        </is>
      </c>
      <c r="F1286" s="13" t="inlineStr">
        <is>
          <t>Colorless</t>
        </is>
      </c>
      <c r="G1286" s="8" t="n">
        <v>0.39</v>
      </c>
      <c r="H1286" s="13" t="inlineStr">
        <is>
          <t>Classic Sixth Edition (6ED)</t>
        </is>
      </c>
      <c r="I1286" s="13" t="inlineStr">
        <is>
          <t>No</t>
        </is>
      </c>
      <c r="J1286" s="13" t="n">
        <v>1999</v>
      </c>
      <c r="L1286" s="13" t="n">
        <v>1</v>
      </c>
      <c r="M1286" s="8">
        <f>L1286*G1286</f>
        <v/>
      </c>
      <c r="P1286" s="9" t="n"/>
    </row>
    <row r="1287">
      <c r="A1287" s="13" t="inlineStr">
        <is>
          <t>Glasses of Urza / Óculos de Urza</t>
        </is>
      </c>
      <c r="B1287" s="13" t="inlineStr">
        <is>
          <t>Artifact</t>
        </is>
      </c>
      <c r="C1287" s="13" t="inlineStr">
        <is>
          <t>Comum / Common</t>
        </is>
      </c>
      <c r="D1287" s="13" t="inlineStr">
        <is>
          <t>{T}: Regardez la main de votre adversaire. / {T}: Look at your opponent's hand.</t>
        </is>
      </c>
      <c r="E1287" s="13" t="inlineStr">
        <is>
          <t>{1}</t>
        </is>
      </c>
      <c r="F1287" s="13" t="inlineStr">
        <is>
          <t>Incolor</t>
        </is>
      </c>
      <c r="G1287" s="8" t="n">
        <v>0.65</v>
      </c>
      <c r="H1287" s="13" t="inlineStr">
        <is>
          <t>Fourth Edition</t>
        </is>
      </c>
      <c r="I1287" s="13" t="inlineStr">
        <is>
          <t>Não</t>
        </is>
      </c>
      <c r="J1287" s="13" t="n">
        <v>1995</v>
      </c>
      <c r="L1287" s="13" t="n">
        <v>1</v>
      </c>
      <c r="M1287" s="8">
        <f>L1287*G1287</f>
        <v/>
      </c>
      <c r="P1287" s="9" t="n"/>
    </row>
    <row r="1288">
      <c r="A1288" s="13" t="inlineStr">
        <is>
          <t>Gleaming Barrier / Barreira Cintilante</t>
        </is>
      </c>
      <c r="B1288" s="13" t="inlineStr">
        <is>
          <t>Artifact Creature — Wall / Criatura Artefato — Barreira</t>
        </is>
      </c>
      <c r="C1288" s="13" t="inlineStr">
        <is>
          <t>Common / Comum</t>
        </is>
      </c>
      <c r="D1288" s="13"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1288" s="13" t="inlineStr">
        <is>
          <t>{2}</t>
        </is>
      </c>
      <c r="F1288" s="13" t="inlineStr">
        <is>
          <t>Incolor</t>
        </is>
      </c>
      <c r="G1288" s="8" t="n">
        <v>0.05</v>
      </c>
      <c r="H1288" s="13" t="inlineStr">
        <is>
          <t>Foundations (FDN)</t>
        </is>
      </c>
      <c r="I1288" s="13" t="inlineStr">
        <is>
          <t>No</t>
        </is>
      </c>
      <c r="J1288" s="13" t="n">
        <v>2024</v>
      </c>
      <c r="K1288" s="13" t="inlineStr">
        <is>
          <t>0/4</t>
        </is>
      </c>
      <c r="L1288" s="13" t="n">
        <v>1</v>
      </c>
      <c r="M1288" s="8">
        <f>L1288*G1288</f>
        <v/>
      </c>
      <c r="P1288" s="9" t="n"/>
    </row>
    <row r="1289">
      <c r="A1289" s="13" t="inlineStr">
        <is>
          <t>Gleaming Barrier / Barreira Reluzente</t>
        </is>
      </c>
      <c r="B1289" s="13" t="inlineStr">
        <is>
          <t>Artifact Creature — Wall / Criatura Artefato — Barreira</t>
        </is>
      </c>
      <c r="C1289" s="13" t="inlineStr">
        <is>
          <t>Common / Comum</t>
        </is>
      </c>
      <c r="D1289" s="13"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1289" s="13" t="inlineStr">
        <is>
          <t>{2}</t>
        </is>
      </c>
      <c r="F1289" s="13" t="inlineStr">
        <is>
          <t>Incolor</t>
        </is>
      </c>
      <c r="G1289" s="8" t="n">
        <v>0.05</v>
      </c>
      <c r="H1289" s="13" t="inlineStr">
        <is>
          <t>Foundations (FDN)</t>
        </is>
      </c>
      <c r="I1289" s="13" t="inlineStr">
        <is>
          <t>Não</t>
        </is>
      </c>
      <c r="J1289" s="13" t="n">
        <v>2024</v>
      </c>
      <c r="K1289" s="13" t="inlineStr">
        <is>
          <t>0/4</t>
        </is>
      </c>
      <c r="L1289" s="13" t="n">
        <v>1</v>
      </c>
      <c r="M1289" s="8">
        <f>L1289*G1289</f>
        <v/>
      </c>
      <c r="P1289" s="9" t="n"/>
    </row>
    <row r="1290">
      <c r="A1290" s="13" t="inlineStr">
        <is>
          <t>Gleaming Geardrake / Mecanodrago Reluzente</t>
        </is>
      </c>
      <c r="B1290" s="13" t="inlineStr">
        <is>
          <t>Artifact Creature — Drake / Criatura Artefato — Dragonete</t>
        </is>
      </c>
      <c r="C1290" s="13" t="inlineStr">
        <is>
          <t>Uncommon / Incomum</t>
        </is>
      </c>
      <c r="D1290" s="13"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1290" s="13" t="inlineStr">
        <is>
          <t>{U}{R}</t>
        </is>
      </c>
      <c r="F1290" s="13" t="inlineStr">
        <is>
          <t>Vermelho, Azul</t>
        </is>
      </c>
      <c r="G1290" s="8" t="n">
        <v>0.14</v>
      </c>
      <c r="H1290" s="13" t="inlineStr">
        <is>
          <t>Murders at Karlov Manor (MKM)</t>
        </is>
      </c>
      <c r="I1290" s="13" t="inlineStr">
        <is>
          <t>Não</t>
        </is>
      </c>
      <c r="J1290" s="13" t="n">
        <v>2024</v>
      </c>
      <c r="K1290" s="10" t="n">
        <v>46023</v>
      </c>
      <c r="L1290" s="13" t="n">
        <v>1</v>
      </c>
      <c r="M1290" s="8">
        <f>L1290*G1290</f>
        <v/>
      </c>
      <c r="P1290" s="9" t="n"/>
    </row>
    <row r="1291">
      <c r="A1291" s="13" t="inlineStr">
        <is>
          <t>Glider Kids</t>
        </is>
      </c>
      <c r="B1291" s="13" t="inlineStr">
        <is>
          <t>Creature — Human Pilot Ally</t>
        </is>
      </c>
      <c r="C1291" s="13" t="inlineStr">
        <is>
          <t>Common / Comum</t>
        </is>
      </c>
      <c r="D1291" s="13" t="inlineStr">
        <is>
          <t>Flying When this creature enters, scry 1. (Look at the top card of your library. You may put it on the bottom.)</t>
        </is>
      </c>
      <c r="E1291" s="13" t="inlineStr">
        <is>
          <t>{2}{W}</t>
        </is>
      </c>
      <c r="F1291" s="13" t="inlineStr">
        <is>
          <t>Branco</t>
        </is>
      </c>
      <c r="G1291" s="8" t="n">
        <v>0.05</v>
      </c>
      <c r="H1291" s="13" t="inlineStr">
        <is>
          <t>Avatar: The Last Airbender (TLA)</t>
        </is>
      </c>
      <c r="I1291" s="13" t="inlineStr">
        <is>
          <t>Não</t>
        </is>
      </c>
      <c r="J1291" s="13" t="n">
        <v>2025</v>
      </c>
      <c r="K1291" s="10" t="n">
        <v>46083</v>
      </c>
      <c r="L1291" s="13" t="n">
        <v>5</v>
      </c>
      <c r="M1291" s="8">
        <f>L1291*G1291</f>
        <v/>
      </c>
      <c r="P1291" s="9" t="n"/>
    </row>
    <row r="1292">
      <c r="A1292" s="13" t="inlineStr">
        <is>
          <t>Glider Staff</t>
        </is>
      </c>
      <c r="B1292" s="13" t="inlineStr">
        <is>
          <t>Artifact — Equipment</t>
        </is>
      </c>
      <c r="C1292" s="13" t="inlineStr">
        <is>
          <t>Uncommon / Incomum</t>
        </is>
      </c>
      <c r="D1292" s="13" t="inlineStr">
        <is>
          <t>When this Equipment enters, airbend up to one target creature. (Exile it. While it's exiled, its owner may cast it for {2} rather than its mana cost.) Equipped creature gets +1/+1 and has flying. Equip {2}</t>
        </is>
      </c>
      <c r="E1292" s="13" t="inlineStr">
        <is>
          <t>{2}{W}</t>
        </is>
      </c>
      <c r="F1292" s="13" t="inlineStr">
        <is>
          <t>Branco</t>
        </is>
      </c>
      <c r="G1292" s="8" t="n">
        <v>0.15</v>
      </c>
      <c r="H1292" s="13" t="inlineStr">
        <is>
          <t>Avatar: The Last Airbender (TLA)</t>
        </is>
      </c>
      <c r="I1292" s="13" t="inlineStr">
        <is>
          <t>Não</t>
        </is>
      </c>
      <c r="J1292" s="13" t="n">
        <v>2025</v>
      </c>
      <c r="L1292" s="13" t="n">
        <v>1</v>
      </c>
      <c r="M1292" s="8">
        <f>L1292*G1292</f>
        <v/>
      </c>
      <c r="P1292" s="9" t="n"/>
    </row>
    <row r="1293">
      <c r="A1293" s="13" t="inlineStr">
        <is>
          <t>Glimmerburst</t>
        </is>
      </c>
      <c r="B1293" s="13" t="inlineStr">
        <is>
          <t>Instant</t>
        </is>
      </c>
      <c r="C1293" s="13" t="inlineStr">
        <is>
          <t>Common / Comum</t>
        </is>
      </c>
      <c r="D1293" s="13" t="inlineStr">
        <is>
          <t>Draw two cards. Create a 1/1 white Glimmer enchantment creature token.</t>
        </is>
      </c>
      <c r="E1293" s="13" t="inlineStr">
        <is>
          <t>{3}{U}</t>
        </is>
      </c>
      <c r="F1293" s="13" t="inlineStr">
        <is>
          <t>Azul</t>
        </is>
      </c>
      <c r="G1293" s="8" t="n">
        <v>0.05</v>
      </c>
      <c r="H1293" s="13" t="inlineStr">
        <is>
          <t>Duskmourn: House of Horror (DSK)</t>
        </is>
      </c>
      <c r="I1293" s="13" t="inlineStr">
        <is>
          <t>Não</t>
        </is>
      </c>
      <c r="J1293" s="13" t="n">
        <v>2024</v>
      </c>
      <c r="L1293" s="13" t="n">
        <v>4</v>
      </c>
      <c r="M1293" s="8">
        <f>L1293*G1293</f>
        <v/>
      </c>
      <c r="P1293" s="9" t="n"/>
    </row>
    <row r="1294">
      <c r="A1294" s="13" t="inlineStr">
        <is>
          <t>Glimmerlight</t>
        </is>
      </c>
      <c r="B1294" s="13" t="inlineStr">
        <is>
          <t>Artifact — Equipment</t>
        </is>
      </c>
      <c r="C1294" s="13" t="inlineStr">
        <is>
          <t>Common</t>
        </is>
      </c>
      <c r="D1294" s="13" t="inlineStr">
        <is>
          <t>When Glimmerlight enters, create a 1/1 white Glimmer enchantment creature token. Equipped creature gets +1/+1. Equip {1}</t>
        </is>
      </c>
      <c r="E1294" s="13" t="inlineStr">
        <is>
          <t>{2}</t>
        </is>
      </c>
      <c r="F1294" s="13" t="inlineStr">
        <is>
          <t>Colorless</t>
        </is>
      </c>
      <c r="G1294" s="8" t="n">
        <v>0.05</v>
      </c>
      <c r="H1294" s="13" t="inlineStr">
        <is>
          <t>Duskmourn: House of Horror (DSK)</t>
        </is>
      </c>
      <c r="I1294" s="13" t="inlineStr">
        <is>
          <t>No</t>
        </is>
      </c>
      <c r="J1294" s="13" t="n">
        <v>2024</v>
      </c>
      <c r="L1294" s="13" t="n">
        <v>1</v>
      </c>
      <c r="M1294" s="8">
        <f>L1294*G1294</f>
        <v/>
      </c>
      <c r="P1294" s="9" t="n"/>
    </row>
    <row r="1295">
      <c r="A1295" s="13" t="inlineStr">
        <is>
          <t>Glimmerlight</t>
        </is>
      </c>
      <c r="B1295" s="13" t="inlineStr">
        <is>
          <t>Artifact — Equipment</t>
        </is>
      </c>
      <c r="C1295" s="13" t="inlineStr">
        <is>
          <t>Common / Comum</t>
        </is>
      </c>
      <c r="D1295" s="13" t="inlineStr">
        <is>
          <t>When this Equipment enters, create a 1/1 white Glimmer enchantment creature token. Equipped creature gets +1/+1. Equip {1} ({1}: Attach to target creature you control. Equip only as a sorcery.)</t>
        </is>
      </c>
      <c r="E1295" s="13" t="inlineStr">
        <is>
          <t>{2}</t>
        </is>
      </c>
      <c r="F1295" s="13" t="inlineStr">
        <is>
          <t>Incolor</t>
        </is>
      </c>
      <c r="G1295" s="8" t="n">
        <v>0.05</v>
      </c>
      <c r="H1295" s="13" t="inlineStr">
        <is>
          <t>Duskmourn: House of Horror (DSK)</t>
        </is>
      </c>
      <c r="I1295" s="13" t="inlineStr">
        <is>
          <t>Não</t>
        </is>
      </c>
      <c r="J1295" s="13" t="n">
        <v>2024</v>
      </c>
      <c r="L1295" s="13" t="n">
        <v>2</v>
      </c>
      <c r="M1295" s="8">
        <f>L1295*G1295</f>
        <v/>
      </c>
      <c r="P1295" s="9" t="n"/>
    </row>
    <row r="1296">
      <c r="A1296" s="13" t="inlineStr">
        <is>
          <t>Glint-Sleeve Siphoner / Sifonadora Braçoluz</t>
        </is>
      </c>
      <c r="B1296" s="13" t="inlineStr">
        <is>
          <t>Creature — Human Rogue / Criatura — Humano Ladino</t>
        </is>
      </c>
      <c r="C1296" s="13" t="inlineStr">
        <is>
          <t>Rare / Rara</t>
        </is>
      </c>
      <c r="D1296" s="13"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1296" s="13" t="inlineStr">
        <is>
          <t>{1}{B}</t>
        </is>
      </c>
      <c r="F1296" s="13" t="inlineStr">
        <is>
          <t>Preto</t>
        </is>
      </c>
      <c r="G1296" s="8" t="n">
        <v>0.16</v>
      </c>
      <c r="H1296" s="13" t="inlineStr">
        <is>
          <t>Aether Revolt (AER)</t>
        </is>
      </c>
      <c r="I1296" s="13" t="inlineStr">
        <is>
          <t>Não</t>
        </is>
      </c>
      <c r="J1296" s="13" t="n">
        <v>2017</v>
      </c>
      <c r="K1296" s="10" t="n">
        <v>46024</v>
      </c>
      <c r="L1296" s="13" t="n">
        <v>3</v>
      </c>
      <c r="M1296" s="8">
        <f>L1296*G1296</f>
        <v/>
      </c>
      <c r="P1296" s="9" t="n"/>
    </row>
    <row r="1297">
      <c r="A1297" s="13" t="inlineStr">
        <is>
          <t>Glissa's Scorn / Escárnio de Glissa</t>
        </is>
      </c>
      <c r="B1297" s="13" t="inlineStr">
        <is>
          <t>Instant / Mágica Instantânea</t>
        </is>
      </c>
      <c r="C1297" s="13" t="inlineStr">
        <is>
          <t>Common / Comum</t>
        </is>
      </c>
      <c r="D1297" s="13" t="inlineStr">
        <is>
          <t>Destroy target artifact. Its controller loses 1 life. / Destrua o artefato alvo. Seu controlador perde 1 ponto de vida.</t>
        </is>
      </c>
      <c r="E1297" s="13" t="inlineStr">
        <is>
          <t>{1}{G}</t>
        </is>
      </c>
      <c r="F1297" s="13" t="inlineStr">
        <is>
          <t>Verde</t>
        </is>
      </c>
      <c r="G1297" s="8" t="n">
        <v>0.06</v>
      </c>
      <c r="H1297" s="13" t="inlineStr">
        <is>
          <t>New Phyrexia (NPH)</t>
        </is>
      </c>
      <c r="I1297" s="13" t="inlineStr">
        <is>
          <t>Não</t>
        </is>
      </c>
      <c r="J1297" s="13" t="n">
        <v>2011</v>
      </c>
      <c r="L1297" s="13" t="n">
        <v>1</v>
      </c>
      <c r="M1297" s="8">
        <f>L1297*G1297</f>
        <v/>
      </c>
      <c r="P1297" s="9" t="n"/>
    </row>
    <row r="1298">
      <c r="A1298" s="13" t="inlineStr">
        <is>
          <t>Glittering Lynx / Lince Cintilante</t>
        </is>
      </c>
      <c r="B1298" s="13" t="inlineStr">
        <is>
          <t>Creature — Cat</t>
        </is>
      </c>
      <c r="C1298" s="13" t="inlineStr">
        <is>
          <t>Common</t>
        </is>
      </c>
      <c r="D1298" s="13" t="inlineStr">
        <is>
          <t>Prevent all damage that would be dealt to Glittering Lynx. {2}: Until end of turn, Glittering Lynx loses “Prevent all damage that would be dealt to Glittering Lynx.” Any player may play this ability.</t>
        </is>
      </c>
      <c r="E1298" s="13" t="inlineStr">
        <is>
          <t>{W}</t>
        </is>
      </c>
      <c r="F1298" s="13" t="inlineStr">
        <is>
          <t>White</t>
        </is>
      </c>
      <c r="G1298" s="8" t="n">
        <v>0.05</v>
      </c>
      <c r="H1298" s="13" t="inlineStr">
        <is>
          <t>Prophecy (PCY)</t>
        </is>
      </c>
      <c r="I1298" s="13" t="inlineStr">
        <is>
          <t>No</t>
        </is>
      </c>
      <c r="J1298" s="13" t="n">
        <v>2000</v>
      </c>
      <c r="K1298" s="10" t="n">
        <v>46023</v>
      </c>
      <c r="L1298" s="13" t="n">
        <v>2</v>
      </c>
      <c r="M1298" s="8">
        <f>L1298*G1298</f>
        <v/>
      </c>
      <c r="P1298" s="9" t="n"/>
    </row>
    <row r="1299">
      <c r="A1299" s="13" t="inlineStr">
        <is>
          <t>Gloomlance / Lança das Trevas</t>
        </is>
      </c>
      <c r="B1299" s="13" t="inlineStr">
        <is>
          <t>Sorcery / Feitiço</t>
        </is>
      </c>
      <c r="C1299" s="13" t="inlineStr">
        <is>
          <t>Common / Comum</t>
        </is>
      </c>
      <c r="D1299" s="13" t="inlineStr">
        <is>
          <t>Destroy target creature. If that creature was green or white, its controller discards a card. / Destrua a criatura alvo. Se aquela criatura for verde ou branca, seu controlador descartará um card.</t>
        </is>
      </c>
      <c r="E1299" s="13" t="inlineStr">
        <is>
          <t>{3}{B}{B}</t>
        </is>
      </c>
      <c r="F1299" s="13" t="inlineStr">
        <is>
          <t>Preto</t>
        </is>
      </c>
      <c r="G1299" s="8" t="n">
        <v>0.05</v>
      </c>
      <c r="H1299" s="13" t="inlineStr">
        <is>
          <t>Shadowmoor (SHM)</t>
        </is>
      </c>
      <c r="I1299" s="13" t="inlineStr">
        <is>
          <t>Não</t>
        </is>
      </c>
      <c r="J1299" s="13" t="n">
        <v>2008</v>
      </c>
      <c r="L1299" s="13" t="n">
        <v>1</v>
      </c>
      <c r="M1299" s="8">
        <f>L1299*G1299</f>
        <v/>
      </c>
      <c r="P1299" s="9" t="n"/>
    </row>
    <row r="1300">
      <c r="A1300" s="13" t="inlineStr">
        <is>
          <t>Glorfindel, Salvador Destemido / Glorfindel, Dauntless Rescue</t>
        </is>
      </c>
      <c r="B1300" s="13" t="inlineStr">
        <is>
          <t>Criatura Lendária — Elfo Nobre</t>
        </is>
      </c>
      <c r="C1300" s="13" t="inlineStr">
        <is>
          <t>Incomum</t>
        </is>
      </c>
      <c r="D1300" s="13"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1300" s="13" t="inlineStr">
        <is>
          <t>2{G}</t>
        </is>
      </c>
      <c r="F1300" s="13" t="inlineStr">
        <is>
          <t>Verde</t>
        </is>
      </c>
      <c r="G1300" s="8" t="n">
        <v>0.09</v>
      </c>
      <c r="H1300" s="13" t="inlineStr">
        <is>
          <t>The Lord of the Rings: Tales of Middle-earth (LTR)</t>
        </is>
      </c>
      <c r="I1300" s="13" t="inlineStr">
        <is>
          <t>Não</t>
        </is>
      </c>
      <c r="J1300" s="13" t="n">
        <v>2023</v>
      </c>
      <c r="K1300" s="10" t="n">
        <v>46056</v>
      </c>
      <c r="L1300" s="13" t="n">
        <v>1</v>
      </c>
      <c r="M1300" s="8">
        <f>L1300*G1300</f>
        <v/>
      </c>
      <c r="P1300" s="9" t="n"/>
    </row>
    <row r="1301">
      <c r="A1301" s="13" t="inlineStr">
        <is>
          <t>Glorious Sunrise / Nascer do Sol Glorioso</t>
        </is>
      </c>
      <c r="B1301" s="13" t="inlineStr">
        <is>
          <t>Enchantment / Encantamento</t>
        </is>
      </c>
      <c r="C1301" s="13" t="inlineStr">
        <is>
          <t>Rare / Raro</t>
        </is>
      </c>
      <c r="D1301" s="13"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301" s="13" t="inlineStr">
        <is>
          <t>{3}{G}{G}</t>
        </is>
      </c>
      <c r="F1301" s="13" t="inlineStr">
        <is>
          <t>Verde</t>
        </is>
      </c>
      <c r="G1301" s="8" t="n">
        <v>1</v>
      </c>
      <c r="H1301" s="13" t="inlineStr">
        <is>
          <t>Innistrad: Crimson Vow (VOW)</t>
        </is>
      </c>
      <c r="I1301" s="13" t="inlineStr">
        <is>
          <t>Não</t>
        </is>
      </c>
      <c r="J1301" s="13" t="n">
        <v>2021</v>
      </c>
      <c r="L1301" s="13" t="n">
        <v>1</v>
      </c>
      <c r="M1301" s="8">
        <f>L1301*G1301</f>
        <v/>
      </c>
      <c r="P1301" s="9" t="n"/>
    </row>
    <row r="1302">
      <c r="A1302" s="13" t="inlineStr">
        <is>
          <t>Glowspore Shaman / Xamã Lumispórea</t>
        </is>
      </c>
      <c r="B1302" s="13" t="inlineStr">
        <is>
          <t>Creature — Elf Shaman / Criatura — Elfo Xamã</t>
        </is>
      </c>
      <c r="C1302" s="13" t="inlineStr">
        <is>
          <t>Common / Comum</t>
        </is>
      </c>
      <c r="D1302" s="13"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1302" s="13" t="inlineStr">
        <is>
          <t>{B}{G}</t>
        </is>
      </c>
      <c r="F1302" s="13" t="inlineStr">
        <is>
          <t>Preto, Verde</t>
        </is>
      </c>
      <c r="G1302" s="8" t="n">
        <v>0.12</v>
      </c>
      <c r="H1302" s="13" t="inlineStr">
        <is>
          <t>Ravnica Remastered (RVR)</t>
        </is>
      </c>
      <c r="I1302" s="13" t="inlineStr">
        <is>
          <t>Não</t>
        </is>
      </c>
      <c r="J1302" s="13" t="n">
        <v>2024</v>
      </c>
      <c r="K1302" s="10" t="n">
        <v>46025</v>
      </c>
      <c r="L1302" s="13" t="n">
        <v>1</v>
      </c>
      <c r="M1302" s="8">
        <f>L1302*G1302</f>
        <v/>
      </c>
      <c r="P1302" s="9" t="n"/>
    </row>
    <row r="1303">
      <c r="A1303" s="13" t="inlineStr">
        <is>
          <t>Glyph Elemental / Elemental dos Glifos</t>
        </is>
      </c>
      <c r="B1303" s="13" t="inlineStr">
        <is>
          <t>Enchantment Creature — Elemental / Criatura Encantamento — Elemental</t>
        </is>
      </c>
      <c r="C1303" s="13" t="inlineStr">
        <is>
          <t>Uncommon / Incomum</t>
        </is>
      </c>
      <c r="D1303" s="13"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1303" s="13" t="inlineStr">
        <is>
          <t>{1}{W}</t>
        </is>
      </c>
      <c r="F1303" s="13" t="inlineStr">
        <is>
          <t>Branco</t>
        </is>
      </c>
      <c r="G1303" s="8" t="n">
        <v>0.15</v>
      </c>
      <c r="H1303" s="13" t="inlineStr">
        <is>
          <t>Modern Horizons 3 (MH3)</t>
        </is>
      </c>
      <c r="I1303" s="13" t="inlineStr">
        <is>
          <t>Não</t>
        </is>
      </c>
      <c r="J1303" s="13" t="n">
        <v>2024</v>
      </c>
      <c r="K1303" s="10" t="n">
        <v>46055</v>
      </c>
      <c r="L1303" s="13" t="n">
        <v>1</v>
      </c>
      <c r="M1303" s="8">
        <f>L1303*G1303</f>
        <v/>
      </c>
      <c r="P1303" s="9" t="n"/>
    </row>
    <row r="1304">
      <c r="A1304" s="13" t="inlineStr">
        <is>
          <t>Gnarlbark Elm</t>
        </is>
      </c>
      <c r="B1304" s="13" t="inlineStr">
        <is>
          <t>Creature — Treefolk Warlock</t>
        </is>
      </c>
      <c r="C1304" s="13" t="inlineStr">
        <is>
          <t>Uncommon</t>
        </is>
      </c>
      <c r="D1304" s="13" t="inlineStr">
        <is>
          <t>This creature enters with two -1/-1 counters on it. {2}{B}, Remove two counters from this creature: Target creature gets -2/-2 until end of turn. Activate only as a sorcery.</t>
        </is>
      </c>
      <c r="E1304" s="13" t="inlineStr">
        <is>
          <t>{2}{B}</t>
        </is>
      </c>
      <c r="F1304" s="13" t="inlineStr">
        <is>
          <t>Preto</t>
        </is>
      </c>
      <c r="G1304" s="8" t="n">
        <v>0.06</v>
      </c>
      <c r="H1304" s="13" t="inlineStr">
        <is>
          <t>Lorwyn Eclipsed (ECL)</t>
        </is>
      </c>
      <c r="I1304" s="13" t="inlineStr">
        <is>
          <t>Não</t>
        </is>
      </c>
      <c r="J1304" s="13" t="n">
        <v>2026</v>
      </c>
      <c r="K1304" s="10" t="n">
        <v>46115</v>
      </c>
      <c r="L1304" s="13" t="n">
        <v>1</v>
      </c>
      <c r="M1304" s="8">
        <f>L1304*G1304</f>
        <v/>
      </c>
      <c r="P1304" s="9" t="n"/>
    </row>
    <row r="1305">
      <c r="A1305" s="13" t="inlineStr">
        <is>
          <t>Gnarled Scarhide / Mutilado das Cicatrizes</t>
        </is>
      </c>
      <c r="B1305" s="13" t="inlineStr">
        <is>
          <t>Enchantment Creature — Minotaur / Criatura Encantamento — Minotauro</t>
        </is>
      </c>
      <c r="C1305" s="13" t="inlineStr">
        <is>
          <t>Uncommon / Incomum</t>
        </is>
      </c>
      <c r="D1305" s="13"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1305" s="13" t="inlineStr">
        <is>
          <t>{B}</t>
        </is>
      </c>
      <c r="F1305" s="13" t="inlineStr">
        <is>
          <t>Preto</t>
        </is>
      </c>
      <c r="G1305" s="8" t="n">
        <v>0.15</v>
      </c>
      <c r="H1305" s="13" t="inlineStr">
        <is>
          <t>Journey into Nyx (JOU)</t>
        </is>
      </c>
      <c r="I1305" s="13" t="inlineStr">
        <is>
          <t>Não</t>
        </is>
      </c>
      <c r="J1305" s="13" t="n">
        <v>2014</v>
      </c>
      <c r="K1305" s="10" t="n">
        <v>46024</v>
      </c>
      <c r="L1305" s="13" t="n">
        <v>1</v>
      </c>
      <c r="M1305" s="8">
        <f>L1305*G1305</f>
        <v/>
      </c>
      <c r="P1305" s="9" t="n"/>
    </row>
    <row r="1306">
      <c r="A1306" s="13" t="inlineStr">
        <is>
          <t>Gnarlid Colony / Colônia de Gnarlids</t>
        </is>
      </c>
      <c r="B1306" s="13" t="inlineStr">
        <is>
          <t>Creature — Beast / Criatura — Besta</t>
        </is>
      </c>
      <c r="C1306" s="13" t="inlineStr">
        <is>
          <t>Common / Comum</t>
        </is>
      </c>
      <c r="D1306" s="13"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1306" s="13" t="inlineStr">
        <is>
          <t>{1}{G}</t>
        </is>
      </c>
      <c r="F1306" s="13" t="inlineStr">
        <is>
          <t>Verde</t>
        </is>
      </c>
      <c r="G1306" s="8" t="n">
        <v>0.05</v>
      </c>
      <c r="H1306" s="13" t="inlineStr">
        <is>
          <t>Foundations (FDN)</t>
        </is>
      </c>
      <c r="I1306" s="13" t="inlineStr">
        <is>
          <t>Não</t>
        </is>
      </c>
      <c r="J1306" s="13" t="n">
        <v>2024</v>
      </c>
      <c r="K1306" s="10" t="n">
        <v>46055</v>
      </c>
      <c r="L1306" s="13" t="n">
        <v>1</v>
      </c>
      <c r="M1306" s="8">
        <f>L1306*G1306</f>
        <v/>
      </c>
      <c r="P1306" s="9" t="n"/>
    </row>
    <row r="1307">
      <c r="A1307" s="13" t="inlineStr">
        <is>
          <t>Gnarlroot Trapper / Armadilheiro das Raízes Nodosas</t>
        </is>
      </c>
      <c r="B1307" s="13" t="inlineStr">
        <is>
          <t>Creature — Elf Druid / Criatura — Elfo Druida</t>
        </is>
      </c>
      <c r="C1307" s="13" t="inlineStr">
        <is>
          <t>Uncommon / Incomum</t>
        </is>
      </c>
      <c r="D1307" s="13"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1307" s="13" t="inlineStr">
        <is>
          <t>{B}</t>
        </is>
      </c>
      <c r="F1307" s="13" t="inlineStr">
        <is>
          <t>Preto</t>
        </is>
      </c>
      <c r="G1307" s="8" t="n">
        <v>2.98</v>
      </c>
      <c r="H1307" s="13" t="inlineStr">
        <is>
          <t>Magic Origins (ORI)</t>
        </is>
      </c>
      <c r="I1307" s="13" t="inlineStr">
        <is>
          <t>Sim</t>
        </is>
      </c>
      <c r="J1307" s="13" t="n">
        <v>2015</v>
      </c>
      <c r="K1307" s="10" t="n">
        <v>46023</v>
      </c>
      <c r="L1307" s="13" t="n">
        <v>1</v>
      </c>
      <c r="M1307" s="8">
        <f>L1307*G1307</f>
        <v/>
      </c>
      <c r="N1307" s="13" t="inlineStr">
        <is>
          <t>Pasta</t>
        </is>
      </c>
      <c r="P1307" s="9" t="n"/>
    </row>
    <row r="1308">
      <c r="A1308" s="13" t="inlineStr">
        <is>
          <t>Gnawing Zombie</t>
        </is>
      </c>
      <c r="B1308" s="13" t="inlineStr">
        <is>
          <t>Creature — Zombie</t>
        </is>
      </c>
      <c r="C1308" s="13" t="inlineStr">
        <is>
          <t>Common</t>
        </is>
      </c>
      <c r="D1308" s="13" t="inlineStr">
        <is>
          <t>{1}{B}, Sacrifice a creature: Target player loses 1 life and you gain 1 life.</t>
        </is>
      </c>
      <c r="E1308" s="13" t="inlineStr">
        <is>
          <t>{1}{B}</t>
        </is>
      </c>
      <c r="F1308" s="13" t="inlineStr">
        <is>
          <t>Black</t>
        </is>
      </c>
      <c r="G1308" s="8" t="n">
        <v>0.05</v>
      </c>
      <c r="H1308" s="13" t="inlineStr">
        <is>
          <t>Magic 2014 (M14)</t>
        </is>
      </c>
      <c r="I1308" s="13" t="inlineStr">
        <is>
          <t>No</t>
        </is>
      </c>
      <c r="J1308" s="13" t="n">
        <v>2013</v>
      </c>
      <c r="K1308" s="10" t="n">
        <v>46082</v>
      </c>
      <c r="L1308" s="13" t="n">
        <v>4</v>
      </c>
      <c r="M1308" s="8">
        <f>L1308*G1308</f>
        <v/>
      </c>
      <c r="P1308" s="9" t="n"/>
    </row>
    <row r="1309">
      <c r="A1309" s="13" t="inlineStr">
        <is>
          <t>Gnoll Hunter / Caçador Gnoll</t>
        </is>
      </c>
      <c r="B1309" s="13" t="inlineStr">
        <is>
          <t>Creature — Gnoll / Criatura — Gnoll</t>
        </is>
      </c>
      <c r="C1309" s="13" t="inlineStr">
        <is>
          <t>Common / Comum</t>
        </is>
      </c>
      <c r="D1309" s="13"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09" s="13" t="inlineStr">
        <is>
          <t>{1}{G}</t>
        </is>
      </c>
      <c r="F1309" s="13" t="inlineStr">
        <is>
          <t>Verde</t>
        </is>
      </c>
      <c r="G1309" s="8" t="n">
        <v>0.04</v>
      </c>
      <c r="H1309" s="13" t="inlineStr">
        <is>
          <t>Adventures in the Forgotten Realms (AFR)</t>
        </is>
      </c>
      <c r="I1309" s="13" t="inlineStr">
        <is>
          <t>Não</t>
        </is>
      </c>
      <c r="J1309" s="13" t="n">
        <v>2021</v>
      </c>
      <c r="K1309" s="10" t="n">
        <v>46055</v>
      </c>
      <c r="L1309" s="13" t="n">
        <v>1</v>
      </c>
      <c r="M1309" s="8">
        <f>L1309*G1309</f>
        <v/>
      </c>
      <c r="P1309" s="9" t="n"/>
    </row>
    <row r="1310">
      <c r="A1310" s="13" t="inlineStr">
        <is>
          <t>Gnomo-bússola / Compass Gnome</t>
        </is>
      </c>
      <c r="B1310" s="13" t="inlineStr">
        <is>
          <t>Artifact Creature — Gnome / Criatura Artefato — Gnomo</t>
        </is>
      </c>
      <c r="C1310" s="13" t="inlineStr">
        <is>
          <t>Common / Comum</t>
        </is>
      </c>
      <c r="D1310" s="13"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1310" s="13" t="inlineStr">
        <is>
          <t>{2}</t>
        </is>
      </c>
      <c r="F1310" s="13" t="inlineStr">
        <is>
          <t>Incolor</t>
        </is>
      </c>
      <c r="G1310" s="8" t="n">
        <v>0.05</v>
      </c>
      <c r="H1310" s="13" t="inlineStr">
        <is>
          <t>The Lost Caverns of Ixalan (LCI)</t>
        </is>
      </c>
      <c r="I1310" s="13" t="inlineStr">
        <is>
          <t>No</t>
        </is>
      </c>
      <c r="J1310" s="13" t="n">
        <v>2023</v>
      </c>
      <c r="K1310" s="10" t="n">
        <v>46024</v>
      </c>
      <c r="L1310" s="13" t="n">
        <v>1</v>
      </c>
      <c r="M1310" s="8">
        <f>L1310*G1310</f>
        <v/>
      </c>
      <c r="P1310" s="9" t="n"/>
    </row>
    <row r="1311">
      <c r="A1311" s="13" t="inlineStr">
        <is>
          <t>Go Ninja Go</t>
        </is>
      </c>
      <c r="B1311" s="13" t="inlineStr">
        <is>
          <t>Sorcery</t>
        </is>
      </c>
      <c r="C1311" s="13" t="inlineStr">
        <is>
          <t>Uncommon / Incomum</t>
        </is>
      </c>
      <c r="D1311" s="13" t="inlineStr">
        <is>
          <t>Choose one or both — • Exile target creature you control, then return it to the battlefield under its owner's control. • Go Ninja Go deals damage equal to the greatest power among creatures you control to target creature an opponent controls.</t>
        </is>
      </c>
      <c r="E1311" s="13" t="inlineStr">
        <is>
          <t>{R}{W}</t>
        </is>
      </c>
      <c r="F1311" s="13" t="inlineStr">
        <is>
          <t>Vermelho, Branco</t>
        </is>
      </c>
      <c r="G1311" s="8" t="n">
        <v>0.16</v>
      </c>
      <c r="H1311" s="13" t="inlineStr">
        <is>
          <t>Teenage Mutant Ninja Turtles (TMT)</t>
        </is>
      </c>
      <c r="I1311" s="13" t="inlineStr">
        <is>
          <t>Não</t>
        </is>
      </c>
      <c r="J1311" s="13" t="n">
        <v>2026</v>
      </c>
      <c r="L1311" s="13" t="n">
        <v>1</v>
      </c>
      <c r="M1311" s="8">
        <f>L1311*G1311</f>
        <v/>
      </c>
      <c r="P1311" s="9" t="n"/>
    </row>
    <row r="1312">
      <c r="A1312" s="13" t="inlineStr">
        <is>
          <t>Go-Shintai of Hidden Cruelty / Go-Shintai da Crueldade Oculta</t>
        </is>
      </c>
      <c r="B1312" s="13" t="inlineStr">
        <is>
          <t>Legendary Enchantment Creature — Shrine / Criatura Encantamento Lendária — Sacrário</t>
        </is>
      </c>
      <c r="C1312" s="13" t="inlineStr">
        <is>
          <t>Uncommon / Incomum</t>
        </is>
      </c>
      <c r="D1312" s="13"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12" s="13" t="inlineStr">
        <is>
          <t>{3}{B}</t>
        </is>
      </c>
      <c r="F1312" s="13" t="inlineStr">
        <is>
          <t>Preto</t>
        </is>
      </c>
      <c r="G1312" s="8" t="n">
        <v>0.2</v>
      </c>
      <c r="H1312" s="13" t="inlineStr">
        <is>
          <t>Kamigawa: Neon Dynasty (NEO)</t>
        </is>
      </c>
      <c r="I1312" s="13" t="inlineStr">
        <is>
          <t>Não</t>
        </is>
      </c>
      <c r="J1312" s="13" t="n">
        <v>2022</v>
      </c>
      <c r="K1312" s="10" t="n">
        <v>46055</v>
      </c>
      <c r="L1312" s="13" t="n">
        <v>1</v>
      </c>
      <c r="M1312" s="8">
        <f>L1312*G1312</f>
        <v/>
      </c>
      <c r="P1312" s="9" t="n"/>
    </row>
    <row r="1313">
      <c r="A1313" s="13" t="inlineStr">
        <is>
          <t>Goblin Archaeologist / Arqueólogo Goblin</t>
        </is>
      </c>
      <c r="B1313" s="13" t="inlineStr">
        <is>
          <t>Creature — Goblin Artificer / Criatura — Artesão Goblin</t>
        </is>
      </c>
      <c r="C1313" s="13" t="inlineStr">
        <is>
          <t>Uncommon / Incomum</t>
        </is>
      </c>
      <c r="D1313" s="13"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13" s="13" t="inlineStr">
        <is>
          <t>{1}{R}</t>
        </is>
      </c>
      <c r="F1313" s="13" t="inlineStr">
        <is>
          <t>Vermelho</t>
        </is>
      </c>
      <c r="G1313" s="8" t="n">
        <v>0.33</v>
      </c>
      <c r="H1313" s="13" t="inlineStr">
        <is>
          <t>Darksteel (DST)</t>
        </is>
      </c>
      <c r="I1313" s="13" t="inlineStr">
        <is>
          <t>Não</t>
        </is>
      </c>
      <c r="J1313" s="13" t="n">
        <v>2004</v>
      </c>
      <c r="K1313" s="10" t="n">
        <v>46054</v>
      </c>
      <c r="L1313" s="13" t="n">
        <v>1</v>
      </c>
      <c r="M1313" s="8">
        <f>L1313*G1313</f>
        <v/>
      </c>
      <c r="P1313" s="9" t="n"/>
    </row>
    <row r="1314">
      <c r="A1314" s="13" t="inlineStr">
        <is>
          <t>Goblin Balloon Brigade / Brigada Baloeira Goblin</t>
        </is>
      </c>
      <c r="B1314" s="13" t="inlineStr">
        <is>
          <t>Creature — Goblin Warrior / Criatura — Goblin Guerreiro</t>
        </is>
      </c>
      <c r="C1314" s="13" t="inlineStr">
        <is>
          <t>Uncommon / Incomum</t>
        </is>
      </c>
      <c r="D1314" s="13" t="inlineStr">
        <is>
          <t>{R}: This creature gains flying until end of turn. / {R}: Brigada Baloeira Goblin ganha a habilidade de voar até o final do turno.</t>
        </is>
      </c>
      <c r="E1314" s="13" t="inlineStr">
        <is>
          <t>{R}</t>
        </is>
      </c>
      <c r="F1314" s="13" t="inlineStr">
        <is>
          <t>Vermelho</t>
        </is>
      </c>
      <c r="G1314" s="8" t="n">
        <v>0.25</v>
      </c>
      <c r="H1314" s="13" t="inlineStr">
        <is>
          <t xml:space="preserve">Fourth Edition </t>
        </is>
      </c>
      <c r="I1314" s="13" t="inlineStr">
        <is>
          <t>Não</t>
        </is>
      </c>
      <c r="J1314" s="13" t="n">
        <v>1995</v>
      </c>
      <c r="K1314" s="10" t="n">
        <v>46023</v>
      </c>
      <c r="L1314" s="13" t="n">
        <v>1</v>
      </c>
      <c r="M1314" s="8">
        <f>L1314*G1314</f>
        <v/>
      </c>
      <c r="P1314" s="9" t="n"/>
    </row>
    <row r="1315">
      <c r="A1315" s="13" t="inlineStr">
        <is>
          <t>Goblin Boarders</t>
        </is>
      </c>
      <c r="B1315" s="13" t="inlineStr">
        <is>
          <t>Creature — Goblin Pirate</t>
        </is>
      </c>
      <c r="C1315" s="13" t="inlineStr">
        <is>
          <t>Common / Comum</t>
        </is>
      </c>
      <c r="D1315" s="13" t="inlineStr">
        <is>
          <t>Raid — This creature enters with a +1/+1 counter on it if you attacked this turn.</t>
        </is>
      </c>
      <c r="E1315" s="13" t="inlineStr">
        <is>
          <t>{2}{R}</t>
        </is>
      </c>
      <c r="F1315" s="13" t="inlineStr">
        <is>
          <t>Vermelho</t>
        </is>
      </c>
      <c r="G1315" s="8" t="n">
        <v>0.09</v>
      </c>
      <c r="H1315" s="13" t="inlineStr">
        <is>
          <t>Foundations (FDN)</t>
        </is>
      </c>
      <c r="I1315" s="13" t="inlineStr">
        <is>
          <t>Não</t>
        </is>
      </c>
      <c r="J1315" s="13" t="n">
        <v>2024</v>
      </c>
      <c r="K1315" s="10" t="n">
        <v>46056</v>
      </c>
      <c r="L1315" s="13" t="n">
        <v>1</v>
      </c>
      <c r="M1315" s="8">
        <f>L1315*G1315</f>
        <v/>
      </c>
      <c r="P1315" s="9" t="n"/>
    </row>
    <row r="1316">
      <c r="A1316" s="13" t="inlineStr">
        <is>
          <t>Goblin Bombardment / Bombardeio de Goblins</t>
        </is>
      </c>
      <c r="B1316" s="13" t="inlineStr">
        <is>
          <t>Encantamento</t>
        </is>
      </c>
      <c r="C1316" s="13" t="inlineStr">
        <is>
          <t>Incomum</t>
        </is>
      </c>
      <c r="D1316" s="13" t="inlineStr">
        <is>
          <t>Sacrifique uma criatura: Bombardeio de Goblins causa 1 de dano à criatura ou ao jogador alvo.</t>
        </is>
      </c>
      <c r="E1316" s="13" t="inlineStr">
        <is>
          <t>1R</t>
        </is>
      </c>
      <c r="F1316" s="13" t="inlineStr">
        <is>
          <t>Vermelho</t>
        </is>
      </c>
      <c r="G1316" s="8" t="n">
        <v>14.99</v>
      </c>
      <c r="H1316" s="13" t="inlineStr">
        <is>
          <t>Duel Decks: Speed vs. Cunning</t>
        </is>
      </c>
      <c r="I1316" s="13" t="inlineStr">
        <is>
          <t>Não</t>
        </is>
      </c>
      <c r="J1316" s="13" t="n">
        <v>2014</v>
      </c>
      <c r="L1316" s="13" t="n">
        <v>1</v>
      </c>
      <c r="M1316" s="8">
        <f>L1316*G1316</f>
        <v/>
      </c>
      <c r="P1316" s="9" t="n"/>
    </row>
    <row r="1317">
      <c r="A1317" s="13" t="inlineStr">
        <is>
          <t>Goblin Brawler / Rufião Goblin</t>
        </is>
      </c>
      <c r="B1317" s="13" t="inlineStr">
        <is>
          <t>Creature — Goblin Warrior / Criatura — Goblin Guerreiro</t>
        </is>
      </c>
      <c r="C1317" s="13" t="inlineStr">
        <is>
          <t>Common / Comum</t>
        </is>
      </c>
      <c r="D1317" s="13" t="inlineStr">
        <is>
          <t>First strike This creature can't be equipped. / Iniciativa Rufião Goblin não pode ser equipado.</t>
        </is>
      </c>
      <c r="E1317" s="13" t="inlineStr">
        <is>
          <t>{2}{R}</t>
        </is>
      </c>
      <c r="F1317" s="13" t="inlineStr">
        <is>
          <t>Vermelho</t>
        </is>
      </c>
      <c r="G1317" s="8" t="n">
        <v>0.06</v>
      </c>
      <c r="H1317" s="13" t="inlineStr">
        <is>
          <t>Fifth Dawn (5DN)</t>
        </is>
      </c>
      <c r="I1317" s="13" t="inlineStr">
        <is>
          <t>Não</t>
        </is>
      </c>
      <c r="J1317" s="13" t="n">
        <v>2004</v>
      </c>
      <c r="K1317" s="10" t="n">
        <v>46055</v>
      </c>
      <c r="L1317" s="13" t="n">
        <v>1</v>
      </c>
      <c r="M1317" s="8">
        <f>L1317*G1317</f>
        <v/>
      </c>
      <c r="P1317" s="9" t="n"/>
    </row>
    <row r="1318">
      <c r="A1318" s="13" t="inlineStr">
        <is>
          <t>Goblin Brigand / Bandoleiro Goblin</t>
        </is>
      </c>
      <c r="B1318" s="13" t="inlineStr">
        <is>
          <t>Creature — Goblin Warrior / Criatura — Guerreiro Goblin</t>
        </is>
      </c>
      <c r="C1318" s="13" t="inlineStr">
        <is>
          <t>Common / Comum</t>
        </is>
      </c>
      <c r="D1318" s="13" t="inlineStr">
        <is>
          <t>This creature attacks each combat if able. / Bandoleiro Goblin ataca a cada turno se estiver apto.</t>
        </is>
      </c>
      <c r="E1318" s="13" t="inlineStr">
        <is>
          <t>{1}{R}</t>
        </is>
      </c>
      <c r="F1318" s="13" t="inlineStr">
        <is>
          <t>Vermelho</t>
        </is>
      </c>
      <c r="G1318" s="8" t="n">
        <v>0.08</v>
      </c>
      <c r="H1318" s="13" t="inlineStr">
        <is>
          <t>Scourge (SCG)</t>
        </is>
      </c>
      <c r="I1318" s="13" t="inlineStr">
        <is>
          <t>Não</t>
        </is>
      </c>
      <c r="J1318" s="13" t="n">
        <v>2003</v>
      </c>
      <c r="K1318" s="10" t="n">
        <v>46055</v>
      </c>
      <c r="L1318" s="13" t="n">
        <v>1</v>
      </c>
      <c r="M1318" s="8">
        <f>L1318*G1318</f>
        <v/>
      </c>
      <c r="P1318" s="9" t="n"/>
    </row>
    <row r="1319">
      <c r="A1319" s="13" t="inlineStr">
        <is>
          <t>Goblin Clearcutter / Goblin Limpa-Caminhos</t>
        </is>
      </c>
      <c r="B1319" s="13" t="inlineStr">
        <is>
          <t>Creature — Goblin / Criatura — Goblin</t>
        </is>
      </c>
      <c r="C1319" s="13" t="inlineStr">
        <is>
          <t>Uncommon / Incomum</t>
        </is>
      </c>
      <c r="D1319" s="13" t="inlineStr">
        <is>
          <t>{T}, Sacrifice a Forest: Add three mana in any combination of {R} and/or {G}. / {T}, Sacrifique uma floresta: Adiciona três manas em qualquer combinação de vermelho e/ou verde à sua reserva de mana.</t>
        </is>
      </c>
      <c r="E1319" s="13" t="inlineStr">
        <is>
          <t>{3}{R}</t>
        </is>
      </c>
      <c r="F1319" s="13" t="inlineStr">
        <is>
          <t>Vermelho</t>
        </is>
      </c>
      <c r="G1319" s="8" t="n">
        <v>0.27</v>
      </c>
      <c r="H1319" s="13" t="inlineStr">
        <is>
          <t>Legions (LGN)</t>
        </is>
      </c>
      <c r="I1319" s="13" t="inlineStr">
        <is>
          <t>Não</t>
        </is>
      </c>
      <c r="J1319" s="13" t="n">
        <v>2003</v>
      </c>
      <c r="K1319" s="10" t="n">
        <v>46084</v>
      </c>
      <c r="L1319" s="13" t="n">
        <v>1</v>
      </c>
      <c r="M1319" s="8">
        <f>L1319*G1319</f>
        <v/>
      </c>
      <c r="P1319" s="9" t="n"/>
    </row>
    <row r="1320">
      <c r="A1320" s="13" t="inlineStr">
        <is>
          <t>Goblin Cratermaker / Cratereiro Goblin</t>
        </is>
      </c>
      <c r="B1320" s="13" t="inlineStr">
        <is>
          <t>Criatura — Goblin Guerreiro</t>
        </is>
      </c>
      <c r="C1320" s="13" t="inlineStr">
        <is>
          <t>Incomum</t>
        </is>
      </c>
      <c r="D1320" s="13" t="inlineStr">
        <is>
          <t>{1}, sacrifique Cratereiro Goblin: Escolha um — • Cratereiro Goblin causa 2 pontos de dano à criatura alvo. • Destrua a permanente incolor alvo que não seja um terreno.</t>
        </is>
      </c>
      <c r="E1320" s="13" t="inlineStr">
        <is>
          <t>1{R}</t>
        </is>
      </c>
      <c r="F1320" s="13" t="inlineStr">
        <is>
          <t>Vermelho</t>
        </is>
      </c>
      <c r="G1320" s="8" t="n">
        <v>0.19</v>
      </c>
      <c r="H1320" s="13" t="inlineStr">
        <is>
          <t>Guilds of Ravnica</t>
        </is>
      </c>
      <c r="I1320" s="13" t="inlineStr">
        <is>
          <t>Não</t>
        </is>
      </c>
      <c r="J1320" s="13" t="n">
        <v>2018</v>
      </c>
      <c r="K1320" s="10" t="n">
        <v>46055</v>
      </c>
      <c r="L1320" s="13" t="n">
        <v>1</v>
      </c>
      <c r="M1320" s="8">
        <f>L1320*G1320</f>
        <v/>
      </c>
      <c r="P1320" s="9" t="n"/>
    </row>
    <row r="1321">
      <c r="A1321" s="13" t="inlineStr">
        <is>
          <t>Goblin Dark-Dwellers / Umbrígeos Goblins</t>
        </is>
      </c>
      <c r="B1321" s="13" t="inlineStr">
        <is>
          <t>Creature — Goblin / Criatura — Goblin</t>
        </is>
      </c>
      <c r="C1321" s="13" t="inlineStr">
        <is>
          <t>Rare / Rara</t>
        </is>
      </c>
      <c r="D1321" s="13"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321" s="13" t="inlineStr">
        <is>
          <t>{3}{R}{R}</t>
        </is>
      </c>
      <c r="F1321" s="13" t="inlineStr">
        <is>
          <t>Vermelho</t>
        </is>
      </c>
      <c r="G1321" s="8" t="n">
        <v>0.98</v>
      </c>
      <c r="H1321" s="13" t="inlineStr">
        <is>
          <t>Oath of the Gatewatch (OGW)</t>
        </is>
      </c>
      <c r="I1321" s="13" t="inlineStr">
        <is>
          <t>Sim</t>
        </is>
      </c>
      <c r="J1321" s="13" t="n">
        <v>2016</v>
      </c>
      <c r="K1321" s="10" t="n">
        <v>46116</v>
      </c>
      <c r="L1321" s="13" t="n">
        <v>1</v>
      </c>
      <c r="M1321" s="8">
        <f>L1321*G1321</f>
        <v/>
      </c>
      <c r="P1321" s="9" t="n"/>
    </row>
    <row r="1322">
      <c r="A1322" s="13" t="inlineStr">
        <is>
          <t>Goblin Deathraiders / Saqueadores da Morte Goblins</t>
        </is>
      </c>
      <c r="B1322" s="13" t="inlineStr">
        <is>
          <t>Criatura — Goblino Guerreiro</t>
        </is>
      </c>
      <c r="C1322" s="13" t="inlineStr">
        <is>
          <t>Comum</t>
        </is>
      </c>
      <c r="D1322" s="13" t="inlineStr">
        <is>
          <t>Atropelar</t>
        </is>
      </c>
      <c r="E1322" s="13" t="inlineStr">
        <is>
          <t>BR</t>
        </is>
      </c>
      <c r="F1322" s="13" t="inlineStr">
        <is>
          <t>Multicolorido</t>
        </is>
      </c>
      <c r="G1322" s="8" t="n">
        <v>0.09</v>
      </c>
      <c r="H1322" s="13" t="inlineStr">
        <is>
          <t>Duel Decks: Speed vs. Cunning</t>
        </is>
      </c>
      <c r="I1322" s="13" t="inlineStr">
        <is>
          <t>Não</t>
        </is>
      </c>
      <c r="J1322" s="13" t="n">
        <v>2014</v>
      </c>
      <c r="K1322" s="10" t="n">
        <v>46025</v>
      </c>
      <c r="L1322" s="13" t="n">
        <v>1</v>
      </c>
      <c r="M1322" s="8">
        <f>L1322*G1322</f>
        <v/>
      </c>
      <c r="P1322" s="9" t="n"/>
    </row>
    <row r="1323">
      <c r="A1323" s="13" t="inlineStr">
        <is>
          <t>Goblin Digging Team / Grupo de Goblins Escavadores</t>
        </is>
      </c>
      <c r="B1323" s="13" t="inlineStr">
        <is>
          <t>Creature — Goblin</t>
        </is>
      </c>
      <c r="C1323" s="13" t="inlineStr">
        <is>
          <t>Common / Comum</t>
        </is>
      </c>
      <c r="D1323" s="13" t="inlineStr">
        <is>
          <t>{T}, Sacrifice this creature: Destroy target Wall.</t>
        </is>
      </c>
      <c r="E1323" s="13" t="inlineStr">
        <is>
          <t>{R}</t>
        </is>
      </c>
      <c r="F1323" s="13" t="inlineStr">
        <is>
          <t>Vermelho</t>
        </is>
      </c>
      <c r="G1323" s="8" t="n">
        <v>0.09</v>
      </c>
      <c r="H1323" s="13" t="inlineStr">
        <is>
          <t xml:space="preserve">Chronicles </t>
        </is>
      </c>
      <c r="I1323" s="13" t="inlineStr">
        <is>
          <t>Não</t>
        </is>
      </c>
      <c r="J1323" s="13" t="n">
        <v>1995</v>
      </c>
      <c r="K1323" s="10" t="n">
        <v>46023</v>
      </c>
      <c r="L1323" s="13" t="n">
        <v>2</v>
      </c>
      <c r="M1323" s="8">
        <f>L1323*G1323</f>
        <v/>
      </c>
      <c r="P1323" s="9" t="n"/>
    </row>
    <row r="1324">
      <c r="A1324" s="13" t="inlineStr">
        <is>
          <t>Goblin Dynamo / Dínamo Goblin</t>
        </is>
      </c>
      <c r="B1324" s="13" t="inlineStr">
        <is>
          <t>Creature — Goblin Mutant / Criatura — Goblin Mutante</t>
        </is>
      </c>
      <c r="C1324" s="13" t="inlineStr">
        <is>
          <t>Uncommon / Incomum</t>
        </is>
      </c>
      <c r="D1324" s="13"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1324" s="13" t="inlineStr">
        <is>
          <t>{5}{R}{R}</t>
        </is>
      </c>
      <c r="F1324" s="13" t="inlineStr">
        <is>
          <t>Vermelho</t>
        </is>
      </c>
      <c r="G1324" s="8" t="n">
        <v>0.45</v>
      </c>
      <c r="H1324" s="13" t="inlineStr">
        <is>
          <t>Legions (LGN)</t>
        </is>
      </c>
      <c r="I1324" s="13" t="inlineStr">
        <is>
          <t>Não</t>
        </is>
      </c>
      <c r="J1324" s="13" t="n">
        <v>2003</v>
      </c>
      <c r="K1324" s="10" t="n">
        <v>46116</v>
      </c>
      <c r="L1324" s="13" t="n">
        <v>1</v>
      </c>
      <c r="M1324" s="8">
        <f>L1324*G1324</f>
        <v/>
      </c>
      <c r="P1324" s="9" t="n"/>
    </row>
    <row r="1325">
      <c r="A1325" s="13" t="inlineStr">
        <is>
          <t>Goblin Firebug / Goblin Toca-Fogo</t>
        </is>
      </c>
      <c r="B1325" s="13" t="inlineStr">
        <is>
          <t>Creature — Goblin / Criatura — Goblin</t>
        </is>
      </c>
      <c r="C1325" s="13" t="inlineStr">
        <is>
          <t>Common / Comum</t>
        </is>
      </c>
      <c r="D1325" s="13" t="inlineStr">
        <is>
          <t>When this creature leaves the battlefield, sacrifice a land. / Quando Goblin Toca-Fogo sair de jogo, sacrifique um terreno.</t>
        </is>
      </c>
      <c r="E1325" s="13" t="inlineStr">
        <is>
          <t>{1}{R}</t>
        </is>
      </c>
      <c r="F1325" s="13" t="inlineStr">
        <is>
          <t>Vermelho</t>
        </is>
      </c>
      <c r="G1325" s="8" t="n">
        <v>0.08</v>
      </c>
      <c r="H1325" s="13" t="inlineStr">
        <is>
          <t>Legions (LGN)</t>
        </is>
      </c>
      <c r="I1325" s="13" t="inlineStr">
        <is>
          <t>Não</t>
        </is>
      </c>
      <c r="J1325" s="13" t="n">
        <v>2003</v>
      </c>
      <c r="K1325" s="10" t="n">
        <v>46055</v>
      </c>
      <c r="L1325" s="13" t="n">
        <v>1</v>
      </c>
      <c r="M1325" s="8">
        <f>L1325*G1325</f>
        <v/>
      </c>
      <c r="P1325" s="9" t="n"/>
    </row>
    <row r="1326">
      <c r="A1326" s="13" t="inlineStr">
        <is>
          <t>Goblin Gathering / Encontro de Goblins</t>
        </is>
      </c>
      <c r="B1326" s="13" t="inlineStr">
        <is>
          <t>Sorcery / Feitiço</t>
        </is>
      </c>
      <c r="C1326" s="13" t="inlineStr">
        <is>
          <t>Common / Comum</t>
        </is>
      </c>
      <c r="D1326" s="13"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326" s="13" t="inlineStr">
        <is>
          <t>{2}{R}</t>
        </is>
      </c>
      <c r="F1326" s="13" t="inlineStr">
        <is>
          <t>Vermelho</t>
        </is>
      </c>
      <c r="G1326" s="8" t="n">
        <v>0.06</v>
      </c>
      <c r="H1326" s="13" t="inlineStr">
        <is>
          <t>Ravnica Allegiance (RNA)</t>
        </is>
      </c>
      <c r="I1326" s="13" t="inlineStr">
        <is>
          <t>Não</t>
        </is>
      </c>
      <c r="J1326" s="13" t="n">
        <v>2019</v>
      </c>
      <c r="L1326" s="13" t="n">
        <v>1</v>
      </c>
      <c r="M1326" s="8">
        <f>L1326*G1326</f>
        <v/>
      </c>
      <c r="P1326" s="9" t="n"/>
    </row>
    <row r="1327">
      <c r="A1327" s="13" t="inlineStr">
        <is>
          <t>Goblin Glasswright / Vidreiro Goblin</t>
        </is>
      </c>
      <c r="B1327" s="13" t="inlineStr">
        <is>
          <t>Creature — Goblin Sorcerer / Criatura — Goblin Feiticeiro</t>
        </is>
      </c>
      <c r="C1327" s="13" t="inlineStr">
        <is>
          <t>Common / Comum</t>
        </is>
      </c>
      <c r="D1327" s="13"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1327" s="13" t="inlineStr">
        <is>
          <t>{1}{R}</t>
        </is>
      </c>
      <c r="F1327" s="13" t="inlineStr">
        <is>
          <t>Vermelho</t>
        </is>
      </c>
      <c r="G1327" s="8" t="n">
        <v>0.38</v>
      </c>
      <c r="H1327" s="13" t="inlineStr">
        <is>
          <t>Shadows of Sothia (SOS)</t>
        </is>
      </c>
      <c r="I1327" s="13" t="inlineStr">
        <is>
          <t>Sim</t>
        </is>
      </c>
      <c r="J1327" s="13" t="n">
        <v>2026</v>
      </c>
      <c r="K1327" s="10" t="n">
        <v>46055</v>
      </c>
      <c r="L1327" s="13" t="n">
        <v>1</v>
      </c>
      <c r="M1327" s="8">
        <f>L1327*G1327</f>
        <v/>
      </c>
      <c r="P1327" s="9" t="n"/>
    </row>
    <row r="1328">
      <c r="A1328" s="13" t="inlineStr">
        <is>
          <t>Goblin Grappler / Goblin Agarrador</t>
        </is>
      </c>
      <c r="B1328" s="13" t="inlineStr">
        <is>
          <t>Creature — Goblin / Criatura — Goblin</t>
        </is>
      </c>
      <c r="C1328" s="13" t="inlineStr">
        <is>
          <t>Common / Comum</t>
        </is>
      </c>
      <c r="D1328" s="13"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1328" s="13" t="inlineStr">
        <is>
          <t>{R}</t>
        </is>
      </c>
      <c r="F1328" s="13" t="inlineStr">
        <is>
          <t>Vermelho</t>
        </is>
      </c>
      <c r="G1328" s="8" t="n">
        <v>0.12</v>
      </c>
      <c r="H1328" s="13" t="inlineStr">
        <is>
          <t>Legions (LGN)</t>
        </is>
      </c>
      <c r="I1328" s="13" t="inlineStr">
        <is>
          <t>Não</t>
        </is>
      </c>
      <c r="J1328" s="13" t="n">
        <v>2003</v>
      </c>
      <c r="K1328" s="10" t="n">
        <v>46023</v>
      </c>
      <c r="L1328" s="13" t="n">
        <v>1</v>
      </c>
      <c r="M1328" s="8">
        <f>L1328*G1328</f>
        <v/>
      </c>
      <c r="P1328" s="9" t="n"/>
    </row>
    <row r="1329">
      <c r="A1329" s="13" t="inlineStr">
        <is>
          <t>Goblin Heelcutter / Goblin Corta-calcanhar</t>
        </is>
      </c>
      <c r="B1329" s="13" t="inlineStr">
        <is>
          <t>Creature — Goblin Berserker / Criatura — Goblin Amoque</t>
        </is>
      </c>
      <c r="C1329" s="13" t="inlineStr">
        <is>
          <t>Common / Comum</t>
        </is>
      </c>
      <c r="D1329" s="13"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329" s="13" t="inlineStr">
        <is>
          <t>{3}{R}</t>
        </is>
      </c>
      <c r="F1329" s="13" t="inlineStr">
        <is>
          <t>Vermelho</t>
        </is>
      </c>
      <c r="G1329" s="8" t="n">
        <v>0.08</v>
      </c>
      <c r="H1329" s="13" t="inlineStr">
        <is>
          <t>Fate Reforged (FRF)</t>
        </is>
      </c>
      <c r="I1329" s="13" t="inlineStr">
        <is>
          <t>Não</t>
        </is>
      </c>
      <c r="J1329" s="13" t="n">
        <v>2015</v>
      </c>
      <c r="K1329" s="10" t="n">
        <v>46056</v>
      </c>
      <c r="L1329" s="13" t="n">
        <v>1</v>
      </c>
      <c r="M1329" s="8">
        <f>L1329*G1329</f>
        <v/>
      </c>
      <c r="P1329" s="9" t="n"/>
    </row>
    <row r="1330">
      <c r="A1330" s="13" t="inlineStr">
        <is>
          <t>Goblin Kaboomist / Goblin Cabumista</t>
        </is>
      </c>
      <c r="B1330" s="13" t="inlineStr">
        <is>
          <t>Creature — Goblin Warrior / Criatura — Goblin Guerreiro</t>
        </is>
      </c>
      <c r="C1330" s="13" t="inlineStr">
        <is>
          <t>Rare / Rara</t>
        </is>
      </c>
      <c r="D1330" s="13"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330" s="13" t="inlineStr">
        <is>
          <t>{1}{R}</t>
        </is>
      </c>
      <c r="F1330" s="13" t="inlineStr">
        <is>
          <t>Vermelho</t>
        </is>
      </c>
      <c r="G1330" s="8" t="n">
        <v>0.25</v>
      </c>
      <c r="H1330" s="13" t="inlineStr">
        <is>
          <t>Magic 2015 (M15)</t>
        </is>
      </c>
      <c r="I1330" s="13" t="inlineStr">
        <is>
          <t>Não</t>
        </is>
      </c>
      <c r="J1330" s="13" t="n">
        <v>2014</v>
      </c>
      <c r="K1330" s="10" t="n">
        <v>46054</v>
      </c>
      <c r="L1330" s="13" t="n">
        <v>1</v>
      </c>
      <c r="M1330" s="8">
        <f>L1330*G1330</f>
        <v/>
      </c>
      <c r="P1330" s="9" t="n"/>
    </row>
    <row r="1331">
      <c r="A1331" s="13" t="inlineStr">
        <is>
          <t>Goblin Machinist / Maquinista Goblin</t>
        </is>
      </c>
      <c r="B1331" s="13" t="inlineStr">
        <is>
          <t>Creature — Goblin / Criatura — Goblin</t>
        </is>
      </c>
      <c r="C1331" s="13" t="inlineStr">
        <is>
          <t>Uncommon / Incomum</t>
        </is>
      </c>
      <c r="D1331" s="13"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1331" s="13" t="inlineStr">
        <is>
          <t>{4}{R}</t>
        </is>
      </c>
      <c r="F1331" s="13" t="inlineStr">
        <is>
          <t>Vermelho</t>
        </is>
      </c>
      <c r="G1331" s="8" t="n">
        <v>0.08</v>
      </c>
      <c r="H1331" s="13" t="inlineStr">
        <is>
          <t>Onslaught (ONS)</t>
        </is>
      </c>
      <c r="I1331" s="13" t="inlineStr">
        <is>
          <t>Não</t>
        </is>
      </c>
      <c r="J1331" s="13" t="n">
        <v>2002</v>
      </c>
      <c r="K1331" s="13" t="inlineStr">
        <is>
          <t>0/5</t>
        </is>
      </c>
      <c r="L1331" s="13" t="n">
        <v>1</v>
      </c>
      <c r="M1331" s="8">
        <f>L1331*G1331</f>
        <v/>
      </c>
      <c r="P1331" s="9" t="n"/>
    </row>
    <row r="1332">
      <c r="A1332" s="13" t="inlineStr">
        <is>
          <t>Goblin Razerunners / Arrasa-quarteirões Goblin</t>
        </is>
      </c>
      <c r="B1332" s="13" t="inlineStr">
        <is>
          <t>Creature — Goblin Warrior / Criatura — Goblin Guerreiro</t>
        </is>
      </c>
      <c r="C1332" s="13" t="inlineStr">
        <is>
          <t>Rare / Rara</t>
        </is>
      </c>
      <c r="D1332" s="13"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32" s="13" t="inlineStr">
        <is>
          <t>{2}{R}{R}</t>
        </is>
      </c>
      <c r="F1332" s="13" t="inlineStr">
        <is>
          <t>Vermelho</t>
        </is>
      </c>
      <c r="G1332" s="8" t="n">
        <v>0.25</v>
      </c>
      <c r="H1332" s="13" t="inlineStr">
        <is>
          <t>Battlebond (BBD)</t>
        </is>
      </c>
      <c r="I1332" s="13" t="inlineStr">
        <is>
          <t>Não</t>
        </is>
      </c>
      <c r="J1332" s="13" t="n">
        <v>2018</v>
      </c>
      <c r="K1332" s="10" t="n">
        <v>46115</v>
      </c>
      <c r="L1332" s="13" t="n">
        <v>1</v>
      </c>
      <c r="M1332" s="8">
        <f>L1332*G1332</f>
        <v/>
      </c>
      <c r="P1332" s="9" t="n"/>
    </row>
    <row r="1333">
      <c r="A1333" s="13" t="inlineStr">
        <is>
          <t>Goblin Replica / Réplica de Goblin</t>
        </is>
      </c>
      <c r="B1333" s="13" t="inlineStr">
        <is>
          <t>Artifact Creature — Goblin / Criatura Artefato — Goblin</t>
        </is>
      </c>
      <c r="C1333" s="13" t="inlineStr">
        <is>
          <t>Common / Comum</t>
        </is>
      </c>
      <c r="D1333" s="13" t="inlineStr">
        <is>
          <t>{3}{R}, Sacrifice Goblin Replica: Destroy target artifact. / {3}{R}, Sacrifique Réplica de Goblin: Destrua o artefato alvo.</t>
        </is>
      </c>
      <c r="E1333" s="13" t="inlineStr">
        <is>
          <t>{3}</t>
        </is>
      </c>
      <c r="F1333" s="13" t="inlineStr">
        <is>
          <t>Incolor</t>
        </is>
      </c>
      <c r="G1333" s="8" t="n">
        <v>0.05</v>
      </c>
      <c r="H1333" s="13" t="inlineStr">
        <is>
          <t>Mirrodin (MRD)</t>
        </is>
      </c>
      <c r="I1333" s="13" t="inlineStr">
        <is>
          <t>No</t>
        </is>
      </c>
      <c r="J1333" s="13" t="n">
        <v>2003</v>
      </c>
      <c r="K1333" s="10" t="n">
        <v>46055</v>
      </c>
      <c r="L1333" s="13" t="n">
        <v>1</v>
      </c>
      <c r="M1333" s="8">
        <f>L1333*G1333</f>
        <v/>
      </c>
      <c r="P1333" s="9" t="n"/>
    </row>
    <row r="1334">
      <c r="A1334" s="13" t="inlineStr">
        <is>
          <t>Goblin Ringleader / Líder da Gangue Goblin</t>
        </is>
      </c>
      <c r="B1334" s="13" t="inlineStr">
        <is>
          <t>Creature — Goblin / Criatura — Goblin</t>
        </is>
      </c>
      <c r="C1334" s="13" t="inlineStr">
        <is>
          <t>Uncommon / Incomum</t>
        </is>
      </c>
      <c r="D1334" s="13"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334" s="13" t="inlineStr">
        <is>
          <t>{3}{R}</t>
        </is>
      </c>
      <c r="F1334" s="13" t="inlineStr">
        <is>
          <t>Vermelho</t>
        </is>
      </c>
      <c r="G1334" s="8" t="n">
        <v>0.45</v>
      </c>
      <c r="H1334" s="13" t="inlineStr">
        <is>
          <t>Magic 2020 (M20)</t>
        </is>
      </c>
      <c r="I1334" s="13" t="inlineStr">
        <is>
          <t>Não</t>
        </is>
      </c>
      <c r="J1334" s="13" t="n">
        <v>2019</v>
      </c>
      <c r="K1334" s="10" t="n">
        <v>46055</v>
      </c>
      <c r="L1334" s="13" t="n">
        <v>1</v>
      </c>
      <c r="M1334" s="8">
        <f>L1334*G1334</f>
        <v/>
      </c>
      <c r="P1334" s="9" t="n"/>
    </row>
    <row r="1335">
      <c r="A1335" s="13" t="inlineStr">
        <is>
          <t>Goblin Rock Sled / Martelo de Pedra Goblin</t>
        </is>
      </c>
      <c r="B1335" s="13" t="inlineStr">
        <is>
          <t>Creature — Goblin</t>
        </is>
      </c>
      <c r="C1335" s="13" t="inlineStr">
        <is>
          <t>Common / Comum</t>
        </is>
      </c>
      <c r="D1335" s="13" t="inlineStr">
        <is>
          <t>Trample This creature doesn't untap during your untap step if it attacked during your last turn. This creature can't attack unless defending player controls a Mountain.</t>
        </is>
      </c>
      <c r="E1335" s="13" t="inlineStr">
        <is>
          <t>{1}{R}</t>
        </is>
      </c>
      <c r="F1335" s="13" t="inlineStr">
        <is>
          <t>Vermelho</t>
        </is>
      </c>
      <c r="G1335" s="8" t="n">
        <v>0.08</v>
      </c>
      <c r="H1335" s="13" t="inlineStr">
        <is>
          <t>Fourth Edition</t>
        </is>
      </c>
      <c r="I1335" s="13" t="inlineStr">
        <is>
          <t>Não</t>
        </is>
      </c>
      <c r="J1335" s="13" t="n">
        <v>1995</v>
      </c>
      <c r="K1335" s="10" t="n">
        <v>46025</v>
      </c>
      <c r="L1335" s="13" t="n">
        <v>3</v>
      </c>
      <c r="M1335" s="8">
        <f>L1335*G1335</f>
        <v/>
      </c>
      <c r="P1335" s="9" t="n"/>
    </row>
    <row r="1336">
      <c r="A1336" s="13" t="inlineStr">
        <is>
          <t>Goblin Rock Sled / Martelo de Pedra Goblin</t>
        </is>
      </c>
      <c r="B1336" s="13" t="inlineStr">
        <is>
          <t>Creature — Goblin</t>
        </is>
      </c>
      <c r="C1336" s="13" t="inlineStr">
        <is>
          <t>Common / Comum</t>
        </is>
      </c>
      <c r="D1336" s="13" t="inlineStr">
        <is>
          <t>Trample This creature doesn't untap during your untap step if it attacked during your last turn. This creature can't attack unless defending player controls a Mountain.</t>
        </is>
      </c>
      <c r="E1336" s="13" t="inlineStr">
        <is>
          <t>{1}{R}</t>
        </is>
      </c>
      <c r="F1336" s="13" t="inlineStr">
        <is>
          <t>Vermelho</t>
        </is>
      </c>
      <c r="G1336" s="8" t="n">
        <v>0.17</v>
      </c>
      <c r="H1336" s="13" t="inlineStr">
        <is>
          <t>Fourth Edition (BB)</t>
        </is>
      </c>
      <c r="I1336" s="13" t="inlineStr">
        <is>
          <t>Não</t>
        </is>
      </c>
      <c r="J1336" s="13" t="n">
        <v>1995</v>
      </c>
      <c r="K1336" s="10" t="n">
        <v>46025</v>
      </c>
      <c r="L1336" s="13" t="n">
        <v>6</v>
      </c>
      <c r="M1336" s="8">
        <f>L1336*G1336</f>
        <v/>
      </c>
      <c r="P1336" s="9" t="n"/>
    </row>
    <row r="1337">
      <c r="A1337" s="13" t="inlineStr">
        <is>
          <t>Goblin Roughrider / Cavaleiro Valente Goblin</t>
        </is>
      </c>
      <c r="B1337" s="13" t="inlineStr">
        <is>
          <t>Creature — Goblin Knight / Criatura — Goblin Cavaleiro</t>
        </is>
      </c>
      <c r="C1337" s="13" t="inlineStr">
        <is>
          <t>Common / Comum</t>
        </is>
      </c>
      <c r="E1337" s="13" t="inlineStr">
        <is>
          <t>{2}{R}</t>
        </is>
      </c>
      <c r="F1337" s="13" t="inlineStr">
        <is>
          <t>Vermelho</t>
        </is>
      </c>
      <c r="G1337" s="8" t="n">
        <v>0.05</v>
      </c>
      <c r="H1337" s="13" t="inlineStr">
        <is>
          <t>Worldwake (WWK)</t>
        </is>
      </c>
      <c r="I1337" s="13" t="inlineStr">
        <is>
          <t>Não</t>
        </is>
      </c>
      <c r="J1337" s="13" t="n">
        <v>2010</v>
      </c>
      <c r="K1337" s="10" t="n">
        <v>46056</v>
      </c>
      <c r="L1337" s="13" t="n">
        <v>1</v>
      </c>
      <c r="M1337" s="8">
        <f>L1337*G1337</f>
        <v/>
      </c>
      <c r="P1337" s="9" t="n"/>
    </row>
    <row r="1338">
      <c r="A1338" s="13" t="inlineStr">
        <is>
          <t>Goblin Sky Raider / Goblin Atacante Celeste</t>
        </is>
      </c>
      <c r="B1338" s="13" t="inlineStr">
        <is>
          <t>Creature — Goblin Warrior / Criatura — Goblin Guerreiro</t>
        </is>
      </c>
      <c r="C1338" s="13" t="inlineStr">
        <is>
          <t>Common / Comum</t>
        </is>
      </c>
      <c r="D1338" s="13" t="inlineStr">
        <is>
          <t>Flying (This creature can't be blocked except by creatures with flying or reach.) / Voar (Esta criatura só pode ser bloqueada por criaturas com a habilidade de voar ou alcance.)</t>
        </is>
      </c>
      <c r="E1338" s="13" t="inlineStr">
        <is>
          <t>{2}{R}</t>
        </is>
      </c>
      <c r="F1338" s="13" t="inlineStr">
        <is>
          <t>Vermelho</t>
        </is>
      </c>
      <c r="G1338" s="8" t="n">
        <v>0.05</v>
      </c>
      <c r="H1338" s="13" t="inlineStr">
        <is>
          <t>Onslaught (ONS)</t>
        </is>
      </c>
      <c r="I1338" s="13" t="inlineStr">
        <is>
          <t>Não</t>
        </is>
      </c>
      <c r="J1338" s="13" t="n">
        <v>2002</v>
      </c>
      <c r="K1338" s="10" t="n">
        <v>46054</v>
      </c>
      <c r="L1338" s="13" t="n">
        <v>1</v>
      </c>
      <c r="M1338" s="8">
        <f>L1338*G1338</f>
        <v/>
      </c>
      <c r="P1338" s="9" t="n"/>
    </row>
    <row r="1339">
      <c r="A1339" s="13" t="inlineStr">
        <is>
          <t>Goblin Striker / Golpeador Goblin</t>
        </is>
      </c>
      <c r="B1339" s="13" t="inlineStr">
        <is>
          <t>Creature — Goblin Berserker / Criatura — Goblin Amoque</t>
        </is>
      </c>
      <c r="C1339" s="13" t="inlineStr">
        <is>
          <t>Common / Comum</t>
        </is>
      </c>
      <c r="D1339" s="13" t="inlineStr">
        <is>
          <t>First strike, haste / Iniciativa, ímpeto</t>
        </is>
      </c>
      <c r="E1339" s="13" t="inlineStr">
        <is>
          <t>{1}{R}</t>
        </is>
      </c>
      <c r="F1339" s="13" t="inlineStr">
        <is>
          <t>Vermelho</t>
        </is>
      </c>
      <c r="G1339" s="8" t="n">
        <v>0.05</v>
      </c>
      <c r="H1339" s="13" t="inlineStr">
        <is>
          <t>Mirrodin (MRD)</t>
        </is>
      </c>
      <c r="I1339" s="13" t="inlineStr">
        <is>
          <t>Não</t>
        </is>
      </c>
      <c r="J1339" s="13" t="n">
        <v>2003</v>
      </c>
      <c r="K1339" s="10" t="n">
        <v>46023</v>
      </c>
      <c r="L1339" s="13" t="n">
        <v>1</v>
      </c>
      <c r="M1339" s="8">
        <f>L1339*G1339</f>
        <v/>
      </c>
      <c r="P1339" s="9" t="n"/>
    </row>
    <row r="1340">
      <c r="A1340" s="13" t="inlineStr">
        <is>
          <t>Goblin Taskmaster / Goblin Capataz</t>
        </is>
      </c>
      <c r="B1340" s="13" t="inlineStr">
        <is>
          <t>Creature — Goblin / Criatura — Goblin</t>
        </is>
      </c>
      <c r="C1340" s="13" t="inlineStr">
        <is>
          <t>Common / Comum</t>
        </is>
      </c>
      <c r="D1340" s="13"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1340" s="13" t="inlineStr">
        <is>
          <t>{R}</t>
        </is>
      </c>
      <c r="F1340" s="13" t="inlineStr">
        <is>
          <t>Vermelho</t>
        </is>
      </c>
      <c r="G1340" s="8" t="n">
        <v>0.08</v>
      </c>
      <c r="H1340" s="13" t="inlineStr">
        <is>
          <t>Onslaught (ONS)</t>
        </is>
      </c>
      <c r="I1340" s="13" t="inlineStr">
        <is>
          <t>Não</t>
        </is>
      </c>
      <c r="J1340" s="13" t="n">
        <v>2002</v>
      </c>
      <c r="K1340" s="10" t="n">
        <v>46023</v>
      </c>
      <c r="L1340" s="13" t="n">
        <v>1</v>
      </c>
      <c r="M1340" s="8">
        <f>L1340*G1340</f>
        <v/>
      </c>
      <c r="P1340" s="9" t="n"/>
    </row>
    <row r="1341">
      <c r="A1341" s="13" t="inlineStr">
        <is>
          <t>Goblin Tinkerer / Funileiro Goblin</t>
        </is>
      </c>
      <c r="B1341" s="13" t="inlineStr">
        <is>
          <t>Creature — Goblin Artificer</t>
        </is>
      </c>
      <c r="C1341" s="13" t="inlineStr">
        <is>
          <t>Common / Comum</t>
        </is>
      </c>
      <c r="D1341" s="13" t="inlineStr">
        <is>
          <t>{R}, {T}: Destroy target artifact. That artifact deals damage equal to its mana value to this creature.</t>
        </is>
      </c>
      <c r="E1341" s="13" t="inlineStr">
        <is>
          <t>{1}{R}</t>
        </is>
      </c>
      <c r="F1341" s="13" t="inlineStr">
        <is>
          <t>Vermelho</t>
        </is>
      </c>
      <c r="G1341" s="8" t="n">
        <v>0.22</v>
      </c>
      <c r="H1341" s="13" t="inlineStr">
        <is>
          <t>Mirage (MIR)</t>
        </is>
      </c>
      <c r="I1341" s="13" t="inlineStr">
        <is>
          <t>Não</t>
        </is>
      </c>
      <c r="J1341" s="13" t="n">
        <v>1996</v>
      </c>
      <c r="K1341" s="10" t="n">
        <v>46054</v>
      </c>
      <c r="L1341" s="13" t="n">
        <v>1</v>
      </c>
      <c r="M1341" s="8">
        <f>L1341*G1341</f>
        <v/>
      </c>
      <c r="P1341" s="9" t="n"/>
    </row>
    <row r="1342">
      <c r="A1342" s="13" t="inlineStr">
        <is>
          <t>Goblin Tomb Raider / Goblin Saqueador de Túmulos</t>
        </is>
      </c>
      <c r="B1342" s="13" t="inlineStr">
        <is>
          <t>Creature — Goblin Pirate / Criatura — Goblin Pirata</t>
        </is>
      </c>
      <c r="C1342" s="13" t="inlineStr">
        <is>
          <t>Common / Comum</t>
        </is>
      </c>
      <c r="D1342" s="13" t="inlineStr">
        <is>
          <t>As long as you control an artifact, this creature gets +1/+0 and has haste. / Enquanto você controlar um artefato, Goblin Saqueador de Túmulos receberá +1/+0 e terá ímpeto.</t>
        </is>
      </c>
      <c r="E1342" s="13" t="inlineStr">
        <is>
          <t>{R}</t>
        </is>
      </c>
      <c r="F1342" s="13" t="inlineStr">
        <is>
          <t>Vermelho</t>
        </is>
      </c>
      <c r="G1342" s="8" t="n">
        <v>0.6899999999999999</v>
      </c>
      <c r="H1342" s="13" t="inlineStr">
        <is>
          <t>The Lost Caverns of Ixalan (LCI)</t>
        </is>
      </c>
      <c r="I1342" s="13" t="inlineStr">
        <is>
          <t>Não</t>
        </is>
      </c>
      <c r="J1342" s="13" t="n">
        <v>2023</v>
      </c>
      <c r="K1342" s="10" t="n">
        <v>46054</v>
      </c>
      <c r="L1342" s="13" t="n">
        <v>1</v>
      </c>
      <c r="M1342" s="8">
        <f>L1342*G1342</f>
        <v/>
      </c>
      <c r="P1342" s="9" t="n"/>
    </row>
    <row r="1343">
      <c r="A1343" s="13" t="inlineStr">
        <is>
          <t>Goblin Warchief / Chefe de Guerra Goblino</t>
        </is>
      </c>
      <c r="B1343" s="13" t="inlineStr">
        <is>
          <t>Criatura — Goblino Guerreiro</t>
        </is>
      </c>
      <c r="C1343" s="13" t="inlineStr">
        <is>
          <t>Incomum</t>
        </is>
      </c>
      <c r="D1343" s="13" t="inlineStr">
        <is>
          <t>As mágicas de Goblino que você conjura custam {1} a menos para serem conjuradas. As criaturas do tipo Goblino que você controla têm ímpeto.</t>
        </is>
      </c>
      <c r="E1343" s="13" t="inlineStr">
        <is>
          <t>1RR</t>
        </is>
      </c>
      <c r="F1343" s="13" t="inlineStr">
        <is>
          <t>Vermelho</t>
        </is>
      </c>
      <c r="G1343" s="8" t="n">
        <v>1.99</v>
      </c>
      <c r="H1343" s="13" t="inlineStr">
        <is>
          <t>Duel Decks: Speed vs. Cunning</t>
        </is>
      </c>
      <c r="I1343" s="13" t="inlineStr">
        <is>
          <t>Não</t>
        </is>
      </c>
      <c r="J1343" s="13" t="n">
        <v>2014</v>
      </c>
      <c r="K1343" s="10" t="n">
        <v>46055</v>
      </c>
      <c r="L1343" s="13" t="n">
        <v>1</v>
      </c>
      <c r="M1343" s="8">
        <f>L1343*G1343</f>
        <v/>
      </c>
      <c r="P1343" s="9" t="n"/>
    </row>
    <row r="1344">
      <c r="A1344" s="13" t="inlineStr">
        <is>
          <t>Goblins of the Flarg</t>
        </is>
      </c>
      <c r="B1344" s="13" t="inlineStr">
        <is>
          <t>Creature — Goblin Warrior</t>
        </is>
      </c>
      <c r="C1344" s="13" t="inlineStr">
        <is>
          <t>Common / Comum</t>
        </is>
      </c>
      <c r="D1344" s="13" t="inlineStr">
        <is>
          <t>Mountainwalk (This creature can't be blocked as long as defending player controls a Mountain.) When you control a Dwarf, sacrifice this creature.</t>
        </is>
      </c>
      <c r="E1344" s="13" t="inlineStr">
        <is>
          <t>{R}</t>
        </is>
      </c>
      <c r="F1344" s="13" t="inlineStr">
        <is>
          <t>Vermelho</t>
        </is>
      </c>
      <c r="G1344" s="8" t="n">
        <v>0.08</v>
      </c>
      <c r="H1344" s="13" t="inlineStr">
        <is>
          <t>Chronicles</t>
        </is>
      </c>
      <c r="I1344" s="13" t="inlineStr">
        <is>
          <t>Não</t>
        </is>
      </c>
      <c r="J1344" s="13" t="n">
        <v>1995</v>
      </c>
      <c r="K1344" s="10" t="n">
        <v>46023</v>
      </c>
      <c r="L1344" s="13" t="n">
        <v>1</v>
      </c>
      <c r="M1344" s="8">
        <f>L1344*G1344</f>
        <v/>
      </c>
      <c r="P1344" s="9" t="n"/>
    </row>
    <row r="1345">
      <c r="A1345" s="13" t="inlineStr">
        <is>
          <t>Gods Willing / Vontade dos Deuses</t>
        </is>
      </c>
      <c r="B1345" s="13" t="inlineStr">
        <is>
          <t>Instant / Mágica Instantânea</t>
        </is>
      </c>
      <c r="C1345" s="13" t="inlineStr">
        <is>
          <t>Common / Comum</t>
        </is>
      </c>
      <c r="D1345" s="13"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345" s="13" t="inlineStr">
        <is>
          <t>{W}</t>
        </is>
      </c>
      <c r="F1345" s="13" t="inlineStr">
        <is>
          <t>Branco</t>
        </is>
      </c>
      <c r="G1345" s="8" t="n">
        <v>0.18</v>
      </c>
      <c r="H1345" s="13" t="inlineStr">
        <is>
          <t>Masters 25 (A25)</t>
        </is>
      </c>
      <c r="I1345" s="13" t="inlineStr">
        <is>
          <t>Não</t>
        </is>
      </c>
      <c r="J1345" s="13" t="n">
        <v>2018</v>
      </c>
      <c r="L1345" s="13" t="n">
        <v>1</v>
      </c>
      <c r="M1345" s="8">
        <f>L1345*G1345</f>
        <v/>
      </c>
      <c r="P1345" s="9" t="n"/>
    </row>
    <row r="1346">
      <c r="A1346" s="13" t="inlineStr">
        <is>
          <t>Godsend / Mensageira dos Deuses</t>
        </is>
      </c>
      <c r="B1346" s="13" t="inlineStr">
        <is>
          <t>Artefato Lendário — Equipamento</t>
        </is>
      </c>
      <c r="C1346" s="13" t="inlineStr">
        <is>
          <t>Mítica</t>
        </is>
      </c>
      <c r="D1346" s="13"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1346" s="13" t="inlineStr">
        <is>
          <t>1WW</t>
        </is>
      </c>
      <c r="F1346" s="13" t="inlineStr">
        <is>
          <t>Branco</t>
        </is>
      </c>
      <c r="G1346" s="8" t="n">
        <v>5.44</v>
      </c>
      <c r="H1346" s="13" t="inlineStr">
        <is>
          <t>Journey into Nyx</t>
        </is>
      </c>
      <c r="I1346" s="13" t="inlineStr">
        <is>
          <t>Não</t>
        </is>
      </c>
      <c r="J1346" s="13" t="n">
        <v>2014</v>
      </c>
      <c r="L1346" s="13" t="n">
        <v>1</v>
      </c>
      <c r="M1346" s="8">
        <f>L1346*G1346</f>
        <v/>
      </c>
      <c r="P1346" s="9" t="n"/>
    </row>
    <row r="1347">
      <c r="A1347" s="13" t="inlineStr">
        <is>
          <t>Gohn, Town of Ruin / Gohn, Vila das Ruínas</t>
        </is>
      </c>
      <c r="B1347" s="13" t="inlineStr">
        <is>
          <t>Terreno — Vila</t>
        </is>
      </c>
      <c r="C1347" s="13" t="inlineStr">
        <is>
          <t>Rara</t>
        </is>
      </c>
      <c r="D1347" s="13" t="inlineStr">
        <is>
          <t>Este terreno entra virado. {T}: Adicione {B} ou {G}.</t>
        </is>
      </c>
      <c r="E1347" s="13" t="inlineStr">
        <is>
          <t>Não encontrado</t>
        </is>
      </c>
      <c r="F1347" s="13" t="inlineStr">
        <is>
          <t>Incolor</t>
        </is>
      </c>
      <c r="G1347" s="8" t="n">
        <v>0.19</v>
      </c>
      <c r="H1347" s="13" t="inlineStr">
        <is>
          <t>Final Fantasy</t>
        </is>
      </c>
      <c r="I1347" s="13" t="inlineStr">
        <is>
          <t>Não</t>
        </is>
      </c>
      <c r="J1347" s="13" t="n">
        <v>2025</v>
      </c>
      <c r="L1347" s="13" t="n">
        <v>2</v>
      </c>
      <c r="M1347" s="8">
        <f>L1347*G1347</f>
        <v/>
      </c>
      <c r="P1347" s="9" t="n"/>
    </row>
    <row r="1348">
      <c r="A1348" s="13" t="inlineStr">
        <is>
          <t>Golbez, Clad in Darkness // Syr Konrad, the Grim / Golbez, Trajado em Trevas // Syr Konrad, o Sombrio</t>
        </is>
      </c>
      <c r="B1348" s="13" t="inlineStr">
        <is>
          <t>Criatura Lendária — Humano Cavaleiro</t>
        </is>
      </c>
      <c r="C1348" s="13" t="inlineStr">
        <is>
          <t>Incomum</t>
        </is>
      </c>
      <c r="D1348" s="13"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1348" s="13" t="inlineStr">
        <is>
          <t>3{B}{B}</t>
        </is>
      </c>
      <c r="F1348" s="13" t="inlineStr">
        <is>
          <t>Preto</t>
        </is>
      </c>
      <c r="G1348" s="8" t="n">
        <v>3.24</v>
      </c>
      <c r="H1348" s="13" t="inlineStr">
        <is>
          <t>Final Fantasy</t>
        </is>
      </c>
      <c r="I1348" s="13" t="inlineStr">
        <is>
          <t>Não</t>
        </is>
      </c>
      <c r="J1348" s="13" t="n">
        <v>2025</v>
      </c>
      <c r="K1348" s="10" t="n">
        <v>46117</v>
      </c>
      <c r="L1348" s="13" t="n">
        <v>1</v>
      </c>
      <c r="M1348" s="8">
        <f>L1348*G1348</f>
        <v/>
      </c>
      <c r="P1348" s="9" t="n"/>
    </row>
    <row r="1349">
      <c r="A1349" s="13" t="inlineStr">
        <is>
          <t>Gold-Forged Thopteryx / Topterix Forjado em Ouro</t>
        </is>
      </c>
      <c r="B1349" s="13" t="inlineStr">
        <is>
          <t>Artifact Creature — Dinosaur Thopter / Criatura Artefato — Dinossauro Tóptero</t>
        </is>
      </c>
      <c r="C1349" s="13" t="inlineStr">
        <is>
          <t>Uncommon / Incomum</t>
        </is>
      </c>
      <c r="D1349" s="13"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1349" s="13" t="inlineStr">
        <is>
          <t>{W}{U}</t>
        </is>
      </c>
      <c r="F1349" s="13" t="inlineStr">
        <is>
          <t>Azul, Branco</t>
        </is>
      </c>
      <c r="G1349" s="8" t="n">
        <v>0.59</v>
      </c>
      <c r="H1349" s="13" t="inlineStr">
        <is>
          <t>March of the Machine: The Aftermath (MAT)</t>
        </is>
      </c>
      <c r="I1349" s="13" t="inlineStr">
        <is>
          <t>Sim</t>
        </is>
      </c>
      <c r="J1349" s="13" t="n">
        <v>2023</v>
      </c>
      <c r="K1349" s="10" t="n">
        <v>46082</v>
      </c>
      <c r="L1349" s="13" t="n">
        <v>1</v>
      </c>
      <c r="M1349" s="8">
        <f>L1349*G1349</f>
        <v/>
      </c>
      <c r="P1349" s="9" t="n"/>
    </row>
    <row r="1350">
      <c r="A1350" s="13" t="inlineStr">
        <is>
          <t>Golden Hind / Cerva Dourada</t>
        </is>
      </c>
      <c r="B1350" s="13" t="inlineStr">
        <is>
          <t>Creature — Elk / Criatura — Alce</t>
        </is>
      </c>
      <c r="C1350" s="13" t="inlineStr">
        <is>
          <t>Common / Comum</t>
        </is>
      </c>
      <c r="D1350" s="13" t="inlineStr">
        <is>
          <t>{T}: Add {G}. / {T}: Adicione {G} à sua reserva de mana.</t>
        </is>
      </c>
      <c r="E1350" s="13" t="inlineStr">
        <is>
          <t>{1}{G}</t>
        </is>
      </c>
      <c r="F1350" s="13" t="inlineStr">
        <is>
          <t>Verde</t>
        </is>
      </c>
      <c r="G1350" s="8" t="n">
        <v>0.03</v>
      </c>
      <c r="H1350" s="13" t="inlineStr">
        <is>
          <t>Journey into Nyx (JOU)</t>
        </is>
      </c>
      <c r="I1350" s="13" t="inlineStr">
        <is>
          <t>Não</t>
        </is>
      </c>
      <c r="J1350" s="13" t="n">
        <v>2014</v>
      </c>
      <c r="K1350" s="10" t="n">
        <v>46024</v>
      </c>
      <c r="L1350" s="13" t="n">
        <v>1</v>
      </c>
      <c r="M1350" s="8">
        <f>L1350*G1350</f>
        <v/>
      </c>
      <c r="P1350" s="9" t="n"/>
    </row>
    <row r="1351">
      <c r="A1351" s="13" t="inlineStr">
        <is>
          <t>Goldenglow Moth / Mariposa da Luz Dourada</t>
        </is>
      </c>
      <c r="B1351" s="13" t="inlineStr">
        <is>
          <t>Creature — Insect / Criatura — Inseto</t>
        </is>
      </c>
      <c r="C1351" s="13" t="inlineStr">
        <is>
          <t>Common / Comum</t>
        </is>
      </c>
      <c r="D1351" s="13" t="inlineStr">
        <is>
          <t>Flying Whenever this creature blocks, you may gain 4 life. / Voar Toda vez que Mariposa da Luz Dourada bloqueia, você pode ganhar 4 pontos de vida.</t>
        </is>
      </c>
      <c r="E1351" s="13" t="inlineStr">
        <is>
          <t>{W}</t>
        </is>
      </c>
      <c r="F1351" s="13" t="inlineStr">
        <is>
          <t>Branco</t>
        </is>
      </c>
      <c r="G1351" s="8" t="n">
        <v>0.08</v>
      </c>
      <c r="H1351" s="13" t="inlineStr">
        <is>
          <t>Shadowmoor (SHM)</t>
        </is>
      </c>
      <c r="I1351" s="13" t="inlineStr">
        <is>
          <t>Não</t>
        </is>
      </c>
      <c r="J1351" s="13" t="n">
        <v>2008</v>
      </c>
      <c r="K1351" s="13" t="inlineStr">
        <is>
          <t>0/1</t>
        </is>
      </c>
      <c r="L1351" s="13" t="n">
        <v>1</v>
      </c>
      <c r="M1351" s="8">
        <f>L1351*G1351</f>
        <v/>
      </c>
      <c r="P1351" s="9" t="n"/>
    </row>
    <row r="1352">
      <c r="A1352" s="13" t="inlineStr">
        <is>
          <t>Goldenhide Ox / Boi do Couro Dourado</t>
        </is>
      </c>
      <c r="B1352" s="13" t="inlineStr">
        <is>
          <t>Enchantment Creature — Ox / Criatura Encantamento — Boi</t>
        </is>
      </c>
      <c r="C1352" s="13" t="inlineStr">
        <is>
          <t>Uncommon / Incomum</t>
        </is>
      </c>
      <c r="D1352" s="13"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1352" s="13" t="inlineStr">
        <is>
          <t>{5}{G}</t>
        </is>
      </c>
      <c r="F1352" s="13" t="inlineStr">
        <is>
          <t>Verde</t>
        </is>
      </c>
      <c r="G1352" s="8" t="n">
        <v>0.05</v>
      </c>
      <c r="H1352" s="13" t="inlineStr">
        <is>
          <t>Journey into Nyx (JOU)</t>
        </is>
      </c>
      <c r="I1352" s="13" t="inlineStr">
        <is>
          <t>Não</t>
        </is>
      </c>
      <c r="J1352" s="13" t="n">
        <v>2014</v>
      </c>
      <c r="K1352" s="10" t="n">
        <v>46117</v>
      </c>
      <c r="L1352" s="13" t="n">
        <v>2</v>
      </c>
      <c r="M1352" s="8">
        <f>L1352*G1352</f>
        <v/>
      </c>
      <c r="P1352" s="9" t="n"/>
    </row>
    <row r="1353">
      <c r="A1353" s="13" t="inlineStr">
        <is>
          <t>Goldnight Redeemer / Redentor dos Noite Dourada</t>
        </is>
      </c>
      <c r="B1353" s="13" t="inlineStr">
        <is>
          <t>Creature — Angel / Criatura — Anjo</t>
        </is>
      </c>
      <c r="C1353" s="13" t="inlineStr">
        <is>
          <t>Uncommon / Incomum</t>
        </is>
      </c>
      <c r="D1353" s="13" t="inlineStr">
        <is>
          <t>Flying When this creature enters, you gain 2 life for each other creature you control. / Voar Quando Redentor dos Noite Dourada entra no campo de batalha, você ganha 2 pontos de vida para cada outra criatura que você controla.</t>
        </is>
      </c>
      <c r="E1353" s="13" t="inlineStr">
        <is>
          <t>{4}{W}{W}</t>
        </is>
      </c>
      <c r="F1353" s="13" t="inlineStr">
        <is>
          <t>Branco</t>
        </is>
      </c>
      <c r="G1353" s="8" t="n">
        <v>0.09</v>
      </c>
      <c r="H1353" s="13" t="inlineStr">
        <is>
          <t>Avacyn Restored (AVR)</t>
        </is>
      </c>
      <c r="I1353" s="13" t="inlineStr">
        <is>
          <t>Não</t>
        </is>
      </c>
      <c r="J1353" s="13" t="n">
        <v>2012</v>
      </c>
      <c r="K1353" s="10" t="n">
        <v>46116</v>
      </c>
      <c r="L1353" s="13" t="n">
        <v>4</v>
      </c>
      <c r="M1353" s="8">
        <f>L1353*G1353</f>
        <v/>
      </c>
      <c r="P1353" s="9" t="n"/>
    </row>
    <row r="1354">
      <c r="A1354" s="13" t="inlineStr">
        <is>
          <t>Goldvein Pick / Picareta de Veio D'ouro</t>
        </is>
      </c>
      <c r="B1354" s="13" t="inlineStr">
        <is>
          <t>Artifact — Equipment / Artefato — Equipamento</t>
        </is>
      </c>
      <c r="C1354" s="13" t="inlineStr">
        <is>
          <t>Common / Comum</t>
        </is>
      </c>
      <c r="D1354" s="13"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1354" s="13" t="inlineStr">
        <is>
          <t>{2}</t>
        </is>
      </c>
      <c r="F1354" s="13" t="inlineStr">
        <is>
          <t>Incolor</t>
        </is>
      </c>
      <c r="G1354" s="8" t="n">
        <v>0.17</v>
      </c>
      <c r="H1354" s="13" t="inlineStr">
        <is>
          <t>Kaldheim (KHM)</t>
        </is>
      </c>
      <c r="I1354" s="13" t="inlineStr">
        <is>
          <t>Não</t>
        </is>
      </c>
      <c r="J1354" s="13" t="n">
        <v>2021</v>
      </c>
      <c r="L1354" s="13" t="n">
        <v>1</v>
      </c>
      <c r="M1354" s="8">
        <f>L1354*G1354</f>
        <v/>
      </c>
      <c r="P1354" s="9" t="n"/>
    </row>
    <row r="1355">
      <c r="A1355" s="13" t="inlineStr">
        <is>
          <t>Golem Volitivo / Will-Forged Golem</t>
        </is>
      </c>
      <c r="B1355" s="13" t="inlineStr">
        <is>
          <t>Artifact Creature — Golem / Criatura Artefato — Golem</t>
        </is>
      </c>
      <c r="C1355" s="13" t="inlineStr">
        <is>
          <t>Common / Comum</t>
        </is>
      </c>
      <c r="D1355" s="13"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1355" s="13" t="inlineStr">
        <is>
          <t>{6}</t>
        </is>
      </c>
      <c r="F1355" s="13" t="inlineStr">
        <is>
          <t>Incolor</t>
        </is>
      </c>
      <c r="G1355" s="8" t="n">
        <v>0.05</v>
      </c>
      <c r="H1355" s="13" t="inlineStr">
        <is>
          <t>Magic 2015 (M15)</t>
        </is>
      </c>
      <c r="I1355" s="13" t="inlineStr">
        <is>
          <t>No</t>
        </is>
      </c>
      <c r="J1355" s="13" t="n">
        <v>2014</v>
      </c>
      <c r="K1355" s="10" t="n">
        <v>46116</v>
      </c>
      <c r="L1355" s="13" t="n">
        <v>1</v>
      </c>
      <c r="M1355" s="8">
        <f>L1355*G1355</f>
        <v/>
      </c>
      <c r="P1355" s="9" t="n"/>
    </row>
    <row r="1356">
      <c r="A1356" s="13" t="inlineStr">
        <is>
          <t>Golens de Garrafa / Bottle Gnomes</t>
        </is>
      </c>
      <c r="B1356" s="13" t="inlineStr">
        <is>
          <t>Artifact Creature — Golem / Criatura Artefato — Golem</t>
        </is>
      </c>
      <c r="C1356" s="13" t="inlineStr">
        <is>
          <t>Common / Comum</t>
        </is>
      </c>
      <c r="D1356" s="13" t="inlineStr">
        <is>
          <t>Trample. When Bottle Gnomes dies, you gain life equal to its power. / Atropelar. Quando Golens de Garrafa morre, você ganha uma quantidade de pontos de vida igual a seu poder.</t>
        </is>
      </c>
      <c r="E1356" s="13" t="inlineStr">
        <is>
          <t>{4}</t>
        </is>
      </c>
      <c r="F1356" s="13" t="inlineStr">
        <is>
          <t>Incolor</t>
        </is>
      </c>
      <c r="G1356" s="8" t="n">
        <v>0.04</v>
      </c>
      <c r="H1356" s="13" t="inlineStr">
        <is>
          <t>Modern Horizons 2 (MH2)</t>
        </is>
      </c>
      <c r="I1356" s="13" t="inlineStr">
        <is>
          <t>No</t>
        </is>
      </c>
      <c r="J1356" s="13" t="n">
        <v>2021</v>
      </c>
      <c r="K1356" s="10" t="n">
        <v>46084</v>
      </c>
      <c r="L1356" s="13" t="n">
        <v>1</v>
      </c>
      <c r="M1356" s="8">
        <f>L1356*G1356</f>
        <v/>
      </c>
      <c r="P1356" s="9" t="n"/>
    </row>
    <row r="1357">
      <c r="A1357" s="13" t="inlineStr">
        <is>
          <t>Golgari Signet / Sinete Golgari</t>
        </is>
      </c>
      <c r="B1357" s="13" t="inlineStr">
        <is>
          <t>Artifact / Artefato</t>
        </is>
      </c>
      <c r="C1357" s="13" t="inlineStr">
        <is>
          <t>Common / Comum</t>
        </is>
      </c>
      <c r="D1357" s="13" t="inlineStr">
        <is>
          <t>{1}, {T}: Add {B}{G}. / {1}, {T}: Adicione {B}{G}.</t>
        </is>
      </c>
      <c r="E1357" s="13" t="inlineStr">
        <is>
          <t>{2}</t>
        </is>
      </c>
      <c r="F1357" s="13" t="inlineStr">
        <is>
          <t>Incolor</t>
        </is>
      </c>
      <c r="G1357" s="8" t="n">
        <v>2.64</v>
      </c>
      <c r="H1357" s="13" t="inlineStr">
        <is>
          <t>Masters 25 (A25)</t>
        </is>
      </c>
      <c r="I1357" s="13" t="inlineStr">
        <is>
          <t>No</t>
        </is>
      </c>
      <c r="J1357" s="13" t="n">
        <v>2018</v>
      </c>
      <c r="L1357" s="13" t="n">
        <v>1</v>
      </c>
      <c r="M1357" s="8">
        <f>L1357*G1357</f>
        <v/>
      </c>
      <c r="P1357" s="9" t="n"/>
    </row>
    <row r="1358">
      <c r="A1358" s="13" t="inlineStr">
        <is>
          <t>Gollum, Conspirador Paciente / Gollum, Patient Plotter</t>
        </is>
      </c>
      <c r="B1358" s="13" t="inlineStr">
        <is>
          <t>Criatura Lendária — Pequenino Horror</t>
        </is>
      </c>
      <c r="C1358" s="13" t="inlineStr">
        <is>
          <t>Incomum</t>
        </is>
      </c>
      <c r="D1358" s="13" t="inlineStr">
        <is>
          <t>Quando Gollum, Conspirador Paciente, deixa o campo de batalha, o Anel tenta você. {B}, sacrifique uma criatura: Devolva Gollum de seu cemitério para sua mão. Ative somente como um feitiço.</t>
        </is>
      </c>
      <c r="E1358" s="13" t="inlineStr">
        <is>
          <t>1{B}</t>
        </is>
      </c>
      <c r="F1358" s="13" t="inlineStr">
        <is>
          <t>Preto</t>
        </is>
      </c>
      <c r="G1358" s="8" t="n">
        <v>0.38</v>
      </c>
      <c r="H1358" s="13" t="inlineStr">
        <is>
          <t>The Lord of the Rings: Tales of Middle-earth (LTR)</t>
        </is>
      </c>
      <c r="I1358" s="13" t="inlineStr">
        <is>
          <t>Não</t>
        </is>
      </c>
      <c r="J1358" s="13" t="n">
        <v>2023</v>
      </c>
      <c r="K1358" s="10" t="n">
        <v>46025</v>
      </c>
      <c r="L1358" s="13" t="n">
        <v>2</v>
      </c>
      <c r="M1358" s="8">
        <f>L1358*G1358</f>
        <v/>
      </c>
      <c r="P1358" s="9" t="n"/>
    </row>
    <row r="1359">
      <c r="A1359" s="13" t="inlineStr">
        <is>
          <t>Gongaga, Reactor Town / Gongaga, Vila do Reator</t>
        </is>
      </c>
      <c r="B1359" s="13" t="inlineStr">
        <is>
          <t>Terreno — Vila</t>
        </is>
      </c>
      <c r="C1359" s="13" t="inlineStr">
        <is>
          <t>Rara</t>
        </is>
      </c>
      <c r="D1359" s="13" t="inlineStr">
        <is>
          <t>Este terreno entra virado. {T}: Adicione {R} ou {G}.</t>
        </is>
      </c>
      <c r="E1359" s="13" t="inlineStr">
        <is>
          <t>Não encontrado</t>
        </is>
      </c>
      <c r="F1359" s="13" t="inlineStr">
        <is>
          <t>Incolor</t>
        </is>
      </c>
      <c r="G1359" s="8" t="n">
        <v>0.18</v>
      </c>
      <c r="H1359" s="13" t="inlineStr">
        <is>
          <t>Final Fantasy</t>
        </is>
      </c>
      <c r="I1359" s="13" t="inlineStr">
        <is>
          <t>Não</t>
        </is>
      </c>
      <c r="J1359" s="13" t="n">
        <v>2025</v>
      </c>
      <c r="L1359" s="13" t="n">
        <v>3</v>
      </c>
      <c r="M1359" s="8">
        <f>L1359*G1359</f>
        <v/>
      </c>
      <c r="P1359" s="9" t="n"/>
    </row>
    <row r="1360">
      <c r="A1360" s="13" t="inlineStr">
        <is>
          <t>Gonti, Lord of Luxury / Gonti, Senhor da Opulência</t>
        </is>
      </c>
      <c r="B1360" s="13" t="inlineStr">
        <is>
          <t>Legendary Creature — Aetherborn Rogue / Criatura Lendária — Etergênito Ladino</t>
        </is>
      </c>
      <c r="C1360" s="13" t="inlineStr">
        <is>
          <t>Rare / Rara</t>
        </is>
      </c>
      <c r="D1360" s="13"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1360" s="13" t="inlineStr">
        <is>
          <t>{2}{B}{B}</t>
        </is>
      </c>
      <c r="F1360" s="13" t="inlineStr">
        <is>
          <t>Preto</t>
        </is>
      </c>
      <c r="G1360" s="8" t="n">
        <v>0.25</v>
      </c>
      <c r="H1360" s="13" t="inlineStr">
        <is>
          <t>Kaladesh (KLD)</t>
        </is>
      </c>
      <c r="I1360" s="13" t="inlineStr">
        <is>
          <t>Não</t>
        </is>
      </c>
      <c r="J1360" s="13" t="n">
        <v>2016</v>
      </c>
      <c r="K1360" s="10" t="n">
        <v>46083</v>
      </c>
      <c r="L1360" s="13" t="n">
        <v>2</v>
      </c>
      <c r="M1360" s="8">
        <f>L1360*G1360</f>
        <v/>
      </c>
      <c r="P1360" s="9" t="n"/>
    </row>
    <row r="1361">
      <c r="A1361" s="13" t="inlineStr">
        <is>
          <t>Gonti, Senhor da Opulência / Gonti, Lord of Luxury</t>
        </is>
      </c>
      <c r="B1361" s="13" t="inlineStr">
        <is>
          <t>Criatura Lendária — Etergênito Ladino / Legendary Creature — Aetherborn Rogue</t>
        </is>
      </c>
      <c r="C1361" s="13" t="inlineStr">
        <is>
          <t>Rara / Rare</t>
        </is>
      </c>
      <c r="D1361" s="13"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361" s="13" t="inlineStr">
        <is>
          <t>{2}{B}{B}</t>
        </is>
      </c>
      <c r="F1361" s="13" t="inlineStr">
        <is>
          <t>Preto / Black</t>
        </is>
      </c>
      <c r="G1361" s="8" t="n">
        <v>0.38</v>
      </c>
      <c r="H1361" s="13" t="inlineStr">
        <is>
          <t>Adventures in the Forgotten Realms Commander (AFC)</t>
        </is>
      </c>
      <c r="I1361" s="13" t="inlineStr">
        <is>
          <t>Não</t>
        </is>
      </c>
      <c r="J1361" s="13" t="n">
        <v>2021</v>
      </c>
      <c r="K1361" s="10" t="n">
        <v>46083</v>
      </c>
      <c r="L1361" s="13" t="n">
        <v>1</v>
      </c>
      <c r="M1361" s="8">
        <f>L1361*G1361</f>
        <v/>
      </c>
      <c r="P1361" s="9" t="n"/>
    </row>
    <row r="1362">
      <c r="A1362" s="13" t="inlineStr">
        <is>
          <t>Goobbue Gardener / Jardineiro Goobbue</t>
        </is>
      </c>
      <c r="B1362" s="13" t="inlineStr">
        <is>
          <t>Criatura — Planta Besta</t>
        </is>
      </c>
      <c r="C1362" s="13" t="inlineStr">
        <is>
          <t>Comum</t>
        </is>
      </c>
      <c r="D1362" s="13" t="inlineStr">
        <is>
          <t>{T}: Adicione {G}.</t>
        </is>
      </c>
      <c r="E1362" s="13" t="inlineStr">
        <is>
          <t>1{G}</t>
        </is>
      </c>
      <c r="F1362" s="13" t="inlineStr">
        <is>
          <t>Verde</t>
        </is>
      </c>
      <c r="G1362" s="8" t="n">
        <v>0.05</v>
      </c>
      <c r="H1362" s="13" t="inlineStr">
        <is>
          <t>Final Fantasy</t>
        </is>
      </c>
      <c r="I1362" s="13" t="inlineStr">
        <is>
          <t>Não</t>
        </is>
      </c>
      <c r="J1362" s="13" t="n">
        <v>2025</v>
      </c>
      <c r="K1362" s="10" t="n">
        <v>46082</v>
      </c>
      <c r="L1362" s="13" t="n">
        <v>7</v>
      </c>
      <c r="M1362" s="8">
        <f>L1362*G1362</f>
        <v/>
      </c>
      <c r="P1362" s="9" t="n"/>
    </row>
    <row r="1363">
      <c r="A1363" s="13" t="inlineStr">
        <is>
          <t>Gorbag de Minas Morgul / Gorbag of Minas Morgul</t>
        </is>
      </c>
      <c r="B1363" s="13" t="inlineStr">
        <is>
          <t>Criatura Lendária — Orc Soldado</t>
        </is>
      </c>
      <c r="C1363" s="13" t="inlineStr">
        <is>
          <t>Incomum</t>
        </is>
      </c>
      <c r="D1363" s="13"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1363" s="13" t="inlineStr">
        <is>
          <t>1{B}</t>
        </is>
      </c>
      <c r="F1363" s="13" t="inlineStr">
        <is>
          <t>Preto</t>
        </is>
      </c>
      <c r="G1363" s="8" t="n">
        <v>0.17</v>
      </c>
      <c r="H1363" s="13" t="inlineStr">
        <is>
          <t>The Lord of the Rings: Tales of Middle-earth (LTR)</t>
        </is>
      </c>
      <c r="I1363" s="13" t="inlineStr">
        <is>
          <t>Não</t>
        </is>
      </c>
      <c r="J1363" s="13" t="n">
        <v>2023</v>
      </c>
      <c r="K1363" s="10" t="n">
        <v>46055</v>
      </c>
      <c r="L1363" s="13" t="n">
        <v>2</v>
      </c>
      <c r="M1363" s="8">
        <f>L1363*G1363</f>
        <v/>
      </c>
      <c r="P1363" s="9" t="n"/>
    </row>
    <row r="1364">
      <c r="A1364" s="13" t="inlineStr">
        <is>
          <t>Goremand / Gourmet de Vísceras</t>
        </is>
      </c>
      <c r="B1364" s="13" t="inlineStr">
        <is>
          <t>Creature — Demon / Criatura — Demônio</t>
        </is>
      </c>
      <c r="C1364" s="13" t="inlineStr">
        <is>
          <t>Uncommon / Incomum</t>
        </is>
      </c>
      <c r="D1364" s="13"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1364" s="13" t="inlineStr">
        <is>
          <t>{4}{B}{B}</t>
        </is>
      </c>
      <c r="F1364" s="13" t="inlineStr">
        <is>
          <t>Preto</t>
        </is>
      </c>
      <c r="G1364" s="8" t="n">
        <v>0.17</v>
      </c>
      <c r="H1364" s="13" t="inlineStr">
        <is>
          <t>Commander Masters (CMM)</t>
        </is>
      </c>
      <c r="I1364" s="13" t="inlineStr">
        <is>
          <t>Não</t>
        </is>
      </c>
      <c r="J1364" s="13" t="n">
        <v>2023</v>
      </c>
      <c r="K1364" s="10" t="n">
        <v>46147</v>
      </c>
      <c r="L1364" s="13" t="n">
        <v>1</v>
      </c>
      <c r="M1364" s="8">
        <f>L1364*G1364</f>
        <v/>
      </c>
      <c r="P1364" s="9" t="n"/>
    </row>
    <row r="1365">
      <c r="A1365" s="13" t="inlineStr">
        <is>
          <t>Gorex, the Tombshell / Gorex, Casco Tumular</t>
        </is>
      </c>
      <c r="B1365" s="13" t="inlineStr">
        <is>
          <t>Legendary Creature — Zombie Turtle / Criatura Lendária — Zumbi Tartaruga</t>
        </is>
      </c>
      <c r="C1365" s="13" t="inlineStr">
        <is>
          <t>Uncommon / Incomum</t>
        </is>
      </c>
      <c r="D1365" s="13"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1365" s="13" t="inlineStr">
        <is>
          <t>{6}{B}{B}</t>
        </is>
      </c>
      <c r="F1365" s="13" t="inlineStr">
        <is>
          <t>Preto</t>
        </is>
      </c>
      <c r="G1365" s="8" t="n">
        <v>0.38</v>
      </c>
      <c r="H1365" s="13" t="inlineStr">
        <is>
          <t>Commander Masters (CMM)</t>
        </is>
      </c>
      <c r="I1365" s="13" t="inlineStr">
        <is>
          <t>Não</t>
        </is>
      </c>
      <c r="J1365" s="13" t="n">
        <v>2023</v>
      </c>
      <c r="K1365" s="10" t="n">
        <v>46116</v>
      </c>
      <c r="L1365" s="13" t="n">
        <v>1</v>
      </c>
      <c r="M1365" s="8">
        <f>L1365*G1365</f>
        <v/>
      </c>
      <c r="P1365" s="9" t="n"/>
    </row>
    <row r="1366">
      <c r="A1366" s="13" t="inlineStr">
        <is>
          <t>Gorilla Shaman / Xamã dos Gorilas</t>
        </is>
      </c>
      <c r="B1366" s="13" t="inlineStr">
        <is>
          <t>Creature — Ape Shaman / Criatura — Símio Xamã</t>
        </is>
      </c>
      <c r="C1366" s="13" t="inlineStr">
        <is>
          <t>Common / Comum</t>
        </is>
      </c>
      <c r="D1366" s="13" t="inlineStr">
        <is>
          <t>{X}{X}{1}: Destroy target noncreature artifact with mana value X. / {X}{X}{1}: Destrua o artefato alvo não de criatura com valor de mana igual a X.</t>
        </is>
      </c>
      <c r="E1366" s="13" t="inlineStr">
        <is>
          <t>{R}</t>
        </is>
      </c>
      <c r="F1366" s="13" t="inlineStr">
        <is>
          <t>Vermelho</t>
        </is>
      </c>
      <c r="G1366" s="8" t="n">
        <v>1.64</v>
      </c>
      <c r="H1366" s="13" t="inlineStr">
        <is>
          <t>Alliances (ALL)</t>
        </is>
      </c>
      <c r="I1366" s="13" t="inlineStr">
        <is>
          <t>Não</t>
        </is>
      </c>
      <c r="J1366" s="13" t="n">
        <v>1996</v>
      </c>
      <c r="K1366" s="10" t="n">
        <v>46023</v>
      </c>
      <c r="L1366" s="13" t="n">
        <v>2</v>
      </c>
      <c r="M1366" s="8">
        <f>L1366*G1366</f>
        <v/>
      </c>
      <c r="P1366" s="9" t="n"/>
    </row>
    <row r="1367">
      <c r="A1367" s="13" t="inlineStr">
        <is>
          <t>Gorilla Shaman / Xamã dos Gorilas</t>
        </is>
      </c>
      <c r="B1367" s="13" t="inlineStr">
        <is>
          <t>Creature — Ape Shaman / Criatura — Símio Xamã</t>
        </is>
      </c>
      <c r="C1367" s="13" t="inlineStr">
        <is>
          <t>Common / Comum</t>
        </is>
      </c>
      <c r="D1367" s="13" t="inlineStr">
        <is>
          <t>{X}{X}{1}: Destroy target noncreature artifact with mana value X. / {X}{X}{1}: Destrua o artefato alvo não de criatura com valor de mana igual a X.</t>
        </is>
      </c>
      <c r="E1367" s="13" t="inlineStr">
        <is>
          <t>{R}</t>
        </is>
      </c>
      <c r="F1367" s="13" t="inlineStr">
        <is>
          <t>Vermelho</t>
        </is>
      </c>
      <c r="G1367" s="8" t="n">
        <v>1.49</v>
      </c>
      <c r="H1367" s="13" t="inlineStr">
        <is>
          <t>Alliances (ALL)</t>
        </is>
      </c>
      <c r="I1367" s="13" t="inlineStr">
        <is>
          <t>Não</t>
        </is>
      </c>
      <c r="J1367" s="13" t="n">
        <v>1996</v>
      </c>
      <c r="K1367" s="10" t="n">
        <v>46023</v>
      </c>
      <c r="L1367" s="13" t="n">
        <v>2</v>
      </c>
      <c r="M1367" s="8">
        <f>L1367*G1367</f>
        <v/>
      </c>
      <c r="P1367" s="9" t="n"/>
    </row>
    <row r="1368">
      <c r="A1368" s="13" t="inlineStr">
        <is>
          <t>Gothmog, Tenente de Morgul / Gothmog, Morgul Lieutenant</t>
        </is>
      </c>
      <c r="B1368" s="13" t="inlineStr">
        <is>
          <t>Criatura Lendária — Humano Soldado</t>
        </is>
      </c>
      <c r="C1368" s="13" t="inlineStr">
        <is>
          <t>Incomum</t>
        </is>
      </c>
      <c r="D1368" s="13"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1368" s="13" t="inlineStr">
        <is>
          <t>3{B}</t>
        </is>
      </c>
      <c r="F1368" s="13" t="inlineStr">
        <is>
          <t>Preto</t>
        </is>
      </c>
      <c r="G1368" s="8" t="n">
        <v>0.25</v>
      </c>
      <c r="H1368" s="13" t="inlineStr">
        <is>
          <t>The Lord of the Rings: Tales of Middle-earth (LTR)</t>
        </is>
      </c>
      <c r="I1368" s="13" t="inlineStr">
        <is>
          <t>Não</t>
        </is>
      </c>
      <c r="J1368" s="13" t="n">
        <v>2023</v>
      </c>
      <c r="K1368" s="10" t="n">
        <v>46084</v>
      </c>
      <c r="L1368" s="13" t="n">
        <v>2</v>
      </c>
      <c r="M1368" s="8">
        <f>L1368*G1368</f>
        <v/>
      </c>
      <c r="P1368" s="9" t="n"/>
    </row>
    <row r="1369">
      <c r="A1369" s="13" t="inlineStr">
        <is>
          <t>Grab the Prize</t>
        </is>
      </c>
      <c r="B1369" s="13" t="inlineStr">
        <is>
          <t>Sorcery</t>
        </is>
      </c>
      <c r="C1369" s="13" t="inlineStr">
        <is>
          <t>Common / Comum</t>
        </is>
      </c>
      <c r="D1369" s="13" t="inlineStr">
        <is>
          <t>As an additional cost to cast this spell, discard a card. Draw two cards. If the discarded card wasn't a land card, Grab the Prize deals 2 damage to each opponent.</t>
        </is>
      </c>
      <c r="E1369" s="13" t="inlineStr">
        <is>
          <t>{1}{R}</t>
        </is>
      </c>
      <c r="F1369" s="13" t="inlineStr">
        <is>
          <t>Vermelho</t>
        </is>
      </c>
      <c r="G1369" s="8" t="n">
        <v>3.7</v>
      </c>
      <c r="H1369" s="13" t="inlineStr">
        <is>
          <t>Duskmourn: House of Horror (DSK)</t>
        </is>
      </c>
      <c r="I1369" s="13" t="inlineStr">
        <is>
          <t>Não</t>
        </is>
      </c>
      <c r="J1369" s="13" t="n">
        <v>2024</v>
      </c>
      <c r="L1369" s="13" t="n">
        <v>1</v>
      </c>
      <c r="M1369" s="8">
        <f>L1369*G1369</f>
        <v/>
      </c>
      <c r="N1369" s="13" t="inlineStr">
        <is>
          <t>Pasta</t>
        </is>
      </c>
      <c r="P1369" s="9" t="n"/>
    </row>
    <row r="1370">
      <c r="A1370" s="13" t="inlineStr">
        <is>
          <t>Grab the Prize</t>
        </is>
      </c>
      <c r="B1370" s="13" t="inlineStr">
        <is>
          <t>Sorcery</t>
        </is>
      </c>
      <c r="C1370" s="13" t="inlineStr">
        <is>
          <t>Common / Comum</t>
        </is>
      </c>
      <c r="D1370" s="13" t="inlineStr">
        <is>
          <t>As an additional cost to cast this spell, discard a card. Draw two cards. If the discarded card wasn't a land card, Grab the Prize deals 2 damage to each opponent.</t>
        </is>
      </c>
      <c r="E1370" s="13" t="inlineStr">
        <is>
          <t>{1}{R}</t>
        </is>
      </c>
      <c r="F1370" s="13" t="inlineStr">
        <is>
          <t>Vermelho</t>
        </is>
      </c>
      <c r="G1370" s="8" t="n">
        <v>9.49</v>
      </c>
      <c r="H1370" s="13" t="inlineStr">
        <is>
          <t>Duskmourn: House of Horror (DSK)</t>
        </is>
      </c>
      <c r="I1370" s="13" t="inlineStr">
        <is>
          <t>Sim</t>
        </is>
      </c>
      <c r="J1370" s="13" t="n">
        <v>2024</v>
      </c>
      <c r="L1370" s="13" t="n">
        <v>1</v>
      </c>
      <c r="M1370" s="8">
        <f>L1370*G1370</f>
        <v/>
      </c>
      <c r="N1370" s="13" t="inlineStr">
        <is>
          <t>Pasta</t>
        </is>
      </c>
      <c r="P1370" s="9" t="n"/>
    </row>
    <row r="1371">
      <c r="A1371" s="13" t="inlineStr">
        <is>
          <t>Graduation Day / Dia da Formatura</t>
        </is>
      </c>
      <c r="B1371" s="13" t="inlineStr">
        <is>
          <t>Encantamento</t>
        </is>
      </c>
      <c r="C1371" s="13" t="inlineStr">
        <is>
          <t>Incomum</t>
        </is>
      </c>
      <c r="D1371" s="13" t="inlineStr">
        <is>
          <t>Tréplica — Sempre que você conjurar uma mágica instantânea ou um feitiço que tenha uma criatura como alvo, coloque um marcador +1/+1 na criatura alvo que você controla.</t>
        </is>
      </c>
      <c r="E1371" s="13" t="inlineStr">
        <is>
          <t>{W}</t>
        </is>
      </c>
      <c r="F1371" s="13" t="inlineStr">
        <is>
          <t>Branco</t>
        </is>
      </c>
      <c r="G1371" s="8" t="n">
        <v>0.33</v>
      </c>
      <c r="H1371" s="13" t="inlineStr">
        <is>
          <t>Strixhaven: School of Mages (SOS)</t>
        </is>
      </c>
      <c r="I1371" s="13" t="inlineStr">
        <is>
          <t>Não</t>
        </is>
      </c>
      <c r="J1371" s="13" t="n">
        <v>2026</v>
      </c>
      <c r="L1371" s="13" t="n">
        <v>1</v>
      </c>
      <c r="M1371" s="8">
        <f>L1371*G1371</f>
        <v/>
      </c>
      <c r="P1371" s="9" t="n"/>
    </row>
    <row r="1372">
      <c r="A1372" s="13" t="inlineStr">
        <is>
          <t>Grafted Growth / Crescimento Enxertado</t>
        </is>
      </c>
      <c r="B1372" s="13" t="inlineStr">
        <is>
          <t>Enchantment — Aura / Encantamento — Aura</t>
        </is>
      </c>
      <c r="C1372" s="13" t="inlineStr">
        <is>
          <t>Common / Comum</t>
        </is>
      </c>
      <c r="D1372" s="13"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372" s="13" t="inlineStr">
        <is>
          <t>{2}{G}</t>
        </is>
      </c>
      <c r="F1372" s="13" t="inlineStr">
        <is>
          <t>Verde</t>
        </is>
      </c>
      <c r="G1372" s="8" t="n">
        <v>0.06</v>
      </c>
      <c r="H1372" s="13" t="inlineStr">
        <is>
          <t>Kamigawa: Neon Dynasty (NEO)</t>
        </is>
      </c>
      <c r="I1372" s="13" t="inlineStr">
        <is>
          <t>Não</t>
        </is>
      </c>
      <c r="J1372" s="13" t="n">
        <v>2022</v>
      </c>
      <c r="L1372" s="13" t="n">
        <v>1</v>
      </c>
      <c r="M1372" s="8">
        <f>L1372*G1372</f>
        <v/>
      </c>
      <c r="P1372" s="9" t="n"/>
    </row>
    <row r="1373">
      <c r="A1373" s="13" t="inlineStr">
        <is>
          <t>Gran Pulse Ochu / Ochu da Gran Pulse</t>
        </is>
      </c>
      <c r="B1373" s="13" t="inlineStr">
        <is>
          <t>Criatura — Planta Besta</t>
        </is>
      </c>
      <c r="C1373" s="13" t="inlineStr">
        <is>
          <t>Comum</t>
        </is>
      </c>
      <c r="D1373" s="13" t="inlineStr">
        <is>
          <t>Toque mortífero. {8}: Até o final do turno, esta criatura recebe +1/+1 para cada card de permanente em seu cemitério.</t>
        </is>
      </c>
      <c r="E1373" s="13" t="inlineStr">
        <is>
          <t>{G}</t>
        </is>
      </c>
      <c r="F1373" s="13" t="inlineStr">
        <is>
          <t>Verde</t>
        </is>
      </c>
      <c r="G1373" s="8" t="n">
        <v>0.05</v>
      </c>
      <c r="H1373" s="13" t="inlineStr">
        <is>
          <t>Final Fantasy</t>
        </is>
      </c>
      <c r="I1373" s="13" t="inlineStr">
        <is>
          <t>Não</t>
        </is>
      </c>
      <c r="J1373" s="13" t="n">
        <v>2025</v>
      </c>
      <c r="K1373" s="10" t="n">
        <v>46023</v>
      </c>
      <c r="L1373" s="13" t="n">
        <v>11</v>
      </c>
      <c r="M1373" s="8">
        <f>L1373*G1373</f>
        <v/>
      </c>
      <c r="P1373" s="9" t="n"/>
    </row>
    <row r="1374">
      <c r="A1374" s="13" t="inlineStr">
        <is>
          <t>Granite Gargoyle</t>
        </is>
      </c>
      <c r="B1374" s="13" t="inlineStr">
        <is>
          <t>Creature — Gargoyle</t>
        </is>
      </c>
      <c r="C1374" s="13" t="inlineStr">
        <is>
          <t>Rare / Rara</t>
        </is>
      </c>
      <c r="D1374" s="13" t="inlineStr">
        <is>
          <t>Flying {R}: This creature gets +0/+1 until end of turn.</t>
        </is>
      </c>
      <c r="E1374" s="13" t="inlineStr">
        <is>
          <t>{2}{R}</t>
        </is>
      </c>
      <c r="F1374" s="13" t="inlineStr">
        <is>
          <t>Vermelho</t>
        </is>
      </c>
      <c r="G1374" s="8" t="n">
        <v>9.75</v>
      </c>
      <c r="H1374" s="13" t="inlineStr">
        <is>
          <t>Revised Edition</t>
        </is>
      </c>
      <c r="I1374" s="13" t="inlineStr">
        <is>
          <t>Não</t>
        </is>
      </c>
      <c r="J1374" s="13" t="n">
        <v>1994</v>
      </c>
      <c r="K1374" s="10" t="n">
        <v>46055</v>
      </c>
      <c r="L1374" s="13" t="n">
        <v>1</v>
      </c>
      <c r="M1374" s="8">
        <f>L1374*G1374</f>
        <v/>
      </c>
      <c r="P1374" s="9" t="n"/>
    </row>
    <row r="1375">
      <c r="A1375" s="13" t="inlineStr">
        <is>
          <t>Grapeshot Catapult / Catapulta de Metralha</t>
        </is>
      </c>
      <c r="B1375" s="13" t="inlineStr">
        <is>
          <t>Artifact Creature — Construct</t>
        </is>
      </c>
      <c r="C1375" s="13" t="inlineStr">
        <is>
          <t>Common / Comum</t>
        </is>
      </c>
      <c r="D1375" s="13" t="inlineStr">
        <is>
          <t>{T}: This creature deals 1 damage to target creature with flying.</t>
        </is>
      </c>
      <c r="E1375" s="13" t="inlineStr">
        <is>
          <t>{4}</t>
        </is>
      </c>
      <c r="F1375" s="13" t="inlineStr">
        <is>
          <t>Incolor</t>
        </is>
      </c>
      <c r="G1375" s="8" t="n">
        <v>0.05</v>
      </c>
      <c r="H1375" s="13" t="inlineStr">
        <is>
          <t>Fourth Edition</t>
        </is>
      </c>
      <c r="I1375" s="13" t="inlineStr">
        <is>
          <t>Não</t>
        </is>
      </c>
      <c r="J1375" s="13" t="n">
        <v>1995</v>
      </c>
      <c r="K1375" s="10" t="n">
        <v>46083</v>
      </c>
      <c r="L1375" s="13" t="n">
        <v>3</v>
      </c>
      <c r="M1375" s="8">
        <f>L1375*G1375</f>
        <v/>
      </c>
      <c r="P1375" s="9" t="n"/>
    </row>
    <row r="1376">
      <c r="A1376" s="13" t="inlineStr">
        <is>
          <t>Grapeshot Catapult / Catapulta de Metralha</t>
        </is>
      </c>
      <c r="B1376" s="13" t="inlineStr">
        <is>
          <t>Artifact Creature — Construct</t>
        </is>
      </c>
      <c r="C1376" s="13" t="inlineStr">
        <is>
          <t>Common / Comum</t>
        </is>
      </c>
      <c r="D1376" s="13" t="inlineStr">
        <is>
          <t>{T}: This creature deals 1 damage to target creature with flying.</t>
        </is>
      </c>
      <c r="E1376" s="13" t="inlineStr">
        <is>
          <t>{4}</t>
        </is>
      </c>
      <c r="F1376" s="13" t="inlineStr">
        <is>
          <t>Incolor</t>
        </is>
      </c>
      <c r="G1376" s="8" t="n">
        <v>0.1</v>
      </c>
      <c r="H1376" s="13" t="inlineStr">
        <is>
          <t>Fourth Edition (BB)</t>
        </is>
      </c>
      <c r="I1376" s="13" t="inlineStr">
        <is>
          <t>Não</t>
        </is>
      </c>
      <c r="J1376" s="13" t="n">
        <v>1995</v>
      </c>
      <c r="K1376" s="10" t="n">
        <v>46083</v>
      </c>
      <c r="L1376" s="13" t="n">
        <v>6</v>
      </c>
      <c r="M1376" s="8">
        <f>L1376*G1376</f>
        <v/>
      </c>
      <c r="P1376" s="9" t="n"/>
    </row>
    <row r="1377">
      <c r="A1377" s="13" t="inlineStr">
        <is>
          <t>Gravblade Heavy / Pesado de Lâmina Gravitacional</t>
        </is>
      </c>
      <c r="B1377" s="13" t="inlineStr">
        <is>
          <t>Criatura — Humano Soldado</t>
        </is>
      </c>
      <c r="C1377" s="13" t="inlineStr">
        <is>
          <t>Comum</t>
        </is>
      </c>
      <c r="D1377" s="13" t="inlineStr">
        <is>
          <t>Enquanto você controlar um artefato, esta criatura receberá +1/+0 e terá toque mortífero.</t>
        </is>
      </c>
      <c r="E1377" s="13" t="inlineStr">
        <is>
          <t>3{B}</t>
        </is>
      </c>
      <c r="F1377" s="13" t="inlineStr">
        <is>
          <t>Preto</t>
        </is>
      </c>
      <c r="G1377" s="8" t="n">
        <v>0.05</v>
      </c>
      <c r="H1377" s="13" t="inlineStr">
        <is>
          <t>Edge of Eternity</t>
        </is>
      </c>
      <c r="I1377" s="13" t="inlineStr">
        <is>
          <t>Não</t>
        </is>
      </c>
      <c r="J1377" s="13" t="n">
        <v>2025</v>
      </c>
      <c r="K1377" s="10" t="n">
        <v>46115</v>
      </c>
      <c r="L1377" s="13" t="n">
        <v>1</v>
      </c>
      <c r="M1377" s="8">
        <f>L1377*G1377</f>
        <v/>
      </c>
      <c r="P1377" s="9" t="n"/>
    </row>
    <row r="1378">
      <c r="A1378" s="13" t="inlineStr">
        <is>
          <t>Gravebind / Fusão Tumular</t>
        </is>
      </c>
      <c r="B1378" s="13" t="inlineStr">
        <is>
          <t>Instant</t>
        </is>
      </c>
      <c r="C1378" s="13" t="inlineStr">
        <is>
          <t>Rare / Rara</t>
        </is>
      </c>
      <c r="D1378" s="13" t="inlineStr">
        <is>
          <t>Target creature can't be regenerated this turn. Draw a card at the beginning of the next turn's upkeep.</t>
        </is>
      </c>
      <c r="E1378" s="13" t="inlineStr">
        <is>
          <t>{B}</t>
        </is>
      </c>
      <c r="F1378" s="13" t="inlineStr">
        <is>
          <t>Preto</t>
        </is>
      </c>
      <c r="G1378" s="8" t="n">
        <v>2.66</v>
      </c>
      <c r="H1378" s="13" t="inlineStr">
        <is>
          <t>Ice Age (ICE)</t>
        </is>
      </c>
      <c r="I1378" s="13" t="inlineStr">
        <is>
          <t>Não</t>
        </is>
      </c>
      <c r="J1378" s="13" t="n">
        <v>1995</v>
      </c>
      <c r="L1378" s="13" t="n">
        <v>1</v>
      </c>
      <c r="M1378" s="8">
        <f>L1378*G1378</f>
        <v/>
      </c>
      <c r="P1378" s="9" t="n"/>
    </row>
    <row r="1379">
      <c r="A1379" s="13" t="inlineStr">
        <is>
          <t>Gravedig / Escavar Túmulo</t>
        </is>
      </c>
      <c r="B1379" s="13" t="inlineStr">
        <is>
          <t>Sorcery / Feitiço</t>
        </is>
      </c>
      <c r="C1379" s="13" t="inlineStr">
        <is>
          <t>Common / Comum</t>
        </is>
      </c>
      <c r="D1379" s="13"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1379" s="13" t="inlineStr">
        <is>
          <t>{1}{B}</t>
        </is>
      </c>
      <c r="F1379" s="13" t="inlineStr">
        <is>
          <t>Preto</t>
        </is>
      </c>
      <c r="G1379" s="8" t="n">
        <v>0.05</v>
      </c>
      <c r="H1379" s="13" t="inlineStr">
        <is>
          <t>Modern Horizons 3 (MH3)</t>
        </is>
      </c>
      <c r="I1379" s="13" t="inlineStr">
        <is>
          <t>Não</t>
        </is>
      </c>
      <c r="J1379" s="13" t="n">
        <v>2024</v>
      </c>
      <c r="L1379" s="13" t="n">
        <v>1</v>
      </c>
      <c r="M1379" s="8">
        <f>L1379*G1379</f>
        <v/>
      </c>
      <c r="P1379" s="9" t="n"/>
    </row>
    <row r="1380">
      <c r="A1380" s="13" t="inlineStr">
        <is>
          <t>Gravel-Hide Goblin / Goblin Pele-de-cascalho</t>
        </is>
      </c>
      <c r="B1380" s="13" t="inlineStr">
        <is>
          <t>Criatura — Goblin Xamã</t>
        </is>
      </c>
      <c r="C1380" s="13" t="inlineStr">
        <is>
          <t>Comum</t>
        </is>
      </c>
      <c r="D1380" s="13" t="inlineStr">
        <is>
          <t>{3}{G}: Goblin Pele-de-cascalho recebe +2/+2 até o final do turno.</t>
        </is>
      </c>
      <c r="E1380" s="13" t="inlineStr">
        <is>
          <t>1{R}</t>
        </is>
      </c>
      <c r="F1380" s="13" t="inlineStr">
        <is>
          <t>Vermelho</t>
        </is>
      </c>
      <c r="G1380" s="8" t="n">
        <v>0.03</v>
      </c>
      <c r="H1380" s="13" t="inlineStr">
        <is>
          <t>Ravnica Allegiance</t>
        </is>
      </c>
      <c r="I1380" s="13" t="inlineStr">
        <is>
          <t>Não</t>
        </is>
      </c>
      <c r="J1380" s="13" t="n">
        <v>2019</v>
      </c>
      <c r="K1380" s="10" t="n">
        <v>46024</v>
      </c>
      <c r="L1380" s="13" t="n">
        <v>1</v>
      </c>
      <c r="M1380" s="8">
        <f>L1380*G1380</f>
        <v/>
      </c>
      <c r="P1380" s="9" t="n"/>
    </row>
    <row r="1381">
      <c r="A1381" s="13" t="inlineStr">
        <is>
          <t>Gravelgill Axeshark / Tubarão-Machado Petreobrânquio</t>
        </is>
      </c>
      <c r="B1381" s="13" t="inlineStr">
        <is>
          <t>Creature — Merfolk Soldier / Criatura — Tritão Soldado</t>
        </is>
      </c>
      <c r="C1381" s="13" t="inlineStr">
        <is>
          <t>Common / Comum</t>
        </is>
      </c>
      <c r="D1381" s="13"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81" s="13" t="inlineStr">
        <is>
          <t>{4}{U/B}</t>
        </is>
      </c>
      <c r="F1381" s="13" t="inlineStr">
        <is>
          <t>Preto, Azul</t>
        </is>
      </c>
      <c r="G1381" s="8" t="n">
        <v>0.05</v>
      </c>
      <c r="H1381" s="13" t="inlineStr">
        <is>
          <t>Shadowmoor (SHM)</t>
        </is>
      </c>
      <c r="I1381" s="13" t="inlineStr">
        <is>
          <t>Não</t>
        </is>
      </c>
      <c r="J1381" s="13" t="n">
        <v>2008</v>
      </c>
      <c r="K1381" s="10" t="n">
        <v>46084</v>
      </c>
      <c r="L1381" s="13" t="n">
        <v>2</v>
      </c>
      <c r="M1381" s="8">
        <f>L1381*G1381</f>
        <v/>
      </c>
      <c r="P1381" s="9" t="n"/>
    </row>
    <row r="1382">
      <c r="A1382" s="13" t="inlineStr">
        <is>
          <t>Gravepurge / Expurgar Túmulo</t>
        </is>
      </c>
      <c r="B1382" s="13" t="inlineStr">
        <is>
          <t>Instant / Mágica Instantânea</t>
        </is>
      </c>
      <c r="C1382" s="13" t="inlineStr">
        <is>
          <t>Common / Comum</t>
        </is>
      </c>
      <c r="D1382" s="13" t="inlineStr">
        <is>
          <t>Put any number of target creature cards from your graveyard on top of your library. Draw a card. / Coloque qualquer número de cards de criatura alvo de seu cemitério no topo de seu grimório. Compre um card.</t>
        </is>
      </c>
      <c r="E1382" s="13" t="inlineStr">
        <is>
          <t>{2}{B}</t>
        </is>
      </c>
      <c r="F1382" s="13" t="inlineStr">
        <is>
          <t>Preto</t>
        </is>
      </c>
      <c r="G1382" s="8" t="n">
        <v>0.05</v>
      </c>
      <c r="H1382" s="13" t="inlineStr">
        <is>
          <t>Dark Ascension (DKA)</t>
        </is>
      </c>
      <c r="I1382" s="13" t="inlineStr">
        <is>
          <t>Não</t>
        </is>
      </c>
      <c r="J1382" s="13" t="n">
        <v>2012</v>
      </c>
      <c r="L1382" s="13" t="n">
        <v>1</v>
      </c>
      <c r="M1382" s="8">
        <f>L1382*G1382</f>
        <v/>
      </c>
      <c r="P1382" s="9" t="n"/>
    </row>
    <row r="1383">
      <c r="A1383" s="13" t="inlineStr">
        <is>
          <t>Graveshifter</t>
        </is>
      </c>
      <c r="B1383" s="13" t="inlineStr">
        <is>
          <t>Creature — Shapeshifter</t>
        </is>
      </c>
      <c r="C1383" s="13" t="inlineStr">
        <is>
          <t>Uncommon</t>
        </is>
      </c>
      <c r="D1383" s="13" t="inlineStr">
        <is>
          <t>Changeling (This card is every creature type.) When this creature enters, you may return target creature card from your graveyard to your hand.</t>
        </is>
      </c>
      <c r="E1383" s="13" t="inlineStr">
        <is>
          <t>{3}{B}</t>
        </is>
      </c>
      <c r="F1383" s="13" t="inlineStr">
        <is>
          <t>Preto</t>
        </is>
      </c>
      <c r="G1383" s="8" t="n">
        <v>0.12</v>
      </c>
      <c r="H1383" s="13" t="inlineStr">
        <is>
          <t>Lorwyn Eclipsed (ECL)</t>
        </is>
      </c>
      <c r="I1383" s="13" t="inlineStr">
        <is>
          <t>Não</t>
        </is>
      </c>
      <c r="J1383" s="13" t="n">
        <v>2026</v>
      </c>
      <c r="K1383" s="10" t="n">
        <v>46055</v>
      </c>
      <c r="L1383" s="13" t="n">
        <v>1</v>
      </c>
      <c r="M1383" s="8">
        <f>L1383*G1383</f>
        <v/>
      </c>
      <c r="P1383" s="9" t="n"/>
    </row>
    <row r="1384">
      <c r="A1384" s="13" t="inlineStr">
        <is>
          <t>Graveshifter / Tumbamorfo</t>
        </is>
      </c>
      <c r="B1384" s="13" t="inlineStr">
        <is>
          <t>Creature — Shapeshifter / Criatura — Metamorfo</t>
        </is>
      </c>
      <c r="C1384" s="13" t="inlineStr">
        <is>
          <t>Uncommon / Incomum</t>
        </is>
      </c>
      <c r="D1384" s="13"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1384" s="13" t="inlineStr">
        <is>
          <t>{3}{B}</t>
        </is>
      </c>
      <c r="F1384" s="13" t="inlineStr">
        <is>
          <t>Preto</t>
        </is>
      </c>
      <c r="G1384" s="8" t="n">
        <v>0.13</v>
      </c>
      <c r="H1384" s="13" t="inlineStr">
        <is>
          <t>Modern Horizons (MH1)</t>
        </is>
      </c>
      <c r="I1384" s="13" t="inlineStr">
        <is>
          <t>Não</t>
        </is>
      </c>
      <c r="J1384" s="13" t="n">
        <v>2019</v>
      </c>
      <c r="K1384" s="10" t="n">
        <v>46055</v>
      </c>
      <c r="L1384" s="13" t="n">
        <v>3</v>
      </c>
      <c r="M1384" s="8">
        <f>L1384*G1384</f>
        <v/>
      </c>
      <c r="P1384" s="9" t="n"/>
    </row>
    <row r="1385">
      <c r="A1385" s="13" t="inlineStr">
        <is>
          <t>Gravpack Monoist / Monoísta de Gravpack</t>
        </is>
      </c>
      <c r="B1385" s="13" t="inlineStr">
        <is>
          <t>Criatura — Humano Batedor</t>
        </is>
      </c>
      <c r="C1385" s="13" t="inlineStr">
        <is>
          <t>Comum</t>
        </is>
      </c>
      <c r="D1385" s="13" t="inlineStr">
        <is>
          <t>Voar. Quando esta criatura morrer, crie uma ficha de criatura artefato Robô incolor 2/2 virada.</t>
        </is>
      </c>
      <c r="E1385" s="13" t="inlineStr">
        <is>
          <t>2{B}</t>
        </is>
      </c>
      <c r="F1385" s="13" t="inlineStr">
        <is>
          <t>Preto</t>
        </is>
      </c>
      <c r="G1385" s="8" t="n">
        <v>0.2</v>
      </c>
      <c r="H1385" s="13" t="inlineStr">
        <is>
          <t>Edge of Eternity</t>
        </is>
      </c>
      <c r="I1385" s="13" t="inlineStr">
        <is>
          <t>Sim</t>
        </is>
      </c>
      <c r="J1385" s="13" t="n">
        <v>2025</v>
      </c>
      <c r="K1385" s="10" t="n">
        <v>46024</v>
      </c>
      <c r="L1385" s="13" t="n">
        <v>1</v>
      </c>
      <c r="M1385" s="8">
        <f>L1385*G1385</f>
        <v/>
      </c>
      <c r="P1385" s="9" t="n"/>
    </row>
    <row r="1386">
      <c r="A1386" s="13" t="inlineStr">
        <is>
          <t>Gray Ogre / Ogro Cinzento</t>
        </is>
      </c>
      <c r="B1386" s="13" t="inlineStr">
        <is>
          <t>Creature — Ogre</t>
        </is>
      </c>
      <c r="C1386" s="13" t="inlineStr">
        <is>
          <t>Common / Comum</t>
        </is>
      </c>
      <c r="E1386" s="13" t="inlineStr">
        <is>
          <t>{2}{R}</t>
        </is>
      </c>
      <c r="F1386" s="13" t="inlineStr">
        <is>
          <t>Vermelho</t>
        </is>
      </c>
      <c r="G1386" s="8" t="n">
        <v>0.04</v>
      </c>
      <c r="H1386" s="13" t="inlineStr">
        <is>
          <t>Fourth Edition</t>
        </is>
      </c>
      <c r="I1386" s="13" t="inlineStr">
        <is>
          <t>Não</t>
        </is>
      </c>
      <c r="J1386" s="13" t="n">
        <v>1995</v>
      </c>
      <c r="K1386" s="10" t="n">
        <v>46055</v>
      </c>
      <c r="L1386" s="13" t="n">
        <v>3</v>
      </c>
      <c r="M1386" s="8">
        <f>L1386*G1386</f>
        <v/>
      </c>
      <c r="P1386" s="9" t="n"/>
    </row>
    <row r="1387">
      <c r="A1387" s="13" t="inlineStr">
        <is>
          <t>Gray Ogre / Ogro Cinzento</t>
        </is>
      </c>
      <c r="B1387" s="13" t="inlineStr">
        <is>
          <t>Creature — Ogre</t>
        </is>
      </c>
      <c r="C1387" s="13" t="inlineStr">
        <is>
          <t>Common / Comum</t>
        </is>
      </c>
      <c r="E1387" s="13" t="inlineStr">
        <is>
          <t>{2}{R}</t>
        </is>
      </c>
      <c r="F1387" s="13" t="inlineStr">
        <is>
          <t>Vermelho</t>
        </is>
      </c>
      <c r="G1387" s="8" t="n">
        <v>0.06</v>
      </c>
      <c r="H1387" s="13" t="inlineStr">
        <is>
          <t>Fourth Edition (BB)</t>
        </is>
      </c>
      <c r="I1387" s="13" t="inlineStr">
        <is>
          <t>Não</t>
        </is>
      </c>
      <c r="J1387" s="13" t="n">
        <v>1995</v>
      </c>
      <c r="K1387" s="10" t="n">
        <v>46055</v>
      </c>
      <c r="L1387" s="13" t="n">
        <v>5</v>
      </c>
      <c r="M1387" s="8">
        <f>L1387*G1387</f>
        <v/>
      </c>
      <c r="P1387" s="9" t="n"/>
    </row>
    <row r="1388">
      <c r="A1388" s="13" t="inlineStr">
        <is>
          <t>Graypelt Hunter / Caçador de Pele-Cinza</t>
        </is>
      </c>
      <c r="B1388" s="13" t="inlineStr">
        <is>
          <t>Creature — Human Warrior Ally / Criatura — Humano Guerreiro Aliado</t>
        </is>
      </c>
      <c r="C1388" s="13" t="inlineStr">
        <is>
          <t>Common / Comum</t>
        </is>
      </c>
      <c r="D1388" s="13"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1388" s="13" t="inlineStr">
        <is>
          <t>{3}{G}</t>
        </is>
      </c>
      <c r="F1388" s="13" t="inlineStr">
        <is>
          <t>Verde</t>
        </is>
      </c>
      <c r="G1388" s="8" t="n">
        <v>0.06</v>
      </c>
      <c r="H1388" s="13" t="inlineStr">
        <is>
          <t>Worldwake (WWK)</t>
        </is>
      </c>
      <c r="I1388" s="13" t="inlineStr">
        <is>
          <t>Não</t>
        </is>
      </c>
      <c r="J1388" s="13" t="n">
        <v>2010</v>
      </c>
      <c r="K1388" s="10" t="n">
        <v>46055</v>
      </c>
      <c r="L1388" s="13" t="n">
        <v>1</v>
      </c>
      <c r="M1388" s="8">
        <f>L1388*G1388</f>
        <v/>
      </c>
      <c r="P1388" s="9" t="n"/>
    </row>
    <row r="1389">
      <c r="A1389" s="13" t="inlineStr">
        <is>
          <t>Graypelt Refuge / Refúgio de Pele Cinzenta</t>
        </is>
      </c>
      <c r="B1389" s="13" t="inlineStr">
        <is>
          <t>Land / Terreno</t>
        </is>
      </c>
      <c r="C1389" s="13" t="inlineStr">
        <is>
          <t>Uncommon / Incomum</t>
        </is>
      </c>
      <c r="D1389" s="13"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389" s="13" t="inlineStr">
        <is>
          <t>Incolor</t>
        </is>
      </c>
      <c r="G1389" s="8" t="n">
        <v>0.25</v>
      </c>
      <c r="H1389" s="13" t="inlineStr">
        <is>
          <t>Commander 2011 (CMD)</t>
        </is>
      </c>
      <c r="I1389" s="13" t="inlineStr">
        <is>
          <t>Não</t>
        </is>
      </c>
      <c r="J1389" s="13" t="n">
        <v>2011</v>
      </c>
      <c r="L1389" s="13" t="n">
        <v>4</v>
      </c>
      <c r="M1389" s="8">
        <f>L1389*G1389</f>
        <v/>
      </c>
      <c r="P1389" s="9" t="n"/>
    </row>
    <row r="1390">
      <c r="A1390" s="13" t="inlineStr">
        <is>
          <t>Grazing Gladehart / Cervo-de-Clareira Pastejador</t>
        </is>
      </c>
      <c r="B1390" s="13" t="inlineStr">
        <is>
          <t>Creature — Antelope / Criatura — Antílope</t>
        </is>
      </c>
      <c r="C1390" s="13" t="inlineStr">
        <is>
          <t>Common / Comum</t>
        </is>
      </c>
      <c r="D1390" s="13" t="inlineStr">
        <is>
          <t>Landfall — Whenever a land you control enters, you may gain 2 life. / Aterragem — Toda vez que um terreno entra no campo de batalha sob o seu controle, você pode ganhar 2 pontos de vida.</t>
        </is>
      </c>
      <c r="E1390" s="13" t="inlineStr">
        <is>
          <t>{2}{G}</t>
        </is>
      </c>
      <c r="F1390" s="13" t="inlineStr">
        <is>
          <t>Verde</t>
        </is>
      </c>
      <c r="G1390" s="8" t="n">
        <v>0.15</v>
      </c>
      <c r="H1390" s="13" t="inlineStr">
        <is>
          <t>Duel Decks: Zendikar vs. Eldrazi (DDP)</t>
        </is>
      </c>
      <c r="I1390" s="13" t="inlineStr">
        <is>
          <t>Não</t>
        </is>
      </c>
      <c r="J1390" s="13" t="n">
        <v>2015</v>
      </c>
      <c r="K1390" s="10" t="n">
        <v>46055</v>
      </c>
      <c r="L1390" s="13" t="n">
        <v>1</v>
      </c>
      <c r="M1390" s="8">
        <f>L1390*G1390</f>
        <v/>
      </c>
      <c r="P1390" s="9" t="n"/>
    </row>
    <row r="1391">
      <c r="A1391" s="13" t="inlineStr">
        <is>
          <t>Greasewrench Goblin</t>
        </is>
      </c>
      <c r="B1391" s="13" t="inlineStr">
        <is>
          <t>Creature — Goblin Artificer</t>
        </is>
      </c>
      <c r="C1391" s="13" t="inlineStr">
        <is>
          <t>Uncommon / Incomum</t>
        </is>
      </c>
      <c r="D1391" s="13" t="inlineStr">
        <is>
          <t>Exhaust — {2}{R}: Discard up to two cards, then draw that many cards. Put a +1/+1 counter on this creature. (Activate each exhaust ability only once.)</t>
        </is>
      </c>
      <c r="E1391" s="13" t="inlineStr">
        <is>
          <t>{R}</t>
        </is>
      </c>
      <c r="F1391" s="13" t="inlineStr">
        <is>
          <t>Vermelho</t>
        </is>
      </c>
      <c r="G1391" s="8" t="n">
        <v>0.22</v>
      </c>
      <c r="H1391" s="13" t="inlineStr">
        <is>
          <t>Aetherdrift (DFT)</t>
        </is>
      </c>
      <c r="I1391" s="13" t="inlineStr">
        <is>
          <t>Não</t>
        </is>
      </c>
      <c r="J1391" s="13" t="n">
        <v>2025</v>
      </c>
      <c r="K1391" s="10" t="n">
        <v>46024</v>
      </c>
      <c r="L1391" s="13" t="n">
        <v>1</v>
      </c>
      <c r="M1391" s="8">
        <f>L1391*G1391</f>
        <v/>
      </c>
      <c r="P1391" s="9" t="n"/>
    </row>
    <row r="1392">
      <c r="A1392" s="13" t="inlineStr">
        <is>
          <t>Great Hall of the Citadel / Grande Salão da Cidadela</t>
        </is>
      </c>
      <c r="B1392" s="13" t="inlineStr">
        <is>
          <t>Land / Terreno</t>
        </is>
      </c>
      <c r="C1392" s="13" t="inlineStr">
        <is>
          <t>Common / Comum</t>
        </is>
      </c>
      <c r="D1392" s="13" t="inlineStr">
        <is>
          <t>{T}: Add {C}. {1}, {T}: Add two mana in any combination of colors. Spend this mana only to cast legendary spells. / {T}: Adicione {C}. {1}, {T}: Adicione dois manas em qualquer combinação de cores. Gaste este mana somente para conjurar mágicas lendárias.</t>
        </is>
      </c>
      <c r="F1392" s="13" t="inlineStr">
        <is>
          <t>Incolor</t>
        </is>
      </c>
      <c r="G1392" s="8" t="n">
        <v>0.25</v>
      </c>
      <c r="H1392" s="13" t="inlineStr">
        <is>
          <t>The Lord of the Rings: Tales of Middle-earth (LTR)</t>
        </is>
      </c>
      <c r="I1392" s="13" t="inlineStr">
        <is>
          <t>Não</t>
        </is>
      </c>
      <c r="J1392" s="13" t="n">
        <v>2023</v>
      </c>
      <c r="L1392" s="13" t="n">
        <v>1</v>
      </c>
      <c r="M1392" s="8">
        <f>L1392*G1392</f>
        <v/>
      </c>
      <c r="P1392" s="9" t="n"/>
    </row>
    <row r="1393">
      <c r="A1393" s="13" t="inlineStr">
        <is>
          <t>Greater Tanuki / Grande Tanuki</t>
        </is>
      </c>
      <c r="B1393" s="13" t="inlineStr">
        <is>
          <t>Enchantment Creature — Dog / Criatura Encantamento — Cão</t>
        </is>
      </c>
      <c r="C1393" s="13" t="inlineStr">
        <is>
          <t>Common / Comum</t>
        </is>
      </c>
      <c r="D1393" s="13"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393" s="13" t="inlineStr">
        <is>
          <t>{4}{G}{G}</t>
        </is>
      </c>
      <c r="F1393" s="13" t="inlineStr">
        <is>
          <t>Verde</t>
        </is>
      </c>
      <c r="G1393" s="8" t="n">
        <v>0.1</v>
      </c>
      <c r="H1393" s="13" t="inlineStr">
        <is>
          <t>Kamigawa: Neon Dynasty (NEO)</t>
        </is>
      </c>
      <c r="I1393" s="13" t="inlineStr">
        <is>
          <t>Não</t>
        </is>
      </c>
      <c r="J1393" s="13" t="n">
        <v>2022</v>
      </c>
      <c r="K1393" s="10" t="n">
        <v>46148</v>
      </c>
      <c r="L1393" s="13" t="n">
        <v>1</v>
      </c>
      <c r="M1393" s="8">
        <f>L1393*G1393</f>
        <v/>
      </c>
      <c r="P1393" s="9" t="n"/>
    </row>
    <row r="1394">
      <c r="A1394" s="13" t="inlineStr">
        <is>
          <t>Greater Werewolf / O Grande Lobisomem</t>
        </is>
      </c>
      <c r="B1394" s="13" t="inlineStr">
        <is>
          <t>Creature — Werewolf</t>
        </is>
      </c>
      <c r="C1394" s="13" t="inlineStr">
        <is>
          <t>Common / Comum</t>
        </is>
      </c>
      <c r="D1394" s="13" t="inlineStr">
        <is>
          <t>At end of combat, put a -0/-2 counter on each creature blocking or blocked by this creature.</t>
        </is>
      </c>
      <c r="E1394" s="13" t="inlineStr">
        <is>
          <t>{4}{B}</t>
        </is>
      </c>
      <c r="F1394" s="13" t="inlineStr">
        <is>
          <t>Preto</t>
        </is>
      </c>
      <c r="G1394" s="8" t="n">
        <v>0.2</v>
      </c>
      <c r="H1394" s="13" t="inlineStr">
        <is>
          <t>Homelands (HML)</t>
        </is>
      </c>
      <c r="I1394" s="13" t="inlineStr">
        <is>
          <t>Não</t>
        </is>
      </c>
      <c r="J1394" s="13" t="n">
        <v>1995</v>
      </c>
      <c r="K1394" s="10" t="n">
        <v>46114</v>
      </c>
      <c r="L1394" s="13" t="n">
        <v>1</v>
      </c>
      <c r="M1394" s="8">
        <f>L1394*G1394</f>
        <v/>
      </c>
      <c r="P1394" s="9" t="n"/>
    </row>
    <row r="1395">
      <c r="A1395" s="13" t="inlineStr">
        <is>
          <t>Green Mana Battery / Bateria de Mana Verde</t>
        </is>
      </c>
      <c r="B1395" s="13" t="inlineStr">
        <is>
          <t>Artifact</t>
        </is>
      </c>
      <c r="C1395" s="13" t="inlineStr">
        <is>
          <t>Rare / Rara</t>
        </is>
      </c>
      <c r="D1395" s="13" t="inlineStr">
        <is>
          <t>{2}, {T}: Put a charge counter on this artifact. {T}, Remove any number of charge counters from this artifact: Add {G}, then add an additional {G} for each charge counter removed this way.</t>
        </is>
      </c>
      <c r="E1395" s="13" t="inlineStr">
        <is>
          <t>{4}</t>
        </is>
      </c>
      <c r="F1395" s="13" t="inlineStr">
        <is>
          <t>Verde</t>
        </is>
      </c>
      <c r="G1395" s="8" t="n">
        <v>0.75</v>
      </c>
      <c r="H1395" s="13" t="inlineStr">
        <is>
          <t>Fourth Edition</t>
        </is>
      </c>
      <c r="I1395" s="13" t="inlineStr">
        <is>
          <t>Não</t>
        </is>
      </c>
      <c r="J1395" s="13" t="n">
        <v>1995</v>
      </c>
      <c r="L1395" s="13" t="n">
        <v>1</v>
      </c>
      <c r="M1395" s="8">
        <f>L1395*G1395</f>
        <v/>
      </c>
      <c r="P1395" s="9" t="n"/>
    </row>
    <row r="1396">
      <c r="A1396" s="13" t="inlineStr">
        <is>
          <t>Green Ward / Defesa Verde</t>
        </is>
      </c>
      <c r="B1396" s="13" t="inlineStr">
        <is>
          <t>Enchantment — Aura</t>
        </is>
      </c>
      <c r="C1396" s="13" t="inlineStr">
        <is>
          <t>Uncommon / Incomum</t>
        </is>
      </c>
      <c r="D1396" s="13" t="inlineStr">
        <is>
          <t>Enchant creature Enchanted creature has protection from green. This effect doesn't remove this Aura.</t>
        </is>
      </c>
      <c r="E1396" s="13" t="inlineStr">
        <is>
          <t>{W}</t>
        </is>
      </c>
      <c r="F1396" s="13" t="inlineStr">
        <is>
          <t>Branco</t>
        </is>
      </c>
      <c r="G1396" s="8" t="n">
        <v>0.68</v>
      </c>
      <c r="H1396" s="13" t="inlineStr">
        <is>
          <t>Fourth Edition (BB)</t>
        </is>
      </c>
      <c r="I1396" s="13" t="inlineStr">
        <is>
          <t>Não</t>
        </is>
      </c>
      <c r="J1396" s="13" t="n">
        <v>1995</v>
      </c>
      <c r="L1396" s="13" t="n">
        <v>2</v>
      </c>
      <c r="M1396" s="8">
        <f>L1396*G1396</f>
        <v/>
      </c>
      <c r="P1396" s="9" t="n"/>
    </row>
    <row r="1397">
      <c r="A1397" s="13" t="inlineStr">
        <is>
          <t>Gremlin Infestation / Infestação de Gremlins</t>
        </is>
      </c>
      <c r="B1397" s="13" t="inlineStr">
        <is>
          <t>Enchantment — Aura / Encantamento — Aura</t>
        </is>
      </c>
      <c r="C1397" s="13" t="inlineStr">
        <is>
          <t>Uncommon / Incomum</t>
        </is>
      </c>
      <c r="D1397" s="13"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1397" s="13" t="inlineStr">
        <is>
          <t>{3}{R}</t>
        </is>
      </c>
      <c r="F1397" s="13" t="inlineStr">
        <is>
          <t>Vermelho</t>
        </is>
      </c>
      <c r="G1397" s="8" t="n">
        <v>0.03</v>
      </c>
      <c r="H1397" s="13" t="inlineStr">
        <is>
          <t>Aether Revolt (AER)</t>
        </is>
      </c>
      <c r="I1397" s="13" t="inlineStr">
        <is>
          <t>Não</t>
        </is>
      </c>
      <c r="J1397" s="13" t="n">
        <v>2017</v>
      </c>
      <c r="L1397" s="13" t="n">
        <v>1</v>
      </c>
      <c r="M1397" s="8">
        <f>L1397*G1397</f>
        <v/>
      </c>
      <c r="N1397" s="13" t="inlineStr">
        <is>
          <t>Bulk Shopee</t>
        </is>
      </c>
      <c r="P1397" s="9" t="n"/>
    </row>
    <row r="1398">
      <c r="A1398" s="13" t="inlineStr">
        <is>
          <t>Gremlin Tamer</t>
        </is>
      </c>
      <c r="B1398" s="13" t="inlineStr">
        <is>
          <t>Creature — Human Scout</t>
        </is>
      </c>
      <c r="C1398" s="13" t="inlineStr">
        <is>
          <t>Uncommon / Incomum</t>
        </is>
      </c>
      <c r="D1398" s="13" t="inlineStr">
        <is>
          <t>Eerie — Whenever an enchantment you control enters and whenever you fully unlock a Room, create a 1/1 red Gremlin creature token.</t>
        </is>
      </c>
      <c r="E1398" s="13" t="inlineStr">
        <is>
          <t>{W}{U}</t>
        </is>
      </c>
      <c r="F1398" s="13" t="inlineStr">
        <is>
          <t>Azul, Branco</t>
        </is>
      </c>
      <c r="G1398" s="8" t="n">
        <v>0.1</v>
      </c>
      <c r="H1398" s="13" t="inlineStr">
        <is>
          <t>Duskmourn: House of Horror (DSK)</t>
        </is>
      </c>
      <c r="I1398" s="13" t="inlineStr">
        <is>
          <t>Não</t>
        </is>
      </c>
      <c r="J1398" s="13" t="n">
        <v>2024</v>
      </c>
      <c r="K1398" s="10" t="n">
        <v>46055</v>
      </c>
      <c r="L1398" s="13" t="n">
        <v>3</v>
      </c>
      <c r="M1398" s="8">
        <f>L1398*G1398</f>
        <v/>
      </c>
      <c r="P1398" s="9" t="n"/>
    </row>
    <row r="1399">
      <c r="A1399" s="13" t="inlineStr">
        <is>
          <t>Griffin Dreamfinder / Grifo Apanha-sonhos</t>
        </is>
      </c>
      <c r="B1399" s="13" t="inlineStr">
        <is>
          <t>Creature — Griffin / Criatura — Grifo</t>
        </is>
      </c>
      <c r="C1399" s="13" t="inlineStr">
        <is>
          <t>Common / Comum</t>
        </is>
      </c>
      <c r="D1399" s="13" t="inlineStr">
        <is>
          <t>Flying When this creature enters, return target enchantment card from your graveyard to your hand. / Voar Quando Grifo Apanha-sonhos entrar no campo de batalha, devolva o card de encantamento alvo de seu cemitério para sua mão.</t>
        </is>
      </c>
      <c r="E1399" s="13" t="inlineStr">
        <is>
          <t>{3}{W}{W}</t>
        </is>
      </c>
      <c r="F1399" s="13" t="inlineStr">
        <is>
          <t>Branco</t>
        </is>
      </c>
      <c r="G1399" s="8" t="n">
        <v>0.03</v>
      </c>
      <c r="H1399" s="13" t="inlineStr">
        <is>
          <t>Born of the Gods (BNG)</t>
        </is>
      </c>
      <c r="I1399" s="13" t="inlineStr">
        <is>
          <t>Não</t>
        </is>
      </c>
      <c r="J1399" s="13" t="n">
        <v>2014</v>
      </c>
      <c r="K1399" s="10" t="n">
        <v>46113</v>
      </c>
      <c r="L1399" s="13" t="n">
        <v>1</v>
      </c>
      <c r="M1399" s="8">
        <f>L1399*G1399</f>
        <v/>
      </c>
      <c r="P1399" s="9" t="n"/>
    </row>
    <row r="1400">
      <c r="A1400" s="13" t="inlineStr">
        <is>
          <t>Grim Guardian / Guardião Sinistro</t>
        </is>
      </c>
      <c r="B1400" s="13" t="inlineStr">
        <is>
          <t>Enchantment Creature — Zombie / Criatura Encantamento — Zumbi</t>
        </is>
      </c>
      <c r="C1400" s="13" t="inlineStr">
        <is>
          <t>Common / Comum</t>
        </is>
      </c>
      <c r="D1400" s="13"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400" s="13" t="inlineStr">
        <is>
          <t>{2}{B}</t>
        </is>
      </c>
      <c r="F1400" s="13" t="inlineStr">
        <is>
          <t>Preto</t>
        </is>
      </c>
      <c r="G1400" s="8" t="n">
        <v>0.2</v>
      </c>
      <c r="H1400" s="13" t="inlineStr">
        <is>
          <t>Journey into Nyx (JOU)</t>
        </is>
      </c>
      <c r="I1400" s="13" t="inlineStr">
        <is>
          <t>Não</t>
        </is>
      </c>
      <c r="J1400" s="13" t="n">
        <v>2014</v>
      </c>
      <c r="K1400" s="10" t="n">
        <v>46113</v>
      </c>
      <c r="L1400" s="13" t="n">
        <v>5</v>
      </c>
      <c r="M1400" s="8">
        <f>L1400*G1400</f>
        <v/>
      </c>
      <c r="P1400" s="9" t="n"/>
    </row>
    <row r="1401">
      <c r="A1401" s="13" t="inlineStr">
        <is>
          <t>Grim Guardian / Guardião Sinistro</t>
        </is>
      </c>
      <c r="B1401" s="13" t="inlineStr">
        <is>
          <t>Enchantment Creature — Zombie / Criatura Encantamento — Zumbi</t>
        </is>
      </c>
      <c r="C1401" s="13" t="inlineStr">
        <is>
          <t>Common / Comum</t>
        </is>
      </c>
      <c r="D1401" s="13"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401" s="13" t="inlineStr">
        <is>
          <t>{2}{B}</t>
        </is>
      </c>
      <c r="F1401" s="13" t="inlineStr">
        <is>
          <t>Preto</t>
        </is>
      </c>
      <c r="G1401" s="8" t="n">
        <v>12.96</v>
      </c>
      <c r="H1401" s="13" t="inlineStr">
        <is>
          <t>Journey into Nyx (JOU)</t>
        </is>
      </c>
      <c r="I1401" s="13" t="inlineStr">
        <is>
          <t>Sim</t>
        </is>
      </c>
      <c r="J1401" s="13" t="n">
        <v>2014</v>
      </c>
      <c r="K1401" s="10" t="n">
        <v>46113</v>
      </c>
      <c r="L1401" s="13" t="n">
        <v>1</v>
      </c>
      <c r="M1401" s="8">
        <f>L1401*G1401</f>
        <v/>
      </c>
      <c r="P1401" s="9" t="n"/>
    </row>
    <row r="1402">
      <c r="A1402" s="13" t="inlineStr">
        <is>
          <t>Grim Javelineer</t>
        </is>
      </c>
      <c r="B1402" s="13" t="inlineStr">
        <is>
          <t>Creature — Human Warrior</t>
        </is>
      </c>
      <c r="C1402" s="13" t="inlineStr">
        <is>
          <t>Common / Comum</t>
        </is>
      </c>
      <c r="D1402" s="13" t="inlineStr">
        <is>
          <t>Whenever you attack, target attacking creature gets +1/+0 until end of turn. When that creature dies this turn, surveil 1. (Look at the top card of your library. You may put that card into your graveyard.)</t>
        </is>
      </c>
      <c r="E1402" s="13" t="inlineStr">
        <is>
          <t>{2}{B}</t>
        </is>
      </c>
      <c r="F1402" s="13" t="inlineStr">
        <is>
          <t>Preto</t>
        </is>
      </c>
      <c r="G1402" s="8" t="n">
        <v>0.05</v>
      </c>
      <c r="H1402" s="13" t="inlineStr">
        <is>
          <t>Aetherdrift (DFT)</t>
        </is>
      </c>
      <c r="I1402" s="13" t="inlineStr">
        <is>
          <t>Não</t>
        </is>
      </c>
      <c r="J1402" s="13" t="n">
        <v>2025</v>
      </c>
      <c r="K1402" s="10" t="n">
        <v>46056</v>
      </c>
      <c r="L1402" s="13" t="n">
        <v>1</v>
      </c>
      <c r="M1402" s="8">
        <f>L1402*G1402</f>
        <v/>
      </c>
      <c r="P1402" s="9" t="n"/>
    </row>
    <row r="1403">
      <c r="A1403" s="13" t="inlineStr">
        <is>
          <t>Grim Roustabout / Servente Macabro</t>
        </is>
      </c>
      <c r="B1403" s="13" t="inlineStr">
        <is>
          <t>Creature — Skeleton Warrior / Criatura — Esqueleto Guerreiro</t>
        </is>
      </c>
      <c r="C1403" s="13" t="inlineStr">
        <is>
          <t>Common / Comum</t>
        </is>
      </c>
      <c r="D1403" s="13"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3" s="13" t="inlineStr">
        <is>
          <t>{1}{B}</t>
        </is>
      </c>
      <c r="F1403" s="13" t="inlineStr">
        <is>
          <t>Preto</t>
        </is>
      </c>
      <c r="G1403" s="8" t="n">
        <v>0.05</v>
      </c>
      <c r="H1403" s="13" t="inlineStr">
        <is>
          <t>Return to Ravnica (RTR)</t>
        </is>
      </c>
      <c r="I1403" s="13" t="inlineStr">
        <is>
          <t>Não</t>
        </is>
      </c>
      <c r="J1403" s="13" t="n">
        <v>2012</v>
      </c>
      <c r="K1403" s="10" t="n">
        <v>46023</v>
      </c>
      <c r="L1403" s="13" t="n">
        <v>1</v>
      </c>
      <c r="M1403" s="8">
        <f>L1403*G1403</f>
        <v/>
      </c>
      <c r="P1403" s="9" t="n"/>
    </row>
    <row r="1404">
      <c r="A1404" s="13" t="inlineStr">
        <is>
          <t>Gríma Língua de Cobra / Gríma Wormtongue</t>
        </is>
      </c>
      <c r="B1404" s="13" t="inlineStr">
        <is>
          <t>Criatura Lendária — Humano Conselheiro</t>
        </is>
      </c>
      <c r="C1404" s="13" t="inlineStr">
        <is>
          <t>Incomum</t>
        </is>
      </c>
      <c r="D1404" s="13" t="inlineStr">
        <is>
          <t>Seus oponentes não podem ganhar pontos de vida. {T}, sacrifique outra criatura: O jogador alvo perde 1 ponto de vida. Se a criatura sacrificada era lendária, arregimente Orcs 2.</t>
        </is>
      </c>
      <c r="E1404" s="13" t="inlineStr">
        <is>
          <t>2{B}</t>
        </is>
      </c>
      <c r="F1404" s="13" t="inlineStr">
        <is>
          <t>Preto</t>
        </is>
      </c>
      <c r="G1404" s="8" t="n">
        <v>0.28</v>
      </c>
      <c r="H1404" s="13" t="inlineStr">
        <is>
          <t>The Lord of the Rings: Tales of Middle-earth (LTR)</t>
        </is>
      </c>
      <c r="I1404" s="13" t="inlineStr">
        <is>
          <t>Não</t>
        </is>
      </c>
      <c r="J1404" s="13" t="n">
        <v>2023</v>
      </c>
      <c r="K1404" s="10" t="n">
        <v>46113</v>
      </c>
      <c r="L1404" s="13" t="n">
        <v>1</v>
      </c>
      <c r="M1404" s="8">
        <f>L1404*G1404</f>
        <v/>
      </c>
      <c r="P1404" s="9" t="n"/>
    </row>
    <row r="1405">
      <c r="A1405" s="13" t="inlineStr">
        <is>
          <t>Griptide / Corrente de Refluxo</t>
        </is>
      </c>
      <c r="B1405" s="13" t="inlineStr">
        <is>
          <t>Instant / Mágica Instantânea</t>
        </is>
      </c>
      <c r="C1405" s="13" t="inlineStr">
        <is>
          <t>Common / Comum</t>
        </is>
      </c>
      <c r="D1405" s="13" t="inlineStr">
        <is>
          <t>Put target creature on top of its owner's library. / Coloque a criatura alvo no topo do grimório de seu dono.</t>
        </is>
      </c>
      <c r="E1405" s="13" t="inlineStr">
        <is>
          <t>{3}{U}</t>
        </is>
      </c>
      <c r="F1405" s="13" t="inlineStr">
        <is>
          <t>Azul</t>
        </is>
      </c>
      <c r="G1405" s="8" t="n">
        <v>0.05</v>
      </c>
      <c r="H1405" s="13" t="inlineStr">
        <is>
          <t>Duel Decks: Jace vs. Vraska (DDM)</t>
        </is>
      </c>
      <c r="I1405" s="13" t="inlineStr">
        <is>
          <t>Não</t>
        </is>
      </c>
      <c r="J1405" s="13" t="n">
        <v>2014</v>
      </c>
      <c r="L1405" s="13" t="n">
        <v>1</v>
      </c>
      <c r="M1405" s="8">
        <f>L1405*G1405</f>
        <v/>
      </c>
      <c r="P1405" s="9" t="n"/>
    </row>
    <row r="1406">
      <c r="A1406" s="13" t="inlineStr">
        <is>
          <t>Grishnákh, Instigador Ousado / Grishnákh, Brash Instigator</t>
        </is>
      </c>
      <c r="B1406" s="13" t="inlineStr">
        <is>
          <t>Criatura Lendária — Goblin Soldado</t>
        </is>
      </c>
      <c r="C1406" s="13" t="inlineStr">
        <is>
          <t>Incomum</t>
        </is>
      </c>
      <c r="D1406" s="13"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1406" s="13" t="inlineStr">
        <is>
          <t>2{R}</t>
        </is>
      </c>
      <c r="F1406" s="13" t="inlineStr">
        <is>
          <t>Vermelho</t>
        </is>
      </c>
      <c r="G1406" s="8" t="n">
        <v>0.2</v>
      </c>
      <c r="H1406" s="13" t="inlineStr">
        <is>
          <t>The Lord of the Rings: Tales of Middle-earth (LTR)</t>
        </is>
      </c>
      <c r="I1406" s="13" t="inlineStr">
        <is>
          <t>Não</t>
        </is>
      </c>
      <c r="J1406" s="13" t="n">
        <v>2023</v>
      </c>
      <c r="K1406" s="10" t="n">
        <v>46023</v>
      </c>
      <c r="L1406" s="13" t="n">
        <v>3</v>
      </c>
      <c r="M1406" s="8">
        <f>L1406*G1406</f>
        <v/>
      </c>
      <c r="P1406" s="9" t="n"/>
    </row>
    <row r="1407">
      <c r="A1407" s="13" t="inlineStr">
        <is>
          <t>Gristle Glutton</t>
        </is>
      </c>
      <c r="B1407" s="13" t="inlineStr">
        <is>
          <t>Creature — Goblin Scout</t>
        </is>
      </c>
      <c r="C1407" s="13" t="inlineStr">
        <is>
          <t>Common / Comum</t>
        </is>
      </c>
      <c r="D1407" s="13" t="inlineStr">
        <is>
          <t>{T}, Blight 1: Discard a card. If you do, draw a card. (To blight 1, put a -1/-1 counter on a creature you control.)</t>
        </is>
      </c>
      <c r="E1407" s="13" t="inlineStr">
        <is>
          <t>{1}{R}</t>
        </is>
      </c>
      <c r="F1407" s="13" t="inlineStr">
        <is>
          <t>Vermelho</t>
        </is>
      </c>
      <c r="G1407" s="8" t="n">
        <v>0.1</v>
      </c>
      <c r="H1407" s="13" t="inlineStr">
        <is>
          <t>Lorwyn Eclipsed (ECL)</t>
        </is>
      </c>
      <c r="I1407" s="13" t="inlineStr">
        <is>
          <t>Não</t>
        </is>
      </c>
      <c r="J1407" s="13" t="n">
        <v>2026</v>
      </c>
      <c r="K1407" s="10" t="n">
        <v>46082</v>
      </c>
      <c r="L1407" s="13" t="n">
        <v>2</v>
      </c>
      <c r="M1407" s="8">
        <f>L1407*G1407</f>
        <v/>
      </c>
      <c r="P1407" s="9" t="n"/>
    </row>
    <row r="1408">
      <c r="A1408" s="13" t="inlineStr">
        <is>
          <t>Grito do Carnarium / Cry of the Carnarium</t>
        </is>
      </c>
      <c r="B1408" s="13" t="inlineStr">
        <is>
          <t>Feitiço / Sorcery</t>
        </is>
      </c>
      <c r="C1408" s="13" t="inlineStr">
        <is>
          <t>Incomum / Uncommon</t>
        </is>
      </c>
      <c r="D1408" s="13"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408" s="13" t="inlineStr">
        <is>
          <t>{1}{B}{B}</t>
        </is>
      </c>
      <c r="F1408" s="13" t="inlineStr">
        <is>
          <t>Preto</t>
        </is>
      </c>
      <c r="G1408" s="8" t="n">
        <v>0.09</v>
      </c>
      <c r="H1408" s="13" t="inlineStr">
        <is>
          <t>Ravnica Allegiance (RNA)</t>
        </is>
      </c>
      <c r="I1408" s="13" t="inlineStr">
        <is>
          <t>Não</t>
        </is>
      </c>
      <c r="J1408" s="13" t="n">
        <v>2019</v>
      </c>
      <c r="L1408" s="13" t="n">
        <v>3</v>
      </c>
      <c r="M1408" s="8">
        <f>L1408*G1408</f>
        <v/>
      </c>
      <c r="P1408" s="9" t="n"/>
    </row>
    <row r="1409">
      <c r="A1409" s="13" t="inlineStr">
        <is>
          <t>Grizzled Wolverine / Carcaju Cinzento</t>
        </is>
      </c>
      <c r="B1409" s="13" t="inlineStr">
        <is>
          <t>Creature — Wolverine</t>
        </is>
      </c>
      <c r="C1409" s="13" t="inlineStr">
        <is>
          <t>Common / Comum</t>
        </is>
      </c>
      <c r="D1409" s="13" t="inlineStr">
        <is>
          <t>{R}: This creature gets +2/+0 until end of turn. Activate only during the declare blockers step, only if at least one creature is blocking this creature, and only once each turn.</t>
        </is>
      </c>
      <c r="E1409" s="13" t="inlineStr">
        <is>
          <t>{1}{R}{R}</t>
        </is>
      </c>
      <c r="F1409" s="13" t="inlineStr">
        <is>
          <t>Vermelho</t>
        </is>
      </c>
      <c r="G1409" s="8" t="n">
        <v>0.05</v>
      </c>
      <c r="H1409" s="13" t="inlineStr">
        <is>
          <t>Ice Age (ICE)</t>
        </is>
      </c>
      <c r="I1409" s="13" t="inlineStr">
        <is>
          <t>Não</t>
        </is>
      </c>
      <c r="J1409" s="13" t="n">
        <v>1995</v>
      </c>
      <c r="K1409" s="10" t="n">
        <v>46055</v>
      </c>
      <c r="L1409" s="13" t="n">
        <v>1</v>
      </c>
      <c r="M1409" s="8">
        <f>L1409*G1409</f>
        <v/>
      </c>
      <c r="P1409" s="9" t="n"/>
    </row>
    <row r="1410">
      <c r="A1410" s="13" t="inlineStr">
        <is>
          <t>Grizzly Bears / Ursos Cinzentos</t>
        </is>
      </c>
      <c r="B1410" s="13" t="inlineStr">
        <is>
          <t>Creature — Bear / Criatura — Urso</t>
        </is>
      </c>
      <c r="C1410" s="13" t="inlineStr">
        <is>
          <t>Common / Comum</t>
        </is>
      </c>
      <c r="E1410" s="13" t="inlineStr">
        <is>
          <t>{1}{G}</t>
        </is>
      </c>
      <c r="F1410" s="13" t="inlineStr">
        <is>
          <t>Verde</t>
        </is>
      </c>
      <c r="G1410" s="8" t="n">
        <v>0.09</v>
      </c>
      <c r="H1410" s="13" t="inlineStr">
        <is>
          <t>Décima edição</t>
        </is>
      </c>
      <c r="I1410" s="13" t="inlineStr">
        <is>
          <t>Não</t>
        </is>
      </c>
      <c r="J1410" s="13" t="n">
        <v>2007</v>
      </c>
      <c r="K1410" s="10" t="n">
        <v>46055</v>
      </c>
      <c r="L1410" s="13" t="n">
        <v>2</v>
      </c>
      <c r="M1410" s="8">
        <f>L1410*G1410</f>
        <v/>
      </c>
      <c r="P1410" s="9" t="n"/>
    </row>
    <row r="1411">
      <c r="A1411" s="13" t="inlineStr">
        <is>
          <t>Grond, o Quebra-portões / Grond, the Gatebreaker</t>
        </is>
      </c>
      <c r="B1411" s="13" t="inlineStr">
        <is>
          <t>Artefato Lendário — Veículo</t>
        </is>
      </c>
      <c r="C1411" s="13" t="inlineStr">
        <is>
          <t>Incomum</t>
        </is>
      </c>
      <c r="D1411" s="13"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1411" s="13" t="inlineStr">
        <is>
          <t>3{B}</t>
        </is>
      </c>
      <c r="F1411" s="13" t="inlineStr">
        <is>
          <t>Preto</t>
        </is>
      </c>
      <c r="G1411" s="8" t="n">
        <v>0.16</v>
      </c>
      <c r="H1411" s="13" t="inlineStr">
        <is>
          <t>The Lord of the Rings: Tales of Middle-earth (LTR)</t>
        </is>
      </c>
      <c r="I1411" s="13" t="inlineStr">
        <is>
          <t>Não</t>
        </is>
      </c>
      <c r="J1411" s="13" t="n">
        <v>2023</v>
      </c>
      <c r="K1411" s="10" t="n">
        <v>46147</v>
      </c>
      <c r="L1411" s="13" t="n">
        <v>3</v>
      </c>
      <c r="M1411" s="8">
        <f>L1411*G1411</f>
        <v/>
      </c>
      <c r="P1411" s="9" t="n"/>
    </row>
    <row r="1412">
      <c r="A1412" s="13" t="inlineStr">
        <is>
          <t>Grotag Bug-Catcher / Pega-bicho Grotag</t>
        </is>
      </c>
      <c r="B1412" s="13" t="inlineStr">
        <is>
          <t>Creature — Goblin Warrior / Criatura — Goblin Guerreiro</t>
        </is>
      </c>
      <c r="C1412" s="13" t="inlineStr">
        <is>
          <t>Common / Comum</t>
        </is>
      </c>
      <c r="D1412" s="13"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12" s="13" t="inlineStr">
        <is>
          <t>{1}{R}</t>
        </is>
      </c>
      <c r="F1412" s="13" t="inlineStr">
        <is>
          <t>Vermelho</t>
        </is>
      </c>
      <c r="G1412" s="8" t="n">
        <v>0.05</v>
      </c>
      <c r="H1412" s="13" t="inlineStr">
        <is>
          <t>Zendikar Rising (ZNR)</t>
        </is>
      </c>
      <c r="I1412" s="13" t="inlineStr">
        <is>
          <t>Não</t>
        </is>
      </c>
      <c r="J1412" s="13" t="n">
        <v>2020</v>
      </c>
      <c r="K1412" s="10" t="n">
        <v>46054</v>
      </c>
      <c r="L1412" s="13" t="n">
        <v>1</v>
      </c>
      <c r="M1412" s="8">
        <f>L1412*G1412</f>
        <v/>
      </c>
      <c r="P1412" s="9" t="n"/>
    </row>
    <row r="1413">
      <c r="A1413" s="13" t="inlineStr">
        <is>
          <t>Grotag Night-Runner / Corredor Noturno Grotag</t>
        </is>
      </c>
      <c r="B1413" s="13" t="inlineStr">
        <is>
          <t>Creature — Goblin Rogue / Criatura — Goblin Ladino</t>
        </is>
      </c>
      <c r="C1413" s="13" t="inlineStr">
        <is>
          <t>Uncommon / Incomum</t>
        </is>
      </c>
      <c r="D1413" s="13"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413" s="13" t="inlineStr">
        <is>
          <t>{2}{R}</t>
        </is>
      </c>
      <c r="F1413" s="13" t="inlineStr">
        <is>
          <t>Vermelho</t>
        </is>
      </c>
      <c r="G1413" s="8" t="n">
        <v>0.09</v>
      </c>
      <c r="H1413" s="13" t="inlineStr">
        <is>
          <t>Zendikar Rising (ZNR)</t>
        </is>
      </c>
      <c r="I1413" s="13" t="inlineStr">
        <is>
          <t>Não</t>
        </is>
      </c>
      <c r="J1413" s="13" t="n">
        <v>2020</v>
      </c>
      <c r="K1413" s="10" t="n">
        <v>46083</v>
      </c>
      <c r="L1413" s="13" t="n">
        <v>1</v>
      </c>
      <c r="M1413" s="8">
        <f>L1413*G1413</f>
        <v/>
      </c>
      <c r="P1413" s="9" t="n"/>
    </row>
    <row r="1414">
      <c r="A1414" s="13" t="inlineStr">
        <is>
          <t>Grotesque Demise / Fim Grotesco</t>
        </is>
      </c>
      <c r="B1414" s="13" t="inlineStr">
        <is>
          <t>Instant / Mágica Instantânea</t>
        </is>
      </c>
      <c r="C1414" s="13" t="inlineStr">
        <is>
          <t>Common / Comum</t>
        </is>
      </c>
      <c r="D1414" s="13" t="inlineStr">
        <is>
          <t>Exile target creature with power 3 or less. / Exile a criatura alvo com poder igual ou inferior a 3.</t>
        </is>
      </c>
      <c r="E1414" s="13" t="inlineStr">
        <is>
          <t>{2}{B}</t>
        </is>
      </c>
      <c r="F1414" s="13" t="inlineStr">
        <is>
          <t>Preto</t>
        </is>
      </c>
      <c r="G1414" s="8" t="n">
        <v>0.03</v>
      </c>
      <c r="H1414" s="13" t="inlineStr">
        <is>
          <t>Ravnica Allegiance (RNA)</t>
        </is>
      </c>
      <c r="I1414" s="13" t="inlineStr">
        <is>
          <t>Não</t>
        </is>
      </c>
      <c r="J1414" s="13" t="n">
        <v>2019</v>
      </c>
      <c r="L1414" s="13" t="n">
        <v>1</v>
      </c>
      <c r="M1414" s="8">
        <f>L1414*G1414</f>
        <v/>
      </c>
      <c r="P1414" s="9" t="n"/>
    </row>
    <row r="1415">
      <c r="A1415" s="13" t="inlineStr">
        <is>
          <t>Grounded for Life</t>
        </is>
      </c>
      <c r="B1415" s="13" t="inlineStr">
        <is>
          <t>Instant</t>
        </is>
      </c>
      <c r="C1415" s="13" t="inlineStr">
        <is>
          <t>Common / Comum</t>
        </is>
      </c>
      <c r="D1415" s="13" t="inlineStr">
        <is>
          <t>This spell costs {3} less to cast if it targets a tapped creature. Destroy target creature.</t>
        </is>
      </c>
      <c r="E1415" s="13" t="inlineStr">
        <is>
          <t>{4}{W}</t>
        </is>
      </c>
      <c r="F1415" s="13" t="inlineStr">
        <is>
          <t>Branco</t>
        </is>
      </c>
      <c r="G1415" s="8" t="n">
        <v>0.1</v>
      </c>
      <c r="H1415" s="13" t="inlineStr">
        <is>
          <t>Teenage Mutant Ninja Turtles (TMT)</t>
        </is>
      </c>
      <c r="I1415" s="13" t="inlineStr">
        <is>
          <t>Não</t>
        </is>
      </c>
      <c r="J1415" s="13" t="n">
        <v>2026</v>
      </c>
      <c r="L1415" s="13" t="n">
        <v>4</v>
      </c>
      <c r="M1415" s="8">
        <f>L1415*G1415</f>
        <v/>
      </c>
      <c r="P1415" s="9" t="n"/>
    </row>
    <row r="1416">
      <c r="A1416" s="13" t="inlineStr">
        <is>
          <t>Grounded for Life</t>
        </is>
      </c>
      <c r="B1416" s="13" t="inlineStr">
        <is>
          <t>Instant</t>
        </is>
      </c>
      <c r="C1416" s="13" t="inlineStr">
        <is>
          <t>Common / Comum</t>
        </is>
      </c>
      <c r="D1416" s="13" t="inlineStr">
        <is>
          <t>This spell costs {3} less to cast if it targets a tapped creature. Destroy target creature.</t>
        </is>
      </c>
      <c r="E1416" s="13" t="inlineStr">
        <is>
          <t>{4}{W}</t>
        </is>
      </c>
      <c r="F1416" s="13" t="inlineStr">
        <is>
          <t>Branco</t>
        </is>
      </c>
      <c r="G1416" s="8" t="n">
        <v>0.1</v>
      </c>
      <c r="H1416" s="13" t="inlineStr">
        <is>
          <t>Teenage Mutant Ninja Turtles (TMT)</t>
        </is>
      </c>
      <c r="I1416" s="13" t="inlineStr">
        <is>
          <t>Não</t>
        </is>
      </c>
      <c r="J1416" s="13" t="n">
        <v>2026</v>
      </c>
      <c r="L1416" s="13" t="n">
        <v>2</v>
      </c>
      <c r="M1416" s="8">
        <f>L1416*G1416</f>
        <v/>
      </c>
      <c r="P1416" s="9" t="n"/>
    </row>
    <row r="1417">
      <c r="A1417" s="13" t="inlineStr">
        <is>
          <t>Group Project / Trabalho em Grupo</t>
        </is>
      </c>
      <c r="B1417" s="13" t="inlineStr">
        <is>
          <t>Feitiço</t>
        </is>
      </c>
      <c r="C1417" s="13" t="inlineStr">
        <is>
          <t>Incomum</t>
        </is>
      </c>
      <c r="D1417" s="13" t="inlineStr">
        <is>
          <t>Crie uma ficha de criatura Espírito 2/2 vermelha e branca. Recapitular — Vire três criaturas desviradas que você controla. (Você pode conjurar este card de seu cemitério por seu custo de recapitular. Depois, exile-o.)</t>
        </is>
      </c>
      <c r="E1417" s="13" t="inlineStr">
        <is>
          <t>1{W}</t>
        </is>
      </c>
      <c r="F1417" s="13" t="inlineStr">
        <is>
          <t>Branco</t>
        </is>
      </c>
      <c r="G1417" s="8" t="n">
        <v>0.25</v>
      </c>
      <c r="H1417" s="13" t="inlineStr">
        <is>
          <t>Strixhaven: School of Mages (SOS)</t>
        </is>
      </c>
      <c r="I1417" s="13" t="inlineStr">
        <is>
          <t>Não</t>
        </is>
      </c>
      <c r="J1417" s="13" t="n">
        <v>2026</v>
      </c>
      <c r="L1417" s="13" t="n">
        <v>1</v>
      </c>
      <c r="M1417" s="8">
        <f>L1417*G1417</f>
        <v/>
      </c>
      <c r="P1417" s="9" t="n"/>
    </row>
    <row r="1418">
      <c r="A1418" s="13" t="inlineStr">
        <is>
          <t>Gruul Spellbreaker / Quebra-mágicas Gruul</t>
        </is>
      </c>
      <c r="B1418" s="13" t="inlineStr">
        <is>
          <t>Creature — Ogre Warrior / Criatura — Ogro Guerreiro</t>
        </is>
      </c>
      <c r="C1418" s="13" t="inlineStr">
        <is>
          <t>Rare / Rara</t>
        </is>
      </c>
      <c r="D1418" s="13"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418" s="13" t="inlineStr">
        <is>
          <t>{1}{R}{G}</t>
        </is>
      </c>
      <c r="F1418" s="13" t="inlineStr">
        <is>
          <t>Verde, Vermelho</t>
        </is>
      </c>
      <c r="G1418" s="8" t="n">
        <v>0.36</v>
      </c>
      <c r="H1418" s="13" t="inlineStr">
        <is>
          <t>Ravnica Allegiance (RNA)</t>
        </is>
      </c>
      <c r="I1418" s="13" t="inlineStr">
        <is>
          <t>Não</t>
        </is>
      </c>
      <c r="J1418" s="13" t="n">
        <v>2019</v>
      </c>
      <c r="K1418" s="10" t="n">
        <v>46084</v>
      </c>
      <c r="L1418" s="13" t="n">
        <v>1</v>
      </c>
      <c r="M1418" s="8">
        <f>L1418*G1418</f>
        <v/>
      </c>
      <c r="P1418" s="9" t="n"/>
    </row>
    <row r="1419">
      <c r="A1419" s="13" t="inlineStr">
        <is>
          <t>Guac &amp; Marshmallow Pizza</t>
        </is>
      </c>
      <c r="B1419" s="13" t="inlineStr">
        <is>
          <t>Artifact — Food</t>
        </is>
      </c>
      <c r="C1419" s="13" t="inlineStr">
        <is>
          <t>Common / Comum</t>
        </is>
      </c>
      <c r="D1419" s="13" t="inlineStr">
        <is>
          <t>Flash When this artifact enters, target creature gets +2/+2 until end of turn. Untap it. {2}, {T}, Sacrifice this artifact: You gain 3 life.</t>
        </is>
      </c>
      <c r="E1419" s="13" t="inlineStr">
        <is>
          <t>{G}</t>
        </is>
      </c>
      <c r="F1419" s="13" t="inlineStr">
        <is>
          <t>Verde</t>
        </is>
      </c>
      <c r="G1419" s="8" t="n">
        <v>0.1</v>
      </c>
      <c r="H1419" s="13" t="inlineStr">
        <is>
          <t>Teenage Mutant Ninja Turtles (TMT)</t>
        </is>
      </c>
      <c r="I1419" s="13" t="inlineStr">
        <is>
          <t>Não</t>
        </is>
      </c>
      <c r="J1419" s="13" t="n">
        <v>2026</v>
      </c>
      <c r="L1419" s="13" t="n">
        <v>1</v>
      </c>
      <c r="M1419" s="8">
        <f>L1419*G1419</f>
        <v/>
      </c>
      <c r="P1419" s="9" t="n"/>
    </row>
    <row r="1420">
      <c r="A1420" s="13" t="inlineStr">
        <is>
          <t>Guadosalam, Farplane Gateway / Guadosalam, Portal do Além</t>
        </is>
      </c>
      <c r="B1420" s="13" t="inlineStr">
        <is>
          <t>Terreno — Vila</t>
        </is>
      </c>
      <c r="C1420" s="13" t="inlineStr">
        <is>
          <t>Rara</t>
        </is>
      </c>
      <c r="D1420" s="13" t="inlineStr">
        <is>
          <t>Este terreno entra virado. {T}: Adicione {G} ou {U}.</t>
        </is>
      </c>
      <c r="E1420" s="13" t="inlineStr">
        <is>
          <t>Não encontrado</t>
        </is>
      </c>
      <c r="F1420" s="13" t="inlineStr">
        <is>
          <t>Incolor</t>
        </is>
      </c>
      <c r="G1420" s="8" t="n">
        <v>0.15</v>
      </c>
      <c r="H1420" s="13" t="inlineStr">
        <is>
          <t>Final Fantasy</t>
        </is>
      </c>
      <c r="I1420" s="13" t="inlineStr">
        <is>
          <t>Não</t>
        </is>
      </c>
      <c r="J1420" s="13" t="n">
        <v>2025</v>
      </c>
      <c r="L1420" s="13" t="n">
        <v>3</v>
      </c>
      <c r="M1420" s="8">
        <f>L1420*G1420</f>
        <v/>
      </c>
      <c r="P1420" s="9" t="n"/>
    </row>
    <row r="1421">
      <c r="A1421" s="13" t="inlineStr">
        <is>
          <t>Guardian Idol / Ídolo Guardião</t>
        </is>
      </c>
      <c r="B1421" s="13" t="inlineStr">
        <is>
          <t>Artifact / Artefato</t>
        </is>
      </c>
      <c r="C1421" s="13" t="inlineStr">
        <is>
          <t>Common / Comum</t>
        </is>
      </c>
      <c r="D1421" s="13"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1421" s="13" t="inlineStr">
        <is>
          <t>{2}</t>
        </is>
      </c>
      <c r="F1421" s="13" t="inlineStr">
        <is>
          <t>Incolor</t>
        </is>
      </c>
      <c r="G1421" s="8" t="n">
        <v>0.49</v>
      </c>
      <c r="H1421" s="13" t="inlineStr">
        <is>
          <t>Iconic Masters (IMA)</t>
        </is>
      </c>
      <c r="I1421" s="13" t="inlineStr">
        <is>
          <t>No</t>
        </is>
      </c>
      <c r="J1421" s="13" t="n">
        <v>2017</v>
      </c>
      <c r="L1421" s="13" t="n">
        <v>1</v>
      </c>
      <c r="M1421" s="8">
        <f>L1421*G1421</f>
        <v/>
      </c>
      <c r="P1421" s="9" t="n"/>
    </row>
    <row r="1422">
      <c r="A1422" s="13" t="inlineStr">
        <is>
          <t>Guardian of the Forgotten / Guardiões dos Esquecidos</t>
        </is>
      </c>
      <c r="B1422" s="13" t="inlineStr">
        <is>
          <t>Creature — Elephant Warrior / Criatura — Elefante Guerreiro</t>
        </is>
      </c>
      <c r="C1422" s="13" t="inlineStr">
        <is>
          <t>Uncommon / Incomum</t>
        </is>
      </c>
      <c r="D1422" s="13"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1422" s="13" t="inlineStr">
        <is>
          <t>{3}{W}</t>
        </is>
      </c>
      <c r="F1422" s="13" t="inlineStr">
        <is>
          <t>Branco</t>
        </is>
      </c>
      <c r="G1422" s="8" t="n">
        <v>0.04</v>
      </c>
      <c r="H1422" s="13" t="inlineStr">
        <is>
          <t>Modern Horizons 3 (MH3)</t>
        </is>
      </c>
      <c r="I1422" s="13" t="inlineStr">
        <is>
          <t>Não</t>
        </is>
      </c>
      <c r="J1422" s="13" t="n">
        <v>2024</v>
      </c>
      <c r="K1422" s="10" t="n">
        <v>46116</v>
      </c>
      <c r="L1422" s="13" t="n">
        <v>1</v>
      </c>
      <c r="M1422" s="8">
        <f>L1422*G1422</f>
        <v/>
      </c>
      <c r="P1422" s="9" t="n"/>
    </row>
    <row r="1423">
      <c r="A1423" s="13" t="inlineStr">
        <is>
          <t>Guardian Zendikon / Zendikon Guardião</t>
        </is>
      </c>
      <c r="B1423" s="13" t="inlineStr">
        <is>
          <t>Enchantment — Aura / Encantamento — Aura</t>
        </is>
      </c>
      <c r="C1423" s="13" t="inlineStr">
        <is>
          <t>Common / Comum</t>
        </is>
      </c>
      <c r="D1423" s="13"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423" s="13" t="inlineStr">
        <is>
          <t>{2}{W}</t>
        </is>
      </c>
      <c r="F1423" s="13" t="inlineStr">
        <is>
          <t>Branco</t>
        </is>
      </c>
      <c r="G1423" s="8" t="n">
        <v>0.05</v>
      </c>
      <c r="H1423" s="13" t="inlineStr">
        <is>
          <t>Worldwake (WWK)</t>
        </is>
      </c>
      <c r="I1423" s="13" t="inlineStr">
        <is>
          <t>Não</t>
        </is>
      </c>
      <c r="J1423" s="13" t="n">
        <v>2010</v>
      </c>
      <c r="L1423" s="13" t="n">
        <v>1</v>
      </c>
      <c r="M1423" s="8">
        <f>L1423*G1423</f>
        <v/>
      </c>
      <c r="P1423" s="9" t="n"/>
    </row>
    <row r="1424">
      <c r="A1424" s="13" t="inlineStr">
        <is>
          <t>Guardian's Longbow / Arco Longo do Guardião</t>
        </is>
      </c>
      <c r="B1424" s="13" t="inlineStr">
        <is>
          <t>Artifact — Equipment / Artefato — Equipamento</t>
        </is>
      </c>
      <c r="C1424" s="13" t="inlineStr">
        <is>
          <t>Common / Comum</t>
        </is>
      </c>
      <c r="D1424" s="13" t="inlineStr">
        <is>
          <t>Equipped creature gets +2/+1 and has reach. Equip {3}</t>
        </is>
      </c>
      <c r="E1424" s="13" t="inlineStr">
        <is>
          <t>{1}{G}</t>
        </is>
      </c>
      <c r="F1424" s="13" t="inlineStr">
        <is>
          <t>Green / Verde</t>
        </is>
      </c>
      <c r="G1424" s="8" t="n">
        <v>0.06</v>
      </c>
      <c r="H1424" s="13" t="inlineStr">
        <is>
          <t>Adventures in the Forgotten Realms (AFR)</t>
        </is>
      </c>
      <c r="I1424" s="13" t="inlineStr">
        <is>
          <t>No</t>
        </is>
      </c>
      <c r="J1424" s="13" t="n">
        <v>2021</v>
      </c>
      <c r="L1424" s="13" t="n">
        <v>1</v>
      </c>
      <c r="M1424" s="8">
        <f>L1424*G1424</f>
        <v/>
      </c>
      <c r="P1424" s="9" t="n"/>
    </row>
    <row r="1425">
      <c r="A1425" s="13" t="inlineStr">
        <is>
          <t>Guardião do Tesouro / Treasure Keeper</t>
        </is>
      </c>
      <c r="B1425" s="13" t="inlineStr">
        <is>
          <t>Artifact Creature — Construct / Criatura Artefato — Constructo</t>
        </is>
      </c>
      <c r="C1425" s="13" t="inlineStr">
        <is>
          <t>Uncommon / Incomum</t>
        </is>
      </c>
      <c r="D1425" s="13"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1425" s="13" t="inlineStr">
        <is>
          <t>Incolor</t>
        </is>
      </c>
      <c r="G1425" s="8" t="n">
        <v>0.06</v>
      </c>
      <c r="H1425" s="13" t="inlineStr">
        <is>
          <t>Commander Legends: Battle for Baldur's Gate (CLB)</t>
        </is>
      </c>
      <c r="I1425" s="13" t="inlineStr">
        <is>
          <t>No</t>
        </is>
      </c>
      <c r="J1425" s="13" t="n">
        <v>2022</v>
      </c>
      <c r="K1425" s="10" t="n">
        <v>46084</v>
      </c>
      <c r="L1425" s="13" t="n">
        <v>1</v>
      </c>
      <c r="M1425" s="8">
        <f>L1425*G1425</f>
        <v/>
      </c>
      <c r="P1425" s="9" t="n"/>
    </row>
    <row r="1426">
      <c r="A1426" s="13" t="inlineStr">
        <is>
          <t>Guardiãs de Oboro / Oboro Enforcers</t>
        </is>
      </c>
      <c r="B1426" s="13" t="inlineStr">
        <is>
          <t>Criatura — Cidadão-da-lua Samurai / Creature — Moonfolk Samurai</t>
        </is>
      </c>
      <c r="C1426" s="13" t="inlineStr">
        <is>
          <t>Comum / Common</t>
        </is>
      </c>
      <c r="D1426" s="13" t="inlineStr">
        <is>
          <t>Defensor. As criaturas modificadas que você controla podem atacar como se não tivessem defensor. / Defender. Modified creatures you control can attack as though they didn't have defender.</t>
        </is>
      </c>
      <c r="E1426" s="13" t="inlineStr">
        <is>
          <t>{2}{U}</t>
        </is>
      </c>
      <c r="F1426" s="13" t="inlineStr">
        <is>
          <t>Azul</t>
        </is>
      </c>
      <c r="G1426" s="8" t="n">
        <v>0.05</v>
      </c>
      <c r="H1426" s="13" t="inlineStr">
        <is>
          <t>Kamigawa: Neon Dynasty (NEO)</t>
        </is>
      </c>
      <c r="I1426" s="13" t="inlineStr">
        <is>
          <t>Não</t>
        </is>
      </c>
      <c r="J1426" s="13" t="n">
        <v>2022</v>
      </c>
      <c r="K1426" s="10" t="n">
        <v>46115</v>
      </c>
      <c r="L1426" s="13" t="n">
        <v>1</v>
      </c>
      <c r="M1426" s="8">
        <f>L1426*G1426</f>
        <v/>
      </c>
      <c r="P1426" s="9" t="n"/>
    </row>
    <row r="1427">
      <c r="A1427" s="13" t="inlineStr">
        <is>
          <t>Guardiãs de Oboro / Oboro Enforcers</t>
        </is>
      </c>
      <c r="B1427" s="13" t="inlineStr">
        <is>
          <t>Criatura — Cidadão-da-lua Samurai / Creature — Moonfolk Samurai</t>
        </is>
      </c>
      <c r="C1427" s="13" t="inlineStr">
        <is>
          <t>Comum / Common</t>
        </is>
      </c>
      <c r="D1427" s="13" t="inlineStr">
        <is>
          <t>Defensor. As criaturas modificadas que você controla podem atacar como se não tivessem defensor. / Defender. Modified creatures you control can attack as though they didn't have defender.</t>
        </is>
      </c>
      <c r="E1427" s="13" t="inlineStr">
        <is>
          <t>{2}{U}</t>
        </is>
      </c>
      <c r="F1427" s="13" t="inlineStr">
        <is>
          <t>Azul</t>
        </is>
      </c>
      <c r="G1427" s="8" t="n">
        <v>0.12</v>
      </c>
      <c r="H1427" s="13" t="inlineStr">
        <is>
          <t>Kamigawa: Neon Dynasty (NEO) V</t>
        </is>
      </c>
      <c r="I1427" s="13" t="inlineStr">
        <is>
          <t>Não</t>
        </is>
      </c>
      <c r="J1427" s="13" t="n">
        <v>2022</v>
      </c>
      <c r="K1427" s="10" t="n">
        <v>46115</v>
      </c>
      <c r="L1427" s="13" t="n">
        <v>1</v>
      </c>
      <c r="M1427" s="8">
        <f>L1427*G1427</f>
        <v/>
      </c>
      <c r="P1427" s="9" t="n"/>
    </row>
    <row r="1428">
      <c r="A1428" s="13" t="inlineStr">
        <is>
          <t>Guerreiro de Akoum / Akoum Warrior</t>
        </is>
      </c>
      <c r="B1428" s="13" t="inlineStr">
        <is>
          <t>Criatura — Minotauro Guerreiro / Creature — Minotaur Warrior</t>
        </is>
      </c>
      <c r="C1428" s="13" t="inlineStr">
        <is>
          <t>Incomum / Uncommon</t>
        </is>
      </c>
      <c r="D1428" s="13" t="inlineStr">
        <is>
          <t>Atropelar. / Trample.</t>
        </is>
      </c>
      <c r="E1428" s="13" t="inlineStr">
        <is>
          <t>{5}{R}</t>
        </is>
      </c>
      <c r="F1428" s="13" t="inlineStr">
        <is>
          <t>Vermelho / Red</t>
        </is>
      </c>
      <c r="G1428" s="8" t="n">
        <v>0.09</v>
      </c>
      <c r="H1428" s="13" t="inlineStr">
        <is>
          <t>Zendikar Rising (ZNR)</t>
        </is>
      </c>
      <c r="I1428" s="13" t="inlineStr">
        <is>
          <t>Não</t>
        </is>
      </c>
      <c r="J1428" s="13" t="n">
        <v>2020</v>
      </c>
      <c r="K1428" s="10" t="n">
        <v>46146</v>
      </c>
      <c r="L1428" s="13" t="n">
        <v>1</v>
      </c>
      <c r="M1428" s="8">
        <f>L1428*G1428</f>
        <v/>
      </c>
      <c r="P1428" s="9" t="n"/>
    </row>
    <row r="1429">
      <c r="A1429" s="13" t="inlineStr">
        <is>
          <t>Guerrilla Gorilla / Gorila Guerrilheiro</t>
        </is>
      </c>
      <c r="B1429" s="13" t="inlineStr">
        <is>
          <t>Criatura — Macaco Soldado Herói</t>
        </is>
      </c>
      <c r="C1429" s="13" t="inlineStr">
        <is>
          <t>Comum</t>
        </is>
      </c>
      <c r="D1429" s="13" t="inlineStr">
        <is>
          <t>Alcance. Sacrifique esta criatura: Destrua o artefato não de criatura ou encantamento não de criatura alvo. Ative apenas como um feitiço.</t>
        </is>
      </c>
      <c r="E1429" s="13" t="inlineStr">
        <is>
          <t>1{G}</t>
        </is>
      </c>
      <c r="F1429" s="13" t="inlineStr">
        <is>
          <t>Verde</t>
        </is>
      </c>
      <c r="G1429" s="8" t="n">
        <v>0.35</v>
      </c>
      <c r="H1429" s="13" t="inlineStr">
        <is>
          <t>Marvel</t>
        </is>
      </c>
      <c r="I1429" s="13" t="inlineStr">
        <is>
          <t>Sim</t>
        </is>
      </c>
      <c r="J1429" s="13" t="n">
        <v>2026</v>
      </c>
      <c r="K1429" s="10" t="n">
        <v>46055</v>
      </c>
      <c r="L1429" s="13" t="n">
        <v>1</v>
      </c>
      <c r="M1429" s="8">
        <f>L1429*G1429</f>
        <v/>
      </c>
      <c r="P1429" s="9" t="n"/>
    </row>
    <row r="1430">
      <c r="A1430" s="13" t="inlineStr">
        <is>
          <t>Guerrilla Gorilla / Gorila Guerrilheiro</t>
        </is>
      </c>
      <c r="B1430" s="13" t="inlineStr">
        <is>
          <t>Criatura — Macaco Soldado Herói</t>
        </is>
      </c>
      <c r="C1430" s="13" t="inlineStr">
        <is>
          <t>Comum</t>
        </is>
      </c>
      <c r="D1430" s="13" t="inlineStr">
        <is>
          <t>Alcance. Sacrifique esta criatura: Destrua o artefato não de criatura ou encantamento não de criatura alvo. Ative apenas como um feitiço.</t>
        </is>
      </c>
      <c r="E1430" s="13" t="inlineStr">
        <is>
          <t>1{G}</t>
        </is>
      </c>
      <c r="F1430" s="13" t="inlineStr">
        <is>
          <t>Verde</t>
        </is>
      </c>
      <c r="G1430" s="8" t="n">
        <v>0.13</v>
      </c>
      <c r="H1430" s="13" t="inlineStr">
        <is>
          <t>Marvel</t>
        </is>
      </c>
      <c r="I1430" s="13" t="inlineStr">
        <is>
          <t>Não</t>
        </is>
      </c>
      <c r="J1430" s="13" t="n">
        <v>2026</v>
      </c>
      <c r="K1430" s="10" t="n">
        <v>46055</v>
      </c>
      <c r="L1430" s="13" t="n">
        <v>1</v>
      </c>
      <c r="M1430" s="8">
        <f>L1430*G1430</f>
        <v/>
      </c>
      <c r="P1430" s="9" t="n"/>
    </row>
    <row r="1431">
      <c r="A1431" s="13" t="inlineStr">
        <is>
          <t>Gurmag Swiftwing / Asa-veloz Gurmag</t>
        </is>
      </c>
      <c r="B1431" s="13" t="inlineStr">
        <is>
          <t>Creature — Bat / Criatura — Morcego</t>
        </is>
      </c>
      <c r="C1431" s="13" t="inlineStr">
        <is>
          <t>Uncommon / Incomum</t>
        </is>
      </c>
      <c r="D1431" s="13" t="inlineStr">
        <is>
          <t>Flying, first strike, haste / Voar, iniciativa, ímpeto</t>
        </is>
      </c>
      <c r="E1431" s="13" t="inlineStr">
        <is>
          <t>{1}{B}</t>
        </is>
      </c>
      <c r="F1431" s="13" t="inlineStr">
        <is>
          <t>Preto</t>
        </is>
      </c>
      <c r="G1431" s="8" t="n">
        <v>0.15</v>
      </c>
      <c r="H1431" s="13" t="inlineStr">
        <is>
          <t>Khans of Tarkir (KTK)</t>
        </is>
      </c>
      <c r="I1431" s="13" t="inlineStr">
        <is>
          <t>Não</t>
        </is>
      </c>
      <c r="J1431" s="13" t="n">
        <v>2014</v>
      </c>
      <c r="K1431" s="10" t="n">
        <v>46054</v>
      </c>
      <c r="L1431" s="13" t="n">
        <v>2</v>
      </c>
      <c r="M1431" s="8">
        <f>L1431*G1431</f>
        <v/>
      </c>
      <c r="P1431" s="9" t="n"/>
    </row>
    <row r="1432">
      <c r="A1432" s="13" t="inlineStr">
        <is>
          <t>Gutsplitter Gang</t>
        </is>
      </c>
      <c r="B1432" s="13" t="inlineStr">
        <is>
          <t>Creature — Goblin Berserker</t>
        </is>
      </c>
      <c r="C1432" s="13" t="inlineStr">
        <is>
          <t>Uncommon</t>
        </is>
      </c>
      <c r="D1432" s="13" t="inlineStr">
        <is>
          <t>At the beginning of your first main phase, you may blight 2. If you don't, you lose 3 life. (To blight 2, put two -1/-1 counters on a creature you control.)</t>
        </is>
      </c>
      <c r="E1432" s="13" t="inlineStr">
        <is>
          <t>{3}{B}</t>
        </is>
      </c>
      <c r="F1432" s="13" t="inlineStr">
        <is>
          <t>Preto</t>
        </is>
      </c>
      <c r="G1432" s="8" t="n">
        <v>0.15</v>
      </c>
      <c r="H1432" s="13" t="inlineStr">
        <is>
          <t>Lorwyn Eclipsed (ECL)</t>
        </is>
      </c>
      <c r="I1432" s="13" t="inlineStr">
        <is>
          <t>Não</t>
        </is>
      </c>
      <c r="J1432" s="13" t="n">
        <v>2026</v>
      </c>
      <c r="K1432" s="10" t="n">
        <v>46179</v>
      </c>
      <c r="L1432" s="13" t="n">
        <v>1</v>
      </c>
      <c r="M1432" s="8">
        <f>L1432*G1432</f>
        <v/>
      </c>
      <c r="P1432" s="9" t="n"/>
    </row>
    <row r="1433">
      <c r="A1433" s="13" t="inlineStr">
        <is>
          <t>Gwaihir, o Senhor dos Ventos / Gwaihir the Windlord</t>
        </is>
      </c>
      <c r="B1433" s="13" t="inlineStr">
        <is>
          <t>Criatura Lendária — Ave Nobre</t>
        </is>
      </c>
      <c r="C1433" s="13" t="inlineStr">
        <is>
          <t>Incomum</t>
        </is>
      </c>
      <c r="D1433" s="13" t="inlineStr">
        <is>
          <t>Esta mágica custa {2} a menos para ser conjurada contanto que você tenha comprado dois ou mais cards neste turno. Voar, vigilância. As outras Aves que você controla têm vigilância.</t>
        </is>
      </c>
      <c r="E1433" s="13" t="inlineStr">
        <is>
          <t>4{W}{U}</t>
        </is>
      </c>
      <c r="F1433" s="13" t="inlineStr">
        <is>
          <t>Multicolorido (Branco e Azul)</t>
        </is>
      </c>
      <c r="G1433" s="8" t="n">
        <v>0.21</v>
      </c>
      <c r="H1433" s="13" t="inlineStr">
        <is>
          <t>The Lord of the Rings: Tales of Middle-earth (LTR)</t>
        </is>
      </c>
      <c r="I1433" s="13" t="inlineStr">
        <is>
          <t>Não</t>
        </is>
      </c>
      <c r="J1433" s="13" t="n">
        <v>2023</v>
      </c>
      <c r="K1433" s="10" t="n">
        <v>46116</v>
      </c>
      <c r="L1433" s="13" t="n">
        <v>1</v>
      </c>
      <c r="M1433" s="8">
        <f>L1433*G1433</f>
        <v/>
      </c>
      <c r="P1433" s="9" t="n"/>
    </row>
    <row r="1434">
      <c r="A1434" s="13" t="inlineStr">
        <is>
          <t>Gyre Engineer / Engenheiro da Espiral</t>
        </is>
      </c>
      <c r="B1434" s="13" t="inlineStr">
        <is>
          <t>Creature — Vedalken Wizard / Criatura — Vedalkeano Mago</t>
        </is>
      </c>
      <c r="C1434" s="13" t="inlineStr">
        <is>
          <t>Uncommon / Incomum</t>
        </is>
      </c>
      <c r="D1434" s="13" t="inlineStr">
        <is>
          <t>{T}: Add {G}{U}. / {T}: Adicione {G}{U}.</t>
        </is>
      </c>
      <c r="E1434" s="13" t="inlineStr">
        <is>
          <t>{1}{G}{U}</t>
        </is>
      </c>
      <c r="F1434" s="13" t="inlineStr">
        <is>
          <t>Verde, Azul</t>
        </is>
      </c>
      <c r="G1434" s="8" t="n">
        <v>0.06</v>
      </c>
      <c r="H1434" s="13" t="inlineStr">
        <is>
          <t>Ravnica Allegiance (RNA)</t>
        </is>
      </c>
      <c r="I1434" s="13" t="inlineStr">
        <is>
          <t>Não</t>
        </is>
      </c>
      <c r="J1434" s="13" t="n">
        <v>2019</v>
      </c>
      <c r="K1434" s="10" t="n">
        <v>46023</v>
      </c>
      <c r="L1434" s="13" t="n">
        <v>3</v>
      </c>
      <c r="M1434" s="8">
        <f>L1434*G1434</f>
        <v/>
      </c>
      <c r="P1434" s="9" t="n"/>
    </row>
    <row r="1435">
      <c r="A1435" s="13" t="inlineStr">
        <is>
          <t>Gysahl Greens / Verduras de Gysahl</t>
        </is>
      </c>
      <c r="B1435" s="13" t="inlineStr">
        <is>
          <t>Feitiço</t>
        </is>
      </c>
      <c r="C1435" s="13" t="inlineStr">
        <is>
          <t>Comum</t>
        </is>
      </c>
      <c r="D1435" s="13" t="inlineStr">
        <is>
          <t>Crie uma ficha de criatura Ave verde 2/2 com "Sempre que um terreno que você controla entrar, esta ficha receberá +1/+0 até o final do turno." Recapitular {6}{G} (Você pode conjurar este card de seu cemitério pagando seu custo de recapitular. Depois, exile-o.)</t>
        </is>
      </c>
      <c r="E1435" s="13" t="inlineStr">
        <is>
          <t>1{G}</t>
        </is>
      </c>
      <c r="F1435" s="13" t="inlineStr">
        <is>
          <t>Verde</t>
        </is>
      </c>
      <c r="G1435" s="8" t="n">
        <v>0.05</v>
      </c>
      <c r="H1435" s="13" t="inlineStr">
        <is>
          <t>Final Fantasy</t>
        </is>
      </c>
      <c r="I1435" s="13" t="inlineStr">
        <is>
          <t>Não</t>
        </is>
      </c>
      <c r="J1435" s="13" t="n">
        <v>2025</v>
      </c>
      <c r="L1435" s="13" t="n">
        <v>6</v>
      </c>
      <c r="M1435" s="8">
        <f>L1435*G1435</f>
        <v/>
      </c>
      <c r="P1435" s="9" t="n"/>
    </row>
    <row r="1436">
      <c r="A1436" s="13" t="inlineStr">
        <is>
          <t>Haazda Marshal / Agente de Haazda</t>
        </is>
      </c>
      <c r="B1436" s="13" t="inlineStr">
        <is>
          <t>Creature — Human Soldier / Criatura — Humano Soldado</t>
        </is>
      </c>
      <c r="C1436" s="13" t="inlineStr">
        <is>
          <t>Uncommon / Incomum</t>
        </is>
      </c>
      <c r="D1436" s="13"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436" s="13" t="inlineStr">
        <is>
          <t>{W}</t>
        </is>
      </c>
      <c r="F1436" s="13" t="inlineStr">
        <is>
          <t>Branco</t>
        </is>
      </c>
      <c r="G1436" s="8" t="n">
        <v>1.6</v>
      </c>
      <c r="H1436" s="13" t="inlineStr">
        <is>
          <t>Guilds of Ravnica (GRN)</t>
        </is>
      </c>
      <c r="I1436" s="13" t="inlineStr">
        <is>
          <t>Sim</t>
        </is>
      </c>
      <c r="J1436" s="13" t="n">
        <v>2018</v>
      </c>
      <c r="K1436" s="10" t="n">
        <v>46023</v>
      </c>
      <c r="L1436" s="13" t="n">
        <v>1</v>
      </c>
      <c r="M1436" s="8">
        <f>L1436*G1436</f>
        <v/>
      </c>
      <c r="P1436" s="9" t="n"/>
    </row>
    <row r="1437">
      <c r="A1437" s="13" t="inlineStr">
        <is>
          <t>Habitante das Covas Traiçoeiro / Treacherous Pit-Dweller</t>
        </is>
      </c>
      <c r="B1437" s="13" t="inlineStr">
        <is>
          <t>Criatura — Demônio / Creature — Demon</t>
        </is>
      </c>
      <c r="C1437" s="13" t="inlineStr">
        <is>
          <t>Rara / Rare</t>
        </is>
      </c>
      <c r="D1437" s="13"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437" s="13" t="inlineStr">
        <is>
          <t>{B}{B}</t>
        </is>
      </c>
      <c r="F1437" s="13" t="inlineStr">
        <is>
          <t>Preto / Black</t>
        </is>
      </c>
      <c r="G1437" s="8" t="n">
        <v>0.45</v>
      </c>
      <c r="H1437" s="13" t="inlineStr">
        <is>
          <t>Dark Ascension (DKA)</t>
        </is>
      </c>
      <c r="I1437" s="13" t="inlineStr">
        <is>
          <t>Não</t>
        </is>
      </c>
      <c r="J1437" s="13" t="n">
        <v>2012</v>
      </c>
      <c r="K1437" s="10" t="n">
        <v>46085</v>
      </c>
      <c r="L1437" s="13" t="n">
        <v>1</v>
      </c>
      <c r="M1437" s="8">
        <f>L1437*G1437</f>
        <v/>
      </c>
      <c r="P1437" s="9" t="n"/>
    </row>
    <row r="1438">
      <c r="A1438" s="13" t="inlineStr">
        <is>
          <t>Hada Freeblade / Franco-Espadachim de Hada</t>
        </is>
      </c>
      <c r="B1438" s="13" t="inlineStr">
        <is>
          <t>Creature — Human Soldier Ally / Criatura — Humano Soldado Aliado</t>
        </is>
      </c>
      <c r="C1438" s="13" t="inlineStr">
        <is>
          <t>Uncommon / Incomum</t>
        </is>
      </c>
      <c r="D1438" s="13"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438" s="13" t="inlineStr">
        <is>
          <t>{W}</t>
        </is>
      </c>
      <c r="F1438" s="13" t="inlineStr">
        <is>
          <t>Branco</t>
        </is>
      </c>
      <c r="G1438" s="8" t="n">
        <v>0.3</v>
      </c>
      <c r="H1438" s="13" t="inlineStr">
        <is>
          <t>Worldwake (WWK)</t>
        </is>
      </c>
      <c r="I1438" s="13" t="inlineStr">
        <is>
          <t>Não</t>
        </is>
      </c>
      <c r="J1438" s="13" t="n">
        <v>2010</v>
      </c>
      <c r="K1438" s="13" t="inlineStr">
        <is>
          <t>0/1</t>
        </is>
      </c>
      <c r="L1438" s="13" t="n">
        <v>3</v>
      </c>
      <c r="M1438" s="8">
        <f>L1438*G1438</f>
        <v/>
      </c>
      <c r="P1438" s="9" t="n"/>
    </row>
    <row r="1439">
      <c r="A1439" s="13" t="inlineStr">
        <is>
          <t>Hagi Mob / Turba de Hagis</t>
        </is>
      </c>
      <c r="B1439" s="13" t="inlineStr">
        <is>
          <t>Creature — Troll Berserker / Criatura — Trol Amoque</t>
        </is>
      </c>
      <c r="C1439" s="13" t="inlineStr">
        <is>
          <t>Common / Comum</t>
        </is>
      </c>
      <c r="D1439" s="13"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39" s="13" t="inlineStr">
        <is>
          <t>{4}{R}</t>
        </is>
      </c>
      <c r="F1439" s="13" t="inlineStr">
        <is>
          <t>Vermelho</t>
        </is>
      </c>
      <c r="G1439" s="8" t="n">
        <v>0.06</v>
      </c>
      <c r="H1439" s="13" t="inlineStr">
        <is>
          <t>Kaldheim (KHM)</t>
        </is>
      </c>
      <c r="I1439" s="13" t="inlineStr">
        <is>
          <t>Não</t>
        </is>
      </c>
      <c r="J1439" s="13" t="n">
        <v>2021</v>
      </c>
      <c r="K1439" s="10" t="n">
        <v>46117</v>
      </c>
      <c r="L1439" s="13" t="n">
        <v>1</v>
      </c>
      <c r="M1439" s="8">
        <f>L1439*G1439</f>
        <v/>
      </c>
      <c r="P1439" s="9" t="n"/>
    </row>
    <row r="1440">
      <c r="A1440" s="13" t="inlineStr">
        <is>
          <t>Halimar Depths / Profundezas de Halimar</t>
        </is>
      </c>
      <c r="B1440" s="13" t="inlineStr">
        <is>
          <t>Land / Terreno</t>
        </is>
      </c>
      <c r="C1440" s="13" t="inlineStr">
        <is>
          <t>Common / Comum</t>
        </is>
      </c>
      <c r="D1440" s="13"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440" s="13" t="inlineStr">
        <is>
          <t>Azul</t>
        </is>
      </c>
      <c r="G1440" s="8" t="n">
        <v>0.48</v>
      </c>
      <c r="H1440" s="13" t="inlineStr">
        <is>
          <t>Worldwake (WWK)</t>
        </is>
      </c>
      <c r="I1440" s="13" t="inlineStr">
        <is>
          <t>Não</t>
        </is>
      </c>
      <c r="J1440" s="13" t="n">
        <v>2010</v>
      </c>
      <c r="L1440" s="13" t="n">
        <v>1</v>
      </c>
      <c r="M1440" s="8">
        <f>L1440*G1440</f>
        <v/>
      </c>
      <c r="P1440" s="9" t="n"/>
    </row>
    <row r="1441">
      <c r="A1441" s="13" t="inlineStr">
        <is>
          <t>Hama, the Bloodbender</t>
        </is>
      </c>
      <c r="B1441" s="13" t="inlineStr">
        <is>
          <t>Legendary Creature — Human Warlock</t>
        </is>
      </c>
      <c r="C1441" s="13" t="inlineStr">
        <is>
          <t>Uncommon / Incomum</t>
        </is>
      </c>
      <c r="D1441" s="13"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441" s="13" t="inlineStr">
        <is>
          <t>{2}{U/B}{U/B}{U/B}</t>
        </is>
      </c>
      <c r="F1441" s="13" t="inlineStr">
        <is>
          <t>Preto, Azul</t>
        </is>
      </c>
      <c r="G1441" s="8" t="n">
        <v>0.25</v>
      </c>
      <c r="H1441" s="13" t="inlineStr">
        <is>
          <t>Avatar: The Last Airbender (TLA)</t>
        </is>
      </c>
      <c r="I1441" s="13" t="inlineStr">
        <is>
          <t>Sim</t>
        </is>
      </c>
      <c r="J1441" s="13" t="n">
        <v>2025</v>
      </c>
      <c r="K1441" s="10" t="n">
        <v>46084</v>
      </c>
      <c r="L1441" s="13" t="n">
        <v>1</v>
      </c>
      <c r="M1441" s="8">
        <f>L1441*G1441</f>
        <v/>
      </c>
      <c r="P1441" s="9" t="n"/>
    </row>
    <row r="1442">
      <c r="A1442" s="13" t="inlineStr">
        <is>
          <t>Hamato Guardian Stance</t>
        </is>
      </c>
      <c r="B1442" s="13" t="inlineStr">
        <is>
          <t>Instant</t>
        </is>
      </c>
      <c r="C1442" s="13" t="inlineStr">
        <is>
          <t>Common / Comum</t>
        </is>
      </c>
      <c r="D1442" s="13" t="inlineStr">
        <is>
          <t>Target creature gets +1/+3 and gains flying until end of turn. Scry 1. (Look at the top card of your library. You may put that card on the bottom.)</t>
        </is>
      </c>
      <c r="E1442" s="13" t="inlineStr">
        <is>
          <t>{W}</t>
        </is>
      </c>
      <c r="F1442" s="13" t="inlineStr">
        <is>
          <t>Branco</t>
        </is>
      </c>
      <c r="G1442" s="8" t="n">
        <v>0.05</v>
      </c>
      <c r="H1442" s="13" t="inlineStr">
        <is>
          <t>Teenage Mutant Ninja Turtles (TMT)</t>
        </is>
      </c>
      <c r="I1442" s="13" t="inlineStr">
        <is>
          <t>Não</t>
        </is>
      </c>
      <c r="J1442" s="13" t="n">
        <v>2026</v>
      </c>
      <c r="L1442" s="13" t="n">
        <v>5</v>
      </c>
      <c r="M1442" s="8">
        <f>L1442*G1442</f>
        <v/>
      </c>
      <c r="P1442" s="9" t="n"/>
    </row>
    <row r="1443">
      <c r="A1443" s="13" t="inlineStr">
        <is>
          <t>Hamato Ninpō / Hamato Ninpō</t>
        </is>
      </c>
      <c r="B1443" s="13" t="inlineStr">
        <is>
          <t>Mágica Instantânea</t>
        </is>
      </c>
      <c r="C1443" s="13" t="inlineStr">
        <is>
          <t>Comum</t>
        </is>
      </c>
      <c r="D1443" s="13" t="inlineStr">
        <is>
          <t>Hamato Ninpō causa 4 pontos de dano à criatura atacante ou bloqueadora alvo.</t>
        </is>
      </c>
      <c r="E1443" s="13" t="inlineStr">
        <is>
          <t>1{W}</t>
        </is>
      </c>
      <c r="F1443" s="13" t="inlineStr">
        <is>
          <t>Branco</t>
        </is>
      </c>
      <c r="G1443" s="8" t="n">
        <v>0.2</v>
      </c>
      <c r="H1443" s="13" t="inlineStr">
        <is>
          <t>Teenage Mutant Ninja Turtles</t>
        </is>
      </c>
      <c r="I1443" s="13" t="inlineStr">
        <is>
          <t>Não</t>
        </is>
      </c>
      <c r="J1443" s="13" t="n">
        <v>2026</v>
      </c>
      <c r="L1443" s="13" t="n">
        <v>3</v>
      </c>
      <c r="M1443" s="8">
        <f>L1443*G1443</f>
        <v/>
      </c>
      <c r="P1443" s="9" t="n"/>
    </row>
    <row r="1444">
      <c r="A1444" s="13" t="inlineStr">
        <is>
          <t>Harbinger of the Tides / Anunciador das Marés</t>
        </is>
      </c>
      <c r="B1444" s="13" t="inlineStr">
        <is>
          <t>Creature — Merfolk Wizard / Criatura — Tritão Mago</t>
        </is>
      </c>
      <c r="C1444" s="13" t="inlineStr">
        <is>
          <t>Rare / Rara</t>
        </is>
      </c>
      <c r="D1444" s="13"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444" s="13" t="inlineStr">
        <is>
          <t>{U}{U}</t>
        </is>
      </c>
      <c r="F1444" s="13" t="inlineStr">
        <is>
          <t>Azul</t>
        </is>
      </c>
      <c r="G1444" s="8" t="n">
        <v>0.5</v>
      </c>
      <c r="H1444" s="13" t="inlineStr">
        <is>
          <t>Magic Origins (ORI)</t>
        </is>
      </c>
      <c r="I1444" s="13" t="inlineStr">
        <is>
          <t>Não</t>
        </is>
      </c>
      <c r="J1444" s="13" t="n">
        <v>2015</v>
      </c>
      <c r="K1444" s="10" t="n">
        <v>46055</v>
      </c>
      <c r="L1444" s="13" t="n">
        <v>1</v>
      </c>
      <c r="M1444" s="8">
        <f>L1444*G1444</f>
        <v/>
      </c>
      <c r="P1444" s="9" t="n"/>
    </row>
    <row r="1445">
      <c r="A1445" s="13" t="inlineStr">
        <is>
          <t>Hard-Won Jitte</t>
        </is>
      </c>
      <c r="B1445" s="13" t="inlineStr">
        <is>
          <t>Artifact — Equipment</t>
        </is>
      </c>
      <c r="C1445" s="13" t="inlineStr">
        <is>
          <t>Uncommon / Incomum</t>
        </is>
      </c>
      <c r="D1445" s="13" t="inlineStr">
        <is>
          <t>Equipped creature has double strike. Equip {2} ({2}: Attach to target creature you control. Equip only as a sorcery.)</t>
        </is>
      </c>
      <c r="E1445" s="13" t="inlineStr">
        <is>
          <t>{1}{R}</t>
        </is>
      </c>
      <c r="F1445" s="13" t="inlineStr">
        <is>
          <t>Vermelho</t>
        </is>
      </c>
      <c r="G1445" s="8" t="n">
        <v>0.15</v>
      </c>
      <c r="H1445" s="13" t="inlineStr">
        <is>
          <t>Teenage Mutant Ninja Turtles (TMT)</t>
        </is>
      </c>
      <c r="I1445" s="13" t="inlineStr">
        <is>
          <t>Não</t>
        </is>
      </c>
      <c r="J1445" s="13" t="n">
        <v>2026</v>
      </c>
      <c r="L1445" s="13" t="n">
        <v>1</v>
      </c>
      <c r="M1445" s="8">
        <f>L1445*G1445</f>
        <v/>
      </c>
      <c r="P1445" s="9" t="n"/>
    </row>
    <row r="1446">
      <c r="A1446" s="13" t="inlineStr">
        <is>
          <t>Hardened Escort</t>
        </is>
      </c>
      <c r="B1446" s="13" t="inlineStr">
        <is>
          <t>Creature — Human Soldier</t>
        </is>
      </c>
      <c r="C1446" s="13" t="inlineStr">
        <is>
          <t>Common / Comum</t>
        </is>
      </c>
      <c r="D1446" s="13" t="inlineStr">
        <is>
          <t>Whenever this creature attacks, another target creature you control gets +1/+0 and gains indestructible until end of turn. (Damage and effects that say "destroy" don't destroy it.)</t>
        </is>
      </c>
      <c r="E1446" s="13" t="inlineStr">
        <is>
          <t>{2}{W}</t>
        </is>
      </c>
      <c r="F1446" s="13" t="inlineStr">
        <is>
          <t>Branco</t>
        </is>
      </c>
      <c r="G1446" s="8" t="n">
        <v>0.05</v>
      </c>
      <c r="H1446" s="13" t="inlineStr">
        <is>
          <t>Duskmourn: House of Horror (DSK)</t>
        </is>
      </c>
      <c r="I1446" s="13" t="inlineStr">
        <is>
          <t>Não</t>
        </is>
      </c>
      <c r="J1446" s="13" t="n">
        <v>2024</v>
      </c>
      <c r="K1446" s="10" t="n">
        <v>46114</v>
      </c>
      <c r="L1446" s="13" t="n">
        <v>1</v>
      </c>
      <c r="M1446" s="8">
        <f>L1446*G1446</f>
        <v/>
      </c>
      <c r="P1446" s="9" t="n"/>
    </row>
    <row r="1447">
      <c r="A1447" s="13" t="inlineStr">
        <is>
          <t>Hardy Veteran / Veterana Calejada</t>
        </is>
      </c>
      <c r="B1447" s="13" t="inlineStr">
        <is>
          <t>Creature — Human Warrior / Criatura — Humano Guerreiro</t>
        </is>
      </c>
      <c r="C1447" s="13" t="inlineStr">
        <is>
          <t>Common / Comum</t>
        </is>
      </c>
      <c r="D1447" s="13" t="inlineStr">
        <is>
          <t>During your turn, this creature gets +0/+2. / Enquanto for o seu turno, Veterana Calejada receberá +0/+2.</t>
        </is>
      </c>
      <c r="E1447" s="13" t="inlineStr">
        <is>
          <t>{1}{G}</t>
        </is>
      </c>
      <c r="F1447" s="13" t="inlineStr">
        <is>
          <t>Verde</t>
        </is>
      </c>
      <c r="G1447" s="8" t="n">
        <v>0.03</v>
      </c>
      <c r="H1447" s="13" t="inlineStr">
        <is>
          <t>Rivals of Ixalan (RIX)</t>
        </is>
      </c>
      <c r="I1447" s="13" t="inlineStr">
        <is>
          <t>Não</t>
        </is>
      </c>
      <c r="J1447" s="13" t="n">
        <v>2018</v>
      </c>
      <c r="K1447" s="10" t="n">
        <v>46055</v>
      </c>
      <c r="L1447" s="13" t="n">
        <v>1</v>
      </c>
      <c r="M1447" s="8">
        <f>L1447*G1447</f>
        <v/>
      </c>
      <c r="P1447" s="9" t="n"/>
    </row>
    <row r="1448">
      <c r="A1448" s="13" t="inlineStr">
        <is>
          <t>Harrier Strix / Estrige Saqueadora</t>
        </is>
      </c>
      <c r="B1448" s="13" t="inlineStr">
        <is>
          <t>Creature — Bird / Criatura — Ave</t>
        </is>
      </c>
      <c r="C1448" s="13" t="inlineStr">
        <is>
          <t>Common / Comum</t>
        </is>
      </c>
      <c r="D1448" s="13" t="inlineStr">
        <is>
          <t>Flying When this creature enters, tap target permanent. {2}{U}: Draw a card, then discard a card. / Voar Quando Estrige Saqueadora entrar no campo de batalha, vire a permanente alvo. {2}{U}: Compre um card e depois descarte um card.</t>
        </is>
      </c>
      <c r="E1448" s="13" t="inlineStr">
        <is>
          <t>{U}</t>
        </is>
      </c>
      <c r="F1448" s="13" t="inlineStr">
        <is>
          <t>Azul</t>
        </is>
      </c>
      <c r="G1448" s="8" t="n">
        <v>0.17</v>
      </c>
      <c r="H1448" s="13" t="inlineStr">
        <is>
          <t>Outlaws of Thunder Junction (OTJ)</t>
        </is>
      </c>
      <c r="I1448" s="13" t="inlineStr">
        <is>
          <t>Não</t>
        </is>
      </c>
      <c r="J1448" s="13" t="n">
        <v>2024</v>
      </c>
      <c r="K1448" s="10" t="n">
        <v>46023</v>
      </c>
      <c r="L1448" s="13" t="n">
        <v>2</v>
      </c>
      <c r="M1448" s="8">
        <f>L1448*G1448</f>
        <v/>
      </c>
      <c r="P1448" s="9" t="n"/>
    </row>
    <row r="1449">
      <c r="A1449" s="13" t="inlineStr">
        <is>
          <t>Harrowing Journey / Jornada Desgastante</t>
        </is>
      </c>
      <c r="B1449" s="13" t="inlineStr">
        <is>
          <t>Sorcery / Feitiço</t>
        </is>
      </c>
      <c r="C1449" s="13" t="inlineStr">
        <is>
          <t>Uncommon / Incomum</t>
        </is>
      </c>
      <c r="D1449" s="13" t="inlineStr">
        <is>
          <t>Target player draws three cards and loses 3 life. / O jogador alvo compra três cards e perde 3 pontos de vida.</t>
        </is>
      </c>
      <c r="E1449" s="13" t="inlineStr">
        <is>
          <t>{4}{B}</t>
        </is>
      </c>
      <c r="F1449" s="13" t="inlineStr">
        <is>
          <t>Preto</t>
        </is>
      </c>
      <c r="G1449" s="8" t="n">
        <v>0.06</v>
      </c>
      <c r="H1449" s="13" t="inlineStr">
        <is>
          <t>Dark Ascension (DKA)</t>
        </is>
      </c>
      <c r="I1449" s="13" t="inlineStr">
        <is>
          <t>Não</t>
        </is>
      </c>
      <c r="J1449" s="13" t="n">
        <v>2012</v>
      </c>
      <c r="L1449" s="13" t="n">
        <v>1</v>
      </c>
      <c r="M1449" s="8">
        <f>L1449*G1449</f>
        <v/>
      </c>
      <c r="P1449" s="9" t="n"/>
    </row>
    <row r="1450">
      <c r="A1450" s="13" t="inlineStr">
        <is>
          <t>Harsh Annotation / Anotação Ríspida</t>
        </is>
      </c>
      <c r="B1450" s="13" t="inlineStr">
        <is>
          <t>Mágica Instantânea</t>
        </is>
      </c>
      <c r="C1450" s="13" t="inlineStr">
        <is>
          <t>Incomum</t>
        </is>
      </c>
      <c r="D1450" s="13" t="inlineStr">
        <is>
          <t>Destrua a criatura alvo. Seu controlador cria uma ficha de criatura Tinteiro 1/1 branca e preta com voar.</t>
        </is>
      </c>
      <c r="E1450" s="13" t="inlineStr">
        <is>
          <t>1{W}</t>
        </is>
      </c>
      <c r="F1450" s="13" t="inlineStr">
        <is>
          <t>Branco</t>
        </is>
      </c>
      <c r="G1450" s="8" t="n">
        <v>0.28</v>
      </c>
      <c r="H1450" s="13" t="inlineStr">
        <is>
          <t>Strixhaven: School of Mages (SOS)</t>
        </is>
      </c>
      <c r="I1450" s="13" t="inlineStr">
        <is>
          <t>Não</t>
        </is>
      </c>
      <c r="J1450" s="13" t="n">
        <v>2026</v>
      </c>
      <c r="L1450" s="13" t="n">
        <v>1</v>
      </c>
      <c r="M1450" s="8">
        <f>L1450*G1450</f>
        <v/>
      </c>
      <c r="P1450" s="9" t="n"/>
    </row>
    <row r="1451">
      <c r="A1451" s="13" t="inlineStr">
        <is>
          <t>Harsh Sustenance / Sustento Árduo</t>
        </is>
      </c>
      <c r="B1451" s="13" t="inlineStr">
        <is>
          <t>Instant / Mágica Instantânea</t>
        </is>
      </c>
      <c r="C1451" s="13" t="inlineStr">
        <is>
          <t>Common / Comum</t>
        </is>
      </c>
      <c r="D1451" s="13"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451" s="13" t="inlineStr">
        <is>
          <t>{1}{W}{B}</t>
        </is>
      </c>
      <c r="F1451" s="13" t="inlineStr">
        <is>
          <t>Preto, Branco</t>
        </is>
      </c>
      <c r="G1451" s="8" t="n">
        <v>0.09</v>
      </c>
      <c r="H1451" s="13" t="inlineStr">
        <is>
          <t>Fate Reforged (FRF)</t>
        </is>
      </c>
      <c r="I1451" s="13" t="inlineStr">
        <is>
          <t>Não</t>
        </is>
      </c>
      <c r="J1451" s="13" t="n">
        <v>2015</v>
      </c>
      <c r="L1451" s="13" t="n">
        <v>2</v>
      </c>
      <c r="M1451" s="8">
        <f>L1451*G1451</f>
        <v/>
      </c>
      <c r="P1451" s="9" t="n"/>
    </row>
    <row r="1452">
      <c r="A1452" s="13" t="inlineStr">
        <is>
          <t>Haru, Hidden Talent</t>
        </is>
      </c>
      <c r="B1452" s="13" t="inlineStr">
        <is>
          <t>Legendary Creature — Human Peasant Ally</t>
        </is>
      </c>
      <c r="C1452" s="13" t="inlineStr">
        <is>
          <t>Uncommon / Incomum</t>
        </is>
      </c>
      <c r="D1452" s="13" t="inlineStr">
        <is>
          <t>Whenever another Ally you control enters, earthbend 1. (Target land you control becomes a 0/0 creature with haste that's still a land. Put a +1/+1 counter on it. When it dies or is exiled, return it to the battlefield tapped.)</t>
        </is>
      </c>
      <c r="E1452" s="13" t="inlineStr">
        <is>
          <t>{1}{G}</t>
        </is>
      </c>
      <c r="F1452" s="13" t="inlineStr">
        <is>
          <t>Verde</t>
        </is>
      </c>
      <c r="G1452" s="8" t="n">
        <v>0.15</v>
      </c>
      <c r="H1452" s="13" t="inlineStr">
        <is>
          <t>Avatar: The Last Airbender (TLA)</t>
        </is>
      </c>
      <c r="I1452" s="13" t="inlineStr">
        <is>
          <t>Não</t>
        </is>
      </c>
      <c r="J1452" s="13" t="n">
        <v>2025</v>
      </c>
      <c r="K1452" s="10" t="n">
        <v>46023</v>
      </c>
      <c r="L1452" s="13" t="n">
        <v>1</v>
      </c>
      <c r="M1452" s="8">
        <f>L1452*G1452</f>
        <v/>
      </c>
      <c r="P1452" s="9" t="n"/>
    </row>
    <row r="1453">
      <c r="A1453" s="13" t="inlineStr">
        <is>
          <t>Harvestguard Alseids / Alseídes da Colheita</t>
        </is>
      </c>
      <c r="B1453" s="13" t="inlineStr">
        <is>
          <t>Enchantment Creature — Nymph / Criatura Encantamento — Ninfa</t>
        </is>
      </c>
      <c r="C1453" s="13" t="inlineStr">
        <is>
          <t>Common / Comum</t>
        </is>
      </c>
      <c r="D1453" s="13"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1453" s="13" t="inlineStr">
        <is>
          <t>{2}{W}</t>
        </is>
      </c>
      <c r="F1453" s="13" t="inlineStr">
        <is>
          <t>Branco</t>
        </is>
      </c>
      <c r="G1453" s="8" t="n">
        <v>0.03</v>
      </c>
      <c r="H1453" s="13" t="inlineStr">
        <is>
          <t>Journey into Nyx (JOU)</t>
        </is>
      </c>
      <c r="I1453" s="13" t="inlineStr">
        <is>
          <t>Não</t>
        </is>
      </c>
      <c r="J1453" s="13" t="n">
        <v>2014</v>
      </c>
      <c r="K1453" s="10" t="n">
        <v>46083</v>
      </c>
      <c r="L1453" s="13" t="n">
        <v>2</v>
      </c>
      <c r="M1453" s="8">
        <f>L1453*G1453</f>
        <v/>
      </c>
      <c r="P1453" s="9" t="n"/>
    </row>
    <row r="1454">
      <c r="A1454" s="13" t="inlineStr">
        <is>
          <t>Hasran Ogress</t>
        </is>
      </c>
      <c r="B1454" s="13" t="inlineStr">
        <is>
          <t>Creature — Ogre</t>
        </is>
      </c>
      <c r="C1454" s="13" t="inlineStr">
        <is>
          <t>Common / Comum</t>
        </is>
      </c>
      <c r="D1454" s="13" t="inlineStr">
        <is>
          <t>Whenever this creature attacks, it deals 3 damage to you unless you pay {2}.</t>
        </is>
      </c>
      <c r="E1454" s="13" t="inlineStr">
        <is>
          <t>{B}{B}</t>
        </is>
      </c>
      <c r="F1454" s="13" t="inlineStr">
        <is>
          <t>Preto</t>
        </is>
      </c>
      <c r="G1454" s="8" t="n">
        <v>0.05</v>
      </c>
      <c r="H1454" s="13" t="inlineStr">
        <is>
          <t>Chronicies</t>
        </is>
      </c>
      <c r="I1454" s="13" t="inlineStr">
        <is>
          <t>Não</t>
        </is>
      </c>
      <c r="J1454" s="13" t="n">
        <v>1995</v>
      </c>
      <c r="K1454" s="10" t="n">
        <v>46056</v>
      </c>
      <c r="L1454" s="13" t="n">
        <v>4</v>
      </c>
      <c r="M1454" s="8">
        <f>L1454*G1454</f>
        <v/>
      </c>
      <c r="P1454" s="9" t="n"/>
    </row>
    <row r="1455">
      <c r="A1455" s="13" t="inlineStr">
        <is>
          <t>Haste Magic / Magia de Ímpeto</t>
        </is>
      </c>
      <c r="B1455" s="13" t="inlineStr">
        <is>
          <t>Mágica Instantânea</t>
        </is>
      </c>
      <c r="C1455" s="13" t="inlineStr">
        <is>
          <t>Comum</t>
        </is>
      </c>
      <c r="D1455" s="13" t="inlineStr">
        <is>
          <t>A criatura alvo recebe +3/+1 e ganha ímpeto até o final do turno. Exile o card do topo de seu grimório. Você pode jogá-lo até a sua próxima etapa final.</t>
        </is>
      </c>
      <c r="E1455" s="13" t="inlineStr">
        <is>
          <t>1R</t>
        </is>
      </c>
      <c r="F1455" s="13" t="inlineStr">
        <is>
          <t>Vermelho</t>
        </is>
      </c>
      <c r="G1455" s="8" t="n">
        <v>0.14</v>
      </c>
      <c r="H1455" s="13" t="inlineStr">
        <is>
          <t>Final Fantasy</t>
        </is>
      </c>
      <c r="I1455" s="13" t="inlineStr">
        <is>
          <t>Não</t>
        </is>
      </c>
      <c r="J1455" s="13" t="n">
        <v>2025</v>
      </c>
      <c r="L1455" s="13" t="n">
        <v>6</v>
      </c>
      <c r="M1455" s="8">
        <f>L1455*G1455</f>
        <v/>
      </c>
      <c r="P1455" s="9" t="n"/>
    </row>
    <row r="1456">
      <c r="A1456" s="13" t="inlineStr">
        <is>
          <t>Haunted Angel / Anjo Assombrado</t>
        </is>
      </c>
      <c r="B1456" s="13" t="inlineStr">
        <is>
          <t>Creature — Angel / Criatura — Anjo</t>
        </is>
      </c>
      <c r="C1456" s="13" t="inlineStr">
        <is>
          <t>Rare / Rara</t>
        </is>
      </c>
      <c r="D1456" s="13"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1456" s="13" t="inlineStr">
        <is>
          <t>{2}{W}</t>
        </is>
      </c>
      <c r="F1456" s="13" t="inlineStr">
        <is>
          <t>Branco</t>
        </is>
      </c>
      <c r="G1456" s="8" t="n">
        <v>0.35</v>
      </c>
      <c r="H1456" s="13" t="inlineStr">
        <is>
          <t>Apocalypse (APC)</t>
        </is>
      </c>
      <c r="I1456" s="13" t="inlineStr">
        <is>
          <t>No</t>
        </is>
      </c>
      <c r="J1456" s="13" t="n">
        <v>2001</v>
      </c>
      <c r="K1456" s="10" t="n">
        <v>46084</v>
      </c>
      <c r="L1456" s="13" t="n">
        <v>1</v>
      </c>
      <c r="M1456" s="8">
        <f>L1456*G1456</f>
        <v/>
      </c>
      <c r="P1456" s="9" t="n"/>
    </row>
    <row r="1457">
      <c r="A1457" s="13" t="inlineStr">
        <is>
          <t>Haunted Fengraf / Cemitério Pantanoso Assombrado</t>
        </is>
      </c>
      <c r="B1457" s="13" t="inlineStr">
        <is>
          <t>Land / Terreno</t>
        </is>
      </c>
      <c r="C1457" s="13" t="inlineStr">
        <is>
          <t>Common / Comum</t>
        </is>
      </c>
      <c r="D1457" s="13"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457" s="13" t="inlineStr">
        <is>
          <t>Incolor</t>
        </is>
      </c>
      <c r="G1457" s="8" t="n">
        <v>0.18</v>
      </c>
      <c r="H1457" s="13" t="inlineStr">
        <is>
          <t>Dark Ascension (DKA)</t>
        </is>
      </c>
      <c r="I1457" s="13" t="inlineStr">
        <is>
          <t>Não</t>
        </is>
      </c>
      <c r="J1457" s="13" t="n">
        <v>2012</v>
      </c>
      <c r="L1457" s="13" t="n">
        <v>2</v>
      </c>
      <c r="M1457" s="8">
        <f>L1457*G1457</f>
        <v/>
      </c>
      <c r="P1457" s="9" t="n"/>
    </row>
    <row r="1458">
      <c r="A1458" s="13" t="inlineStr">
        <is>
          <t>Haunting Apparition / Visonha Macabra</t>
        </is>
      </c>
      <c r="B1458" s="13" t="inlineStr">
        <is>
          <t>Creature — Spirit</t>
        </is>
      </c>
      <c r="C1458" s="13" t="inlineStr">
        <is>
          <t>Uncommon / Incomum</t>
        </is>
      </c>
      <c r="D1458" s="13" t="inlineStr">
        <is>
          <t>Flying As this creature enters, choose an opponent. Haunting Apparition's power is equal to 1 plus the number of green creature cards in the chosen player's graveyard.</t>
        </is>
      </c>
      <c r="E1458" s="13" t="inlineStr">
        <is>
          <t>{1}{U}{B}</t>
        </is>
      </c>
      <c r="F1458" s="13" t="inlineStr">
        <is>
          <t>Preto, Azul</t>
        </is>
      </c>
      <c r="G1458" s="8" t="n">
        <v>0.15</v>
      </c>
      <c r="H1458" s="13" t="inlineStr">
        <is>
          <t>Mirage (MIR)</t>
        </is>
      </c>
      <c r="I1458" s="13" t="inlineStr">
        <is>
          <t>Não</t>
        </is>
      </c>
      <c r="J1458" s="13" t="n">
        <v>1996</v>
      </c>
      <c r="K1458" s="13" t="inlineStr">
        <is>
          <t>1+*/2</t>
        </is>
      </c>
      <c r="L1458" s="13" t="n">
        <v>1</v>
      </c>
      <c r="M1458" s="8">
        <f>L1458*G1458</f>
        <v/>
      </c>
      <c r="P1458" s="9" t="n"/>
    </row>
    <row r="1459">
      <c r="A1459" s="13" t="inlineStr">
        <is>
          <t>Havoc Jester / Bufão da Destruição</t>
        </is>
      </c>
      <c r="B1459" s="13" t="inlineStr">
        <is>
          <t>Creature — Devil / Criatura — Diabo</t>
        </is>
      </c>
      <c r="C1459" s="13" t="inlineStr">
        <is>
          <t>Uncommon / Incomum</t>
        </is>
      </c>
      <c r="D1459" s="13" t="inlineStr">
        <is>
          <t>Whenever you sacrifice a permanent, this creature deals 1 damage to any target. / Toda vez que você sacrifica uma permanente, Bufão da Destruição causa 1 ponto de dano a qualquer alvo.</t>
        </is>
      </c>
      <c r="E1459" s="13" t="inlineStr">
        <is>
          <t>{4}{R}</t>
        </is>
      </c>
      <c r="F1459" s="13" t="inlineStr">
        <is>
          <t>Vermelho</t>
        </is>
      </c>
      <c r="G1459" s="8" t="n">
        <v>0.19</v>
      </c>
      <c r="H1459" s="13" t="inlineStr">
        <is>
          <t>Commander Masters (CMM)</t>
        </is>
      </c>
      <c r="I1459" s="13" t="inlineStr">
        <is>
          <t>Não</t>
        </is>
      </c>
      <c r="J1459" s="13" t="n">
        <v>2023</v>
      </c>
      <c r="K1459" s="10" t="n">
        <v>46147</v>
      </c>
      <c r="L1459" s="13" t="n">
        <v>1</v>
      </c>
      <c r="M1459" s="8">
        <f>L1459*G1459</f>
        <v/>
      </c>
      <c r="P1459" s="9" t="n"/>
    </row>
    <row r="1460">
      <c r="A1460" s="13" t="inlineStr">
        <is>
          <t>Hazduhr the Abbot</t>
        </is>
      </c>
      <c r="B1460" s="13" t="inlineStr">
        <is>
          <t>Criatura Lendária / Summon Legend</t>
        </is>
      </c>
      <c r="C1460" s="13" t="inlineStr">
        <is>
          <t>Rara / Rare</t>
        </is>
      </c>
      <c r="D1460" s="13" t="inlineStr">
        <is>
          <t>{X}, {T}: Redirect to Hazduhr the Abbot X damage dealt to any white creature you control.</t>
        </is>
      </c>
      <c r="E1460" s="13" t="inlineStr">
        <is>
          <t>{3}{W}{W}</t>
        </is>
      </c>
      <c r="F1460" s="13" t="inlineStr">
        <is>
          <t>Branco</t>
        </is>
      </c>
      <c r="G1460" s="8" t="n">
        <v>2.48</v>
      </c>
      <c r="H1460" s="13" t="inlineStr">
        <is>
          <t>Legends (LEG)</t>
        </is>
      </c>
      <c r="I1460" s="13" t="inlineStr">
        <is>
          <t>Não</t>
        </is>
      </c>
      <c r="J1460" s="13" t="n">
        <v>1995</v>
      </c>
      <c r="K1460" s="10" t="n">
        <v>46144</v>
      </c>
      <c r="L1460" s="13" t="n">
        <v>1</v>
      </c>
      <c r="M1460" s="8">
        <f>L1460*G1460</f>
        <v/>
      </c>
      <c r="N1460" s="13" t="inlineStr">
        <is>
          <t>Pasta</t>
        </is>
      </c>
      <c r="P1460" s="9" t="n"/>
    </row>
    <row r="1461">
      <c r="A1461" s="13" t="inlineStr">
        <is>
          <t>Haze of Pollen / Bruma de Pólen</t>
        </is>
      </c>
      <c r="B1461" s="13" t="inlineStr">
        <is>
          <t>Instant / Mágica Instantânea</t>
        </is>
      </c>
      <c r="C1461" s="13" t="inlineStr">
        <is>
          <t>Common / Comum</t>
        </is>
      </c>
      <c r="D1461" s="13" t="inlineStr">
        <is>
          <t>Prevent all combat damage that would be dealt this turn. Cycling {3} ({3}, Discard this card: Draw a card.) / Previna todo o dano de combate que seria causado neste turno. Reciclar {3} ({3}, Descarte este card: Compre um card.)</t>
        </is>
      </c>
      <c r="E1461" s="13" t="inlineStr">
        <is>
          <t>{1}{G}</t>
        </is>
      </c>
      <c r="F1461" s="13" t="inlineStr">
        <is>
          <t>Verde</t>
        </is>
      </c>
      <c r="G1461" s="8" t="n">
        <v>0.06</v>
      </c>
      <c r="H1461" s="13" t="inlineStr">
        <is>
          <t>Amonkhet (AKH)</t>
        </is>
      </c>
      <c r="I1461" s="13" t="inlineStr">
        <is>
          <t>Não</t>
        </is>
      </c>
      <c r="J1461" s="13" t="n">
        <v>2017</v>
      </c>
      <c r="L1461" s="13" t="n">
        <v>1</v>
      </c>
      <c r="M1461" s="8">
        <f>L1461*G1461</f>
        <v/>
      </c>
      <c r="P1461" s="9" t="n"/>
    </row>
    <row r="1462">
      <c r="A1462" s="13" t="inlineStr">
        <is>
          <t>Head of the Homestead</t>
        </is>
      </c>
      <c r="B1462" s="13" t="inlineStr">
        <is>
          <t>Creature — Rabbit Citizen</t>
        </is>
      </c>
      <c r="C1462" s="13" t="inlineStr">
        <is>
          <t>Common</t>
        </is>
      </c>
      <c r="D1462" s="13" t="inlineStr">
        <is>
          <t>When Head of the Homestead enters, create two 1/1 white Rabbit creature tokens.</t>
        </is>
      </c>
      <c r="E1462" s="13" t="inlineStr">
        <is>
          <t>{3}{G}{W}</t>
        </is>
      </c>
      <c r="F1462" s="13" t="inlineStr">
        <is>
          <t>Verde/Branco</t>
        </is>
      </c>
      <c r="G1462" s="8" t="n">
        <v>0.1</v>
      </c>
      <c r="H1462" s="8" t="inlineStr">
        <is>
          <t>Bloomburrow (BLB)</t>
        </is>
      </c>
      <c r="I1462" s="13" t="inlineStr">
        <is>
          <t>Não</t>
        </is>
      </c>
      <c r="J1462" s="13" t="n">
        <v>2024</v>
      </c>
      <c r="K1462" s="10" t="n">
        <v>46056</v>
      </c>
      <c r="L1462" s="13" t="n">
        <v>1</v>
      </c>
      <c r="M1462" s="8">
        <f>L1462*G1462</f>
        <v/>
      </c>
      <c r="P1462" s="9" t="n"/>
    </row>
    <row r="1463">
      <c r="A1463" s="13" t="inlineStr">
        <is>
          <t>Headless Skaab / Skaab Sem Cabeça</t>
        </is>
      </c>
      <c r="B1463" s="13" t="inlineStr">
        <is>
          <t>Creature — Zombie Warrior / Criatura — Zumbi Guerreiro</t>
        </is>
      </c>
      <c r="C1463" s="13" t="inlineStr">
        <is>
          <t>Common / Comum</t>
        </is>
      </c>
      <c r="D1463" s="13"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463" s="13" t="inlineStr">
        <is>
          <t>{2}{U}</t>
        </is>
      </c>
      <c r="F1463" s="13" t="inlineStr">
        <is>
          <t>Azul</t>
        </is>
      </c>
      <c r="G1463" s="8" t="n">
        <v>0.07000000000000001</v>
      </c>
      <c r="H1463" s="13" t="inlineStr">
        <is>
          <t>Dark Ascension (DKA)</t>
        </is>
      </c>
      <c r="I1463" s="13" t="inlineStr">
        <is>
          <t>Não</t>
        </is>
      </c>
      <c r="J1463" s="13" t="n">
        <v>2012</v>
      </c>
      <c r="K1463" s="10" t="n">
        <v>46176</v>
      </c>
      <c r="L1463" s="13" t="n">
        <v>2</v>
      </c>
      <c r="M1463" s="8">
        <f>L1463*G1463</f>
        <v/>
      </c>
      <c r="P1463" s="9" t="n"/>
    </row>
    <row r="1464">
      <c r="A1464" s="13" t="inlineStr">
        <is>
          <t>Headless Specter / Espectro Sem Cabeça</t>
        </is>
      </c>
      <c r="B1464" s="13" t="inlineStr">
        <is>
          <t>Creature — Specter / Criatura — Espectro</t>
        </is>
      </c>
      <c r="C1464" s="13" t="inlineStr">
        <is>
          <t>Common / Comum</t>
        </is>
      </c>
      <c r="D1464" s="13"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1464" s="13" t="inlineStr">
        <is>
          <t>{1}{B}{B}</t>
        </is>
      </c>
      <c r="F1464" s="13" t="inlineStr">
        <is>
          <t>Preto</t>
        </is>
      </c>
      <c r="G1464" s="8" t="n">
        <v>0.04</v>
      </c>
      <c r="H1464" s="13" t="inlineStr">
        <is>
          <t>Modern Horizons (MH1)</t>
        </is>
      </c>
      <c r="I1464" s="13" t="inlineStr">
        <is>
          <t>Não</t>
        </is>
      </c>
      <c r="J1464" s="13" t="n">
        <v>2019</v>
      </c>
      <c r="K1464" s="10" t="n">
        <v>46055</v>
      </c>
      <c r="L1464" s="13" t="n">
        <v>1</v>
      </c>
      <c r="M1464" s="8">
        <f>L1464*G1464</f>
        <v/>
      </c>
      <c r="P1464" s="9" t="n"/>
    </row>
    <row r="1465">
      <c r="A1465" s="13" t="inlineStr">
        <is>
          <t>Healer's Hawk / Falcão do Curandeiro</t>
        </is>
      </c>
      <c r="B1465" s="13" t="inlineStr">
        <is>
          <t>Creature — Bird / Criatura — Ave</t>
        </is>
      </c>
      <c r="C1465" s="13" t="inlineStr">
        <is>
          <t>Common / Comum</t>
        </is>
      </c>
      <c r="D1465" s="13" t="inlineStr">
        <is>
          <t>Flying Lifelink (Damage dealt by this creature also causes you to gain that much life.) / Voar, vínculo com a vida</t>
        </is>
      </c>
      <c r="E1465" s="13" t="inlineStr">
        <is>
          <t>{W}</t>
        </is>
      </c>
      <c r="F1465" s="13" t="inlineStr">
        <is>
          <t>Branco</t>
        </is>
      </c>
      <c r="G1465" s="8" t="n">
        <v>0.13</v>
      </c>
      <c r="H1465" s="13" t="inlineStr">
        <is>
          <t>Foundations (FDN)</t>
        </is>
      </c>
      <c r="I1465" s="13" t="inlineStr">
        <is>
          <t>Não</t>
        </is>
      </c>
      <c r="J1465" s="13" t="n">
        <v>2024</v>
      </c>
      <c r="K1465" s="10" t="n">
        <v>46023</v>
      </c>
      <c r="L1465" s="13" t="n">
        <v>3</v>
      </c>
      <c r="M1465" s="8">
        <f>L1465*G1465</f>
        <v/>
      </c>
      <c r="P1465" s="9" t="n"/>
    </row>
    <row r="1466">
      <c r="A1466" s="13" t="inlineStr">
        <is>
          <t>Heartfire / Fogo Interior</t>
        </is>
      </c>
      <c r="B1466" s="13" t="inlineStr">
        <is>
          <t>Instant / Mágica Instantânea</t>
        </is>
      </c>
      <c r="C1466" s="13" t="inlineStr">
        <is>
          <t>Common / Comum</t>
        </is>
      </c>
      <c r="D1466" s="13"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66" s="13" t="inlineStr">
        <is>
          <t>{1}{R}</t>
        </is>
      </c>
      <c r="F1466" s="13" t="inlineStr">
        <is>
          <t>Vermelho</t>
        </is>
      </c>
      <c r="G1466" s="8" t="n">
        <v>0.06</v>
      </c>
      <c r="H1466" s="13" t="inlineStr">
        <is>
          <t>War of the Spark (WAR)</t>
        </is>
      </c>
      <c r="I1466" s="13" t="inlineStr">
        <is>
          <t>Não</t>
        </is>
      </c>
      <c r="J1466" s="13" t="n">
        <v>2019</v>
      </c>
      <c r="L1466" s="13" t="n">
        <v>1</v>
      </c>
      <c r="M1466" s="8">
        <f>L1466*G1466</f>
        <v/>
      </c>
      <c r="P1466" s="9" t="n"/>
    </row>
    <row r="1467">
      <c r="A1467" s="13" t="inlineStr">
        <is>
          <t>Hecteyes</t>
        </is>
      </c>
      <c r="B1467" s="13" t="inlineStr">
        <is>
          <t>Creature — Ooze Horror</t>
        </is>
      </c>
      <c r="C1467" s="13" t="inlineStr">
        <is>
          <t>Comum</t>
        </is>
      </c>
      <c r="D1467" s="13" t="inlineStr">
        <is>
          <t>When this creature enters, each opponent discards a card.</t>
        </is>
      </c>
      <c r="E1467" s="13" t="inlineStr">
        <is>
          <t>1B</t>
        </is>
      </c>
      <c r="F1467" s="13" t="inlineStr">
        <is>
          <t>Preta</t>
        </is>
      </c>
      <c r="G1467" s="8" t="n">
        <v>0.1</v>
      </c>
      <c r="H1467" s="13" t="inlineStr">
        <is>
          <t>Final Fantasy (FFII)</t>
        </is>
      </c>
      <c r="I1467" s="13" t="inlineStr">
        <is>
          <t>Não</t>
        </is>
      </c>
      <c r="J1467" s="13" t="n">
        <v>2025</v>
      </c>
      <c r="K1467" s="10" t="n">
        <v>46023</v>
      </c>
      <c r="L1467" s="13" t="n">
        <v>6</v>
      </c>
      <c r="M1467" s="8">
        <f>L1467*G1467</f>
        <v/>
      </c>
      <c r="P1467" s="9" t="n"/>
    </row>
    <row r="1468">
      <c r="A1468" s="13" t="inlineStr">
        <is>
          <t>Hecteyes</t>
        </is>
      </c>
      <c r="B1468" s="13" t="inlineStr">
        <is>
          <t>Creature — Ooze Horror</t>
        </is>
      </c>
      <c r="C1468" s="13" t="inlineStr">
        <is>
          <t>Comum</t>
        </is>
      </c>
      <c r="D1468" s="13" t="inlineStr">
        <is>
          <t>When this creature enters, each opponent discards a card.</t>
        </is>
      </c>
      <c r="E1468" s="13" t="inlineStr">
        <is>
          <t>1B</t>
        </is>
      </c>
      <c r="F1468" s="13" t="inlineStr">
        <is>
          <t>Preta</t>
        </is>
      </c>
      <c r="G1468" s="8" t="n">
        <v>0.1</v>
      </c>
      <c r="H1468" s="13" t="inlineStr">
        <is>
          <t>Final Fantasy (FFII)</t>
        </is>
      </c>
      <c r="I1468" s="13" t="inlineStr">
        <is>
          <t>Sim</t>
        </is>
      </c>
      <c r="J1468" s="13" t="n">
        <v>2025</v>
      </c>
      <c r="K1468" s="10" t="n">
        <v>46023</v>
      </c>
      <c r="L1468" s="13" t="n">
        <v>11</v>
      </c>
      <c r="M1468" s="8">
        <f>L1468*G1468</f>
        <v/>
      </c>
      <c r="P1468" s="9" t="n"/>
    </row>
    <row r="1469">
      <c r="A1469" s="13" t="inlineStr">
        <is>
          <t>Hedron Blade / Lâmina de Edro</t>
        </is>
      </c>
      <c r="B1469" s="13" t="inlineStr">
        <is>
          <t>Artifact — Equipment / Artefato — Equipamento</t>
        </is>
      </c>
      <c r="C1469" s="13" t="inlineStr">
        <is>
          <t>Common / Comum</t>
        </is>
      </c>
      <c r="D1469" s="13" t="inlineStr">
        <is>
          <t>Equipped creature gets +1/+1. Whenever equipped creature becomes blocked by one or more colorless creatures, it gains deathtouch until end of turn. Equip {2}</t>
        </is>
      </c>
      <c r="E1469" s="13" t="inlineStr">
        <is>
          <t>{1}</t>
        </is>
      </c>
      <c r="F1469" s="13" t="inlineStr">
        <is>
          <t>Incolor</t>
        </is>
      </c>
      <c r="G1469" s="8" t="n">
        <v>0.09</v>
      </c>
      <c r="H1469" s="13" t="inlineStr">
        <is>
          <t>Battle for Zendikar (BFZ)</t>
        </is>
      </c>
      <c r="I1469" s="13" t="inlineStr">
        <is>
          <t>No</t>
        </is>
      </c>
      <c r="J1469" s="13" t="n">
        <v>2015</v>
      </c>
      <c r="L1469" s="13" t="n">
        <v>1</v>
      </c>
      <c r="M1469" s="8">
        <f>L1469*G1469</f>
        <v/>
      </c>
      <c r="P1469" s="9" t="n"/>
    </row>
    <row r="1470">
      <c r="A1470" s="13" t="inlineStr">
        <is>
          <t>Hei Bai, Spirit of Balance</t>
        </is>
      </c>
      <c r="B1470" s="13" t="inlineStr">
        <is>
          <t>Legendary Creature — Bear Spirit</t>
        </is>
      </c>
      <c r="C1470" s="13" t="inlineStr">
        <is>
          <t>Uncommon / Incomum</t>
        </is>
      </c>
      <c r="D1470" s="13" t="inlineStr">
        <is>
          <t>Whenever Hei Bai enters or attacks, you may sacrifice another creature or artifact. If you do, put two +1/+1 counters on Hei Bai. When Hei Bai leaves the battlefield, put its counters on target creature you control.</t>
        </is>
      </c>
      <c r="E1470" s="13" t="inlineStr">
        <is>
          <t>{2}{W/B}{W/B}</t>
        </is>
      </c>
      <c r="F1470" s="13" t="inlineStr">
        <is>
          <t>Preto, Branco</t>
        </is>
      </c>
      <c r="G1470" s="8" t="n">
        <v>0.15</v>
      </c>
      <c r="H1470" s="13" t="inlineStr">
        <is>
          <t>Avatar: The Last Airbender (TLA)</t>
        </is>
      </c>
      <c r="I1470" s="13" t="inlineStr">
        <is>
          <t>Não</t>
        </is>
      </c>
      <c r="J1470" s="13" t="n">
        <v>2025</v>
      </c>
      <c r="K1470" s="10" t="n">
        <v>46084</v>
      </c>
      <c r="L1470" s="13" t="n">
        <v>1</v>
      </c>
      <c r="M1470" s="8">
        <f>L1470*G1470</f>
        <v/>
      </c>
      <c r="P1470" s="9" t="n"/>
    </row>
    <row r="1471">
      <c r="A1471" s="13" t="inlineStr">
        <is>
          <t>Heirloom Auntie</t>
        </is>
      </c>
      <c r="B1471" s="13" t="inlineStr">
        <is>
          <t>Creature — Goblin Warlock</t>
        </is>
      </c>
      <c r="C1471" s="13" t="inlineStr">
        <is>
          <t>Common</t>
        </is>
      </c>
      <c r="D1471" s="13" t="inlineStr">
        <is>
          <t>This creature enters with two -1/-1 counters on it. Whenever another creature you control dies, surveil 1, then remove a -1/-1 counter from this creature. (To surveil 1, look at the top card of your library. You may put it into your graveyard.)</t>
        </is>
      </c>
      <c r="E1471" s="13" t="inlineStr">
        <is>
          <t>{2}{B}</t>
        </is>
      </c>
      <c r="F1471" s="13" t="inlineStr">
        <is>
          <t>Preto</t>
        </is>
      </c>
      <c r="G1471" s="8" t="n">
        <v>0.1</v>
      </c>
      <c r="H1471" s="13" t="inlineStr">
        <is>
          <t>Lorwyn Eclipsed (ECL)</t>
        </is>
      </c>
      <c r="I1471" s="13" t="inlineStr">
        <is>
          <t>Não</t>
        </is>
      </c>
      <c r="J1471" s="13" t="n">
        <v>2026</v>
      </c>
      <c r="K1471" s="10" t="n">
        <v>46116</v>
      </c>
      <c r="L1471" s="13" t="n">
        <v>1</v>
      </c>
      <c r="M1471" s="8">
        <f>L1471*G1471</f>
        <v/>
      </c>
      <c r="P1471" s="9" t="n"/>
    </row>
    <row r="1472">
      <c r="A1472" s="13" t="inlineStr">
        <is>
          <t>Hell's Thunder / Trovão do Inferno</t>
        </is>
      </c>
      <c r="B1472" s="13" t="inlineStr">
        <is>
          <t>Criatura — Elemental</t>
        </is>
      </c>
      <c r="C1472" s="13" t="inlineStr">
        <is>
          <t>Rara</t>
        </is>
      </c>
      <c r="D1472" s="13"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1472" s="13" t="inlineStr">
        <is>
          <t>1RR</t>
        </is>
      </c>
      <c r="F1472" s="13" t="inlineStr">
        <is>
          <t>Vermelho</t>
        </is>
      </c>
      <c r="G1472" s="8" t="n">
        <v>0.42</v>
      </c>
      <c r="H1472" s="13" t="inlineStr">
        <is>
          <t>Duel Decks: Speed vs. Cunning</t>
        </is>
      </c>
      <c r="I1472" s="13" t="inlineStr">
        <is>
          <t>Não</t>
        </is>
      </c>
      <c r="J1472" s="13" t="n">
        <v>2014</v>
      </c>
      <c r="K1472" s="10" t="n">
        <v>46116</v>
      </c>
      <c r="L1472" s="13" t="n">
        <v>1</v>
      </c>
      <c r="M1472" s="8">
        <f>L1472*G1472</f>
        <v/>
      </c>
      <c r="P1472" s="9" t="n"/>
    </row>
    <row r="1473">
      <c r="A1473" s="13" t="inlineStr">
        <is>
          <t>Hellraiser Goblin / Goblino Desordeiro</t>
        </is>
      </c>
      <c r="B1473" s="13" t="inlineStr">
        <is>
          <t>Criatura — Goblino Berserker</t>
        </is>
      </c>
      <c r="C1473" s="13" t="inlineStr">
        <is>
          <t>Incomum</t>
        </is>
      </c>
      <c r="D1473" s="13" t="inlineStr">
        <is>
          <t>As criaturas que você controla têm ímpeto e atacam a cada combate se estiverem aptas.</t>
        </is>
      </c>
      <c r="E1473" s="13" t="inlineStr">
        <is>
          <t>2R</t>
        </is>
      </c>
      <c r="F1473" s="13" t="inlineStr">
        <is>
          <t>Vermelho</t>
        </is>
      </c>
      <c r="G1473" s="8" t="n">
        <v>0.17</v>
      </c>
      <c r="H1473" s="13" t="inlineStr">
        <is>
          <t>Duel Decks: Speed vs. Cunning</t>
        </is>
      </c>
      <c r="I1473" s="13" t="inlineStr">
        <is>
          <t>Não</t>
        </is>
      </c>
      <c r="J1473" s="13" t="n">
        <v>2014</v>
      </c>
      <c r="K1473" s="10" t="n">
        <v>46055</v>
      </c>
      <c r="L1473" s="13" t="n">
        <v>1</v>
      </c>
      <c r="M1473" s="8">
        <f>L1473*G1473</f>
        <v/>
      </c>
      <c r="P1473" s="9" t="n"/>
    </row>
    <row r="1474">
      <c r="A1474" s="13" t="inlineStr">
        <is>
          <t>Helm of Chatzuk / Elmo de Chatzuk</t>
        </is>
      </c>
      <c r="B1474" s="13" t="inlineStr">
        <is>
          <t>Artifact</t>
        </is>
      </c>
      <c r="C1474" s="13" t="inlineStr">
        <is>
          <t>Rare / Rara</t>
        </is>
      </c>
      <c r="D1474" s="13"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1474" s="13" t="inlineStr">
        <is>
          <t>{1}</t>
        </is>
      </c>
      <c r="F1474" s="13" t="inlineStr">
        <is>
          <t>Incolor</t>
        </is>
      </c>
      <c r="G1474" s="8" t="n">
        <v>0.63</v>
      </c>
      <c r="H1474" s="13" t="inlineStr">
        <is>
          <t>Fourth Edition</t>
        </is>
      </c>
      <c r="I1474" s="13" t="inlineStr">
        <is>
          <t>Não</t>
        </is>
      </c>
      <c r="J1474" s="13" t="n">
        <v>1995</v>
      </c>
      <c r="L1474" s="13" t="n">
        <v>1</v>
      </c>
      <c r="M1474" s="8">
        <f>L1474*G1474</f>
        <v/>
      </c>
      <c r="P1474" s="9" t="n"/>
    </row>
    <row r="1475">
      <c r="A1475" s="13" t="inlineStr">
        <is>
          <t>Helm of the Ghastlord / Elmo do Lorde Fantasmal</t>
        </is>
      </c>
      <c r="B1475" s="13" t="inlineStr">
        <is>
          <t>Enchantment — Aura / Encantamento — Aura</t>
        </is>
      </c>
      <c r="C1475" s="13" t="inlineStr">
        <is>
          <t>Common / Comum</t>
        </is>
      </c>
      <c r="D1475" s="13"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475" s="13" t="inlineStr">
        <is>
          <t>{3}{U/B}</t>
        </is>
      </c>
      <c r="F1475" s="13" t="inlineStr">
        <is>
          <t>Preto, Azul</t>
        </is>
      </c>
      <c r="G1475" s="8" t="n">
        <v>16</v>
      </c>
      <c r="H1475" s="13" t="inlineStr">
        <is>
          <t>Shadowmoor (SHM)</t>
        </is>
      </c>
      <c r="I1475" s="13" t="inlineStr">
        <is>
          <t>Não</t>
        </is>
      </c>
      <c r="J1475" s="13" t="n">
        <v>2008</v>
      </c>
      <c r="L1475" s="13" t="n">
        <v>1</v>
      </c>
      <c r="M1475" s="8">
        <f>L1475*G1475</f>
        <v/>
      </c>
      <c r="P1475" s="9" t="n"/>
    </row>
    <row r="1476">
      <c r="A1476" s="13" t="inlineStr">
        <is>
          <t>Helpful Hunter</t>
        </is>
      </c>
      <c r="B1476" s="13" t="inlineStr">
        <is>
          <t>Creature — Cat</t>
        </is>
      </c>
      <c r="C1476" s="13" t="inlineStr">
        <is>
          <t>Common / Comum</t>
        </is>
      </c>
      <c r="D1476" s="13" t="inlineStr">
        <is>
          <t>When this creature enters, draw a card.</t>
        </is>
      </c>
      <c r="E1476" s="13" t="inlineStr">
        <is>
          <t>{1}{W}</t>
        </is>
      </c>
      <c r="F1476" s="13" t="inlineStr">
        <is>
          <t>Branco</t>
        </is>
      </c>
      <c r="G1476" s="8" t="n">
        <v>0.15</v>
      </c>
      <c r="H1476" s="13" t="inlineStr">
        <is>
          <t>Foundations (FDN)</t>
        </is>
      </c>
      <c r="I1476" s="13" t="inlineStr">
        <is>
          <t>Não</t>
        </is>
      </c>
      <c r="J1476" s="13" t="n">
        <v>2024</v>
      </c>
      <c r="K1476" s="10" t="n">
        <v>46023</v>
      </c>
      <c r="L1476" s="13" t="n">
        <v>3</v>
      </c>
      <c r="M1476" s="8">
        <f>L1476*G1476</f>
        <v/>
      </c>
      <c r="P1476" s="9" t="n"/>
    </row>
    <row r="1477">
      <c r="A1477" s="13" t="inlineStr">
        <is>
          <t>Hematite Talisman / Talismã de Hematita</t>
        </is>
      </c>
      <c r="B1477" s="13" t="inlineStr">
        <is>
          <t>Artifact / Artefato</t>
        </is>
      </c>
      <c r="C1477" s="13" t="inlineStr">
        <is>
          <t>Uncommon / Incomum</t>
        </is>
      </c>
      <c r="D1477" s="13"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1477" s="13" t="inlineStr">
        <is>
          <t>{2}</t>
        </is>
      </c>
      <c r="F1477" s="13" t="inlineStr">
        <is>
          <t>Incolor</t>
        </is>
      </c>
      <c r="G1477" s="8" t="n">
        <v>0.2</v>
      </c>
      <c r="H1477" s="13" t="inlineStr">
        <is>
          <t>Ice Age (ICE)</t>
        </is>
      </c>
      <c r="I1477" s="13" t="inlineStr">
        <is>
          <t>No</t>
        </is>
      </c>
      <c r="J1477" s="13" t="n">
        <v>1995</v>
      </c>
      <c r="L1477" s="13" t="n">
        <v>1</v>
      </c>
      <c r="M1477" s="8">
        <f>L1477*G1477</f>
        <v/>
      </c>
      <c r="P1477" s="9" t="n"/>
    </row>
    <row r="1478">
      <c r="A1478" s="13" t="inlineStr">
        <is>
          <t>Henchbots</t>
        </is>
      </c>
      <c r="B1478" s="13" t="inlineStr">
        <is>
          <t>Artifact Creature — Robot</t>
        </is>
      </c>
      <c r="C1478" s="13" t="inlineStr">
        <is>
          <t>Uncommon / Incomum</t>
        </is>
      </c>
      <c r="D1478" s="13" t="inlineStr">
        <is>
          <t>When this creature enters, exile target tapped creature an opponent controls until this creature leaves the battlefield.</t>
        </is>
      </c>
      <c r="E1478" s="13" t="inlineStr">
        <is>
          <t>{4}</t>
        </is>
      </c>
      <c r="F1478" s="13" t="inlineStr">
        <is>
          <t>Incolor</t>
        </is>
      </c>
      <c r="G1478" s="8" t="n">
        <v>0.13</v>
      </c>
      <c r="H1478" s="13" t="inlineStr">
        <is>
          <t>Teenage Mutant Ninja Turtles (TMT)</t>
        </is>
      </c>
      <c r="I1478" s="13" t="inlineStr">
        <is>
          <t>Não</t>
        </is>
      </c>
      <c r="J1478" s="13" t="n">
        <v>2026</v>
      </c>
      <c r="K1478" s="10" t="n">
        <v>46083</v>
      </c>
      <c r="L1478" s="13" t="n">
        <v>2</v>
      </c>
      <c r="M1478" s="8">
        <f>L1478*G1478</f>
        <v/>
      </c>
      <c r="P1478" s="9" t="n"/>
    </row>
    <row r="1479">
      <c r="A1479" s="13" t="inlineStr">
        <is>
          <t>Herbology Instructor / Instrutor de Herbologia</t>
        </is>
      </c>
      <c r="B1479" s="13" t="inlineStr">
        <is>
          <t>Creature — Treefolk Druid / Criatura — Ent Druida</t>
        </is>
      </c>
      <c r="C1479" s="13" t="inlineStr">
        <is>
          <t>Uncommon / Incomum</t>
        </is>
      </c>
      <c r="D1479" s="13"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1479" s="13" t="inlineStr">
        <is>
          <t>{1}{G}</t>
        </is>
      </c>
      <c r="F1479" s="13" t="inlineStr">
        <is>
          <t>Preto, Verde</t>
        </is>
      </c>
      <c r="G1479" s="8" t="n">
        <v>0.07000000000000001</v>
      </c>
      <c r="H1479" s="13" t="inlineStr">
        <is>
          <t>March of the Machine (MOM)</t>
        </is>
      </c>
      <c r="I1479" s="13" t="inlineStr">
        <is>
          <t>Não</t>
        </is>
      </c>
      <c r="J1479" s="13" t="n">
        <v>2023</v>
      </c>
      <c r="K1479" s="10" t="n">
        <v>46082</v>
      </c>
      <c r="L1479" s="13" t="n">
        <v>1</v>
      </c>
      <c r="M1479" s="8">
        <f>L1479*G1479</f>
        <v/>
      </c>
      <c r="P1479" s="9" t="n"/>
    </row>
    <row r="1480">
      <c r="A1480" s="13" t="inlineStr">
        <is>
          <t>Hermitic Herbalist</t>
        </is>
      </c>
      <c r="B1480" s="13" t="inlineStr">
        <is>
          <t>Creature — Human Druid Ally</t>
        </is>
      </c>
      <c r="C1480" s="13" t="inlineStr">
        <is>
          <t>Uncommon / Incomum</t>
        </is>
      </c>
      <c r="D1480" s="13" t="inlineStr">
        <is>
          <t>{T}: Add one mana of any color. {T}: Add two mana in any combination of colors. Spend this mana only to cast Lesson spells.</t>
        </is>
      </c>
      <c r="E1480" s="13" t="inlineStr">
        <is>
          <t>{G}{U}</t>
        </is>
      </c>
      <c r="F1480" s="13" t="inlineStr">
        <is>
          <t>Verde, Azul</t>
        </is>
      </c>
      <c r="G1480" s="8" t="n">
        <v>0.24</v>
      </c>
      <c r="H1480" s="13" t="inlineStr">
        <is>
          <t>Avatar: The Last Airbender (TLA)</t>
        </is>
      </c>
      <c r="I1480" s="13" t="inlineStr">
        <is>
          <t>Não</t>
        </is>
      </c>
      <c r="J1480" s="13" t="n">
        <v>2025</v>
      </c>
      <c r="K1480" s="10" t="n">
        <v>46083</v>
      </c>
      <c r="L1480" s="13" t="n">
        <v>1</v>
      </c>
      <c r="M1480" s="8">
        <f>L1480*G1480</f>
        <v/>
      </c>
      <c r="P1480" s="9" t="n"/>
    </row>
    <row r="1481">
      <c r="A1481" s="13" t="inlineStr">
        <is>
          <t>Hero of the Games / Herói dos Jogos</t>
        </is>
      </c>
      <c r="B1481" s="13" t="inlineStr">
        <is>
          <t>Creature — Human Soldier / Criatura — Humano Soldado</t>
        </is>
      </c>
      <c r="C1481" s="13" t="inlineStr">
        <is>
          <t>Common / Comum</t>
        </is>
      </c>
      <c r="D1481" s="13" t="inlineStr">
        <is>
          <t>Whenever you cast a spell that targets this creature, creatures you control get +1/+0 until end of turn. / Toda vez que você conjura uma mágica que tenha como alvo Herói dos Jogos, as criaturas que você controla recebem +1/+0 até o final do turno.</t>
        </is>
      </c>
      <c r="E1481" s="13" t="inlineStr">
        <is>
          <t>{2}{R}</t>
        </is>
      </c>
      <c r="F1481" s="13" t="inlineStr">
        <is>
          <t>Vermelho</t>
        </is>
      </c>
      <c r="G1481" s="8" t="n">
        <v>0.06</v>
      </c>
      <c r="H1481" s="13" t="inlineStr">
        <is>
          <t>Double Masters 2022 (2X2)</t>
        </is>
      </c>
      <c r="I1481" s="13" t="inlineStr">
        <is>
          <t>Não</t>
        </is>
      </c>
      <c r="J1481" s="13" t="n">
        <v>2022</v>
      </c>
      <c r="K1481" s="10" t="n">
        <v>46056</v>
      </c>
      <c r="L1481" s="13" t="n">
        <v>1</v>
      </c>
      <c r="M1481" s="8">
        <f>L1481*G1481</f>
        <v/>
      </c>
      <c r="P1481" s="9" t="n"/>
    </row>
    <row r="1482">
      <c r="A1482" s="13" t="inlineStr">
        <is>
          <t>Heroes' Bane / Perdição dos Heróis</t>
        </is>
      </c>
      <c r="B1482" s="13" t="inlineStr">
        <is>
          <t>Creature — Hydra / Criatura — Hidra</t>
        </is>
      </c>
      <c r="C1482" s="13" t="inlineStr">
        <is>
          <t>Rare / Rara</t>
        </is>
      </c>
      <c r="D1482" s="13"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1482" s="13" t="inlineStr">
        <is>
          <t>{3}{G}{G}</t>
        </is>
      </c>
      <c r="F1482" s="13" t="inlineStr">
        <is>
          <t>Verde</t>
        </is>
      </c>
      <c r="G1482" s="8" t="n">
        <v>0.38</v>
      </c>
      <c r="H1482" s="8" t="inlineStr">
        <is>
          <t>Journey into Nyx (JOU)</t>
        </is>
      </c>
      <c r="I1482" s="13" t="inlineStr">
        <is>
          <t>Não</t>
        </is>
      </c>
      <c r="J1482" s="13" t="n">
        <v>2014</v>
      </c>
      <c r="K1482" s="13" t="inlineStr">
        <is>
          <t>0/0</t>
        </is>
      </c>
      <c r="L1482" s="13" t="n">
        <v>1</v>
      </c>
      <c r="M1482" s="8">
        <f>L1482*G1482</f>
        <v/>
      </c>
      <c r="P1482" s="9" t="n"/>
    </row>
    <row r="1483">
      <c r="A1483" s="13" t="inlineStr">
        <is>
          <t>Heróis Colossais</t>
        </is>
      </c>
      <c r="B1483" s="13" t="inlineStr">
        <is>
          <t>Mágica Instantânea</t>
        </is>
      </c>
      <c r="C1483" s="13" t="inlineStr">
        <is>
          <t>Incomum</t>
        </is>
      </c>
      <c r="D1483" s="13" t="inlineStr">
        <is>
          <t>Esforço — Heróis Colossais custa 1G a mais para ser conjurado para cada alvo além do primeiro. Qualquer número de criaturas alvo recebe +2/+2 até o final do turno. Desvire aquelas criaturas.</t>
        </is>
      </c>
      <c r="E1483" s="13" t="inlineStr">
        <is>
          <t>2G</t>
        </is>
      </c>
      <c r="F1483" s="13" t="inlineStr">
        <is>
          <t>Verde</t>
        </is>
      </c>
      <c r="G1483" s="8" t="n">
        <v>0.02</v>
      </c>
      <c r="H1483" s="13" t="inlineStr">
        <is>
          <t>Journey into Nyx</t>
        </is>
      </c>
      <c r="I1483" s="13" t="inlineStr">
        <is>
          <t>Não</t>
        </is>
      </c>
      <c r="J1483" s="13" t="n">
        <v>2014</v>
      </c>
      <c r="L1483" s="13" t="n">
        <v>3</v>
      </c>
      <c r="M1483" s="8">
        <f>L1483*G1483</f>
        <v/>
      </c>
      <c r="P1483" s="9" t="n"/>
    </row>
    <row r="1484">
      <c r="A1484" s="13" t="inlineStr">
        <is>
          <t>Heron of Hope / Garça da Esperança</t>
        </is>
      </c>
      <c r="B1484" s="13" t="inlineStr">
        <is>
          <t>Creature — Bird / Criatura — Ave</t>
        </is>
      </c>
      <c r="C1484" s="13" t="inlineStr">
        <is>
          <t>Common / Comum</t>
        </is>
      </c>
      <c r="D1484" s="13"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1484" s="13" t="inlineStr">
        <is>
          <t>{3}{W}</t>
        </is>
      </c>
      <c r="F1484" s="13" t="inlineStr">
        <is>
          <t>Branco</t>
        </is>
      </c>
      <c r="G1484" s="8" t="n">
        <v>0.09</v>
      </c>
      <c r="H1484" s="13" t="inlineStr">
        <is>
          <t>Innistrad: Crimson Vow (VOW)</t>
        </is>
      </c>
      <c r="I1484" s="13" t="inlineStr">
        <is>
          <t>Não</t>
        </is>
      </c>
      <c r="J1484" s="13" t="n">
        <v>2021</v>
      </c>
      <c r="K1484" s="10" t="n">
        <v>46083</v>
      </c>
      <c r="L1484" s="13" t="n">
        <v>1</v>
      </c>
      <c r="M1484" s="8">
        <f>L1484*G1484</f>
        <v/>
      </c>
      <c r="P1484" s="9" t="n"/>
    </row>
    <row r="1485">
      <c r="A1485" s="13" t="inlineStr">
        <is>
          <t>Hex / Feitiço Bruxaxento</t>
        </is>
      </c>
      <c r="B1485" s="13" t="inlineStr">
        <is>
          <t>Feitiço</t>
        </is>
      </c>
      <c r="C1485" s="13" t="inlineStr">
        <is>
          <t>Rara</t>
        </is>
      </c>
      <c r="D1485" s="13" t="inlineStr">
        <is>
          <t>Destrua seis criaturas alvo.</t>
        </is>
      </c>
      <c r="E1485" s="13" t="inlineStr">
        <is>
          <t>4{B}{B}</t>
        </is>
      </c>
      <c r="F1485" s="13" t="inlineStr">
        <is>
          <t>Preto</t>
        </is>
      </c>
      <c r="G1485" s="8" t="n">
        <v>4</v>
      </c>
      <c r="H1485" s="13" t="inlineStr">
        <is>
          <t>Marvel (MAR)</t>
        </is>
      </c>
      <c r="I1485" s="13" t="inlineStr">
        <is>
          <t>Não</t>
        </is>
      </c>
      <c r="J1485" s="13" t="n">
        <v>2025</v>
      </c>
      <c r="L1485" s="13" t="n">
        <v>1</v>
      </c>
      <c r="M1485" s="8">
        <f>L1485*G1485</f>
        <v/>
      </c>
      <c r="P1485" s="9" t="n"/>
    </row>
    <row r="1486">
      <c r="A1486" s="13" t="inlineStr">
        <is>
          <t>Hexgold Halberd / Alabarda de Hexouro</t>
        </is>
      </c>
      <c r="B1486" s="13" t="inlineStr">
        <is>
          <t>Artifact — Equipment / Artefato — Equipamento</t>
        </is>
      </c>
      <c r="C1486" s="13" t="inlineStr">
        <is>
          <t>Uncommon / Incomum</t>
        </is>
      </c>
      <c r="D1486" s="13"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1486" s="13" t="inlineStr">
        <is>
          <t>{1}{R}</t>
        </is>
      </c>
      <c r="F1486" s="13" t="inlineStr">
        <is>
          <t>Vermelho</t>
        </is>
      </c>
      <c r="G1486" s="8" t="n">
        <v>0.1</v>
      </c>
      <c r="H1486" s="13" t="inlineStr">
        <is>
          <t>Phyrexia: All Will Be One (ONE)</t>
        </is>
      </c>
      <c r="I1486" s="13" t="inlineStr">
        <is>
          <t>Não</t>
        </is>
      </c>
      <c r="J1486" s="13" t="n">
        <v>2023</v>
      </c>
      <c r="L1486" s="13" t="n">
        <v>1</v>
      </c>
      <c r="M1486" s="8">
        <f>L1486*G1486</f>
        <v/>
      </c>
      <c r="P1486" s="9" t="n"/>
    </row>
    <row r="1487">
      <c r="A1487" s="13" t="inlineStr">
        <is>
          <t>High Priest of Penance / Alto Sacerdote de Penitência</t>
        </is>
      </c>
      <c r="B1487" s="13" t="inlineStr">
        <is>
          <t>Creature — Human Cleric / Criatura — Humano Clérigo</t>
        </is>
      </c>
      <c r="C1487" s="13" t="inlineStr">
        <is>
          <t>Rare / Rara</t>
        </is>
      </c>
      <c r="D1487" s="13" t="inlineStr">
        <is>
          <t>Whenever this creature is dealt damage, you may destroy target nonland permanent. / Toda vez que Alto Sacerdote de Penitência sofre dano, você pode destruir a permanente alvo que não seja um terreno.</t>
        </is>
      </c>
      <c r="E1487" s="13" t="inlineStr">
        <is>
          <t>{W}{B}</t>
        </is>
      </c>
      <c r="F1487" s="13" t="inlineStr">
        <is>
          <t>Preto, Branco</t>
        </is>
      </c>
      <c r="G1487" s="8" t="n">
        <v>0.25</v>
      </c>
      <c r="H1487" s="13" t="inlineStr">
        <is>
          <t>Gatecrash (GTC)</t>
        </is>
      </c>
      <c r="I1487" s="13" t="inlineStr">
        <is>
          <t>Não</t>
        </is>
      </c>
      <c r="J1487" s="13" t="n">
        <v>2013</v>
      </c>
      <c r="K1487" s="10" t="n">
        <v>46023</v>
      </c>
      <c r="L1487" s="13" t="n">
        <v>1</v>
      </c>
      <c r="M1487" s="8">
        <f>L1487*G1487</f>
        <v/>
      </c>
      <c r="P1487" s="9" t="n"/>
    </row>
    <row r="1488">
      <c r="A1488" s="13" t="inlineStr">
        <is>
          <t>High-Flying Ace</t>
        </is>
      </c>
      <c r="B1488" s="13" t="inlineStr">
        <is>
          <t>Creature — Bird Mutant</t>
        </is>
      </c>
      <c r="C1488" s="13" t="inlineStr">
        <is>
          <t>Common / Comum</t>
        </is>
      </c>
      <c r="D1488" s="13" t="inlineStr">
        <is>
          <t>Flying {3}{W}: Target creature without flying gains flying until end of turn. Activate only as a sorcery.</t>
        </is>
      </c>
      <c r="E1488" s="13" t="inlineStr">
        <is>
          <t>{2}{W}</t>
        </is>
      </c>
      <c r="F1488" s="13" t="inlineStr">
        <is>
          <t>Branco</t>
        </is>
      </c>
      <c r="G1488" s="8" t="n">
        <v>0.05</v>
      </c>
      <c r="H1488" s="13" t="inlineStr">
        <is>
          <t>Teenage Mutant Ninja Turtles (TMT)</t>
        </is>
      </c>
      <c r="I1488" s="13" t="inlineStr">
        <is>
          <t>Não</t>
        </is>
      </c>
      <c r="J1488" s="13" t="n">
        <v>2026</v>
      </c>
      <c r="K1488" s="10" t="n">
        <v>46083</v>
      </c>
      <c r="L1488" s="13" t="n">
        <v>7</v>
      </c>
      <c r="M1488" s="8">
        <f>L1488*G1488</f>
        <v/>
      </c>
      <c r="P1488" s="9" t="n"/>
    </row>
    <row r="1489">
      <c r="A1489" s="13" t="inlineStr">
        <is>
          <t>Highborn Ghoul / Carniçal Fidalgo</t>
        </is>
      </c>
      <c r="B1489" s="13" t="inlineStr">
        <is>
          <t>Creature — Zombie / Criatura — Zumbi</t>
        </is>
      </c>
      <c r="C1489" s="13" t="inlineStr">
        <is>
          <t>Common / Comum</t>
        </is>
      </c>
      <c r="D1489" s="13" t="inlineStr">
        <is>
          <t>Intimidate (This creature can't be blocked except by artifact creatures and/or creatures that share a color with it.) / Intimidar (Esta criatura só pode ser bloqueada por criaturas artefato e/ou criaturas que compartilhem uma cor com ela.)</t>
        </is>
      </c>
      <c r="E1489" s="13" t="inlineStr">
        <is>
          <t>{B}{B}</t>
        </is>
      </c>
      <c r="F1489" s="13" t="inlineStr">
        <is>
          <t>Preto</t>
        </is>
      </c>
      <c r="G1489" s="8" t="n">
        <v>0.07000000000000001</v>
      </c>
      <c r="H1489" s="13" t="inlineStr">
        <is>
          <t>Dark Ascension (DKA)</t>
        </is>
      </c>
      <c r="I1489" s="13" t="inlineStr">
        <is>
          <t>Não</t>
        </is>
      </c>
      <c r="J1489" s="13" t="n">
        <v>2012</v>
      </c>
      <c r="K1489" s="10" t="n">
        <v>46024</v>
      </c>
      <c r="L1489" s="13" t="n">
        <v>1</v>
      </c>
      <c r="M1489" s="8">
        <f>L1489*G1489</f>
        <v/>
      </c>
      <c r="P1489" s="9" t="n"/>
    </row>
    <row r="1490">
      <c r="A1490" s="13" t="inlineStr">
        <is>
          <t>Highland Game / Caça do Planalto</t>
        </is>
      </c>
      <c r="B1490" s="13" t="inlineStr">
        <is>
          <t>Creature — Elk / Criatura — Alce</t>
        </is>
      </c>
      <c r="C1490" s="13" t="inlineStr">
        <is>
          <t>Common / Comum</t>
        </is>
      </c>
      <c r="D1490" s="13" t="inlineStr">
        <is>
          <t>When this creature dies, you gain 2 life. / Quando Caça do Planalto morre, você ganha 2 pontos de vida.</t>
        </is>
      </c>
      <c r="E1490" s="13" t="inlineStr">
        <is>
          <t>{1}{G}</t>
        </is>
      </c>
      <c r="F1490" s="13" t="inlineStr">
        <is>
          <t>Verde</t>
        </is>
      </c>
      <c r="G1490" s="8" t="n">
        <v>0.05</v>
      </c>
      <c r="H1490" s="13" t="inlineStr">
        <is>
          <t>Khans of Tarkir (KTK)</t>
        </is>
      </c>
      <c r="I1490" s="13" t="inlineStr">
        <is>
          <t>Não</t>
        </is>
      </c>
      <c r="J1490" s="13" t="n">
        <v>2014</v>
      </c>
      <c r="K1490" s="10" t="n">
        <v>46024</v>
      </c>
      <c r="L1490" s="13" t="n">
        <v>1</v>
      </c>
      <c r="M1490" s="8">
        <f>L1490*G1490</f>
        <v/>
      </c>
      <c r="P1490" s="9" t="n"/>
    </row>
    <row r="1491">
      <c r="A1491" s="13" t="inlineStr">
        <is>
          <t>Hightide Hermit / Eremita da Maré Alta</t>
        </is>
      </c>
      <c r="B1491" s="13" t="inlineStr">
        <is>
          <t>Creature — Crab / Criatura — Caranguejo</t>
        </is>
      </c>
      <c r="C1491" s="13" t="inlineStr">
        <is>
          <t>Common / Comum</t>
        </is>
      </c>
      <c r="D1491" s="13"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491" s="13" t="inlineStr">
        <is>
          <t>{4}{U}</t>
        </is>
      </c>
      <c r="F1491" s="13" t="inlineStr">
        <is>
          <t>Azul</t>
        </is>
      </c>
      <c r="G1491" s="8" t="n">
        <v>0.03</v>
      </c>
      <c r="H1491" s="13" t="inlineStr">
        <is>
          <t>Kaladesh (KLD)</t>
        </is>
      </c>
      <c r="I1491" s="13" t="inlineStr">
        <is>
          <t>Não</t>
        </is>
      </c>
      <c r="J1491" s="13" t="n">
        <v>2016</v>
      </c>
      <c r="K1491" s="10" t="n">
        <v>46116</v>
      </c>
      <c r="L1491" s="13" t="n">
        <v>2</v>
      </c>
      <c r="M1491" s="8">
        <f>L1491*G1491</f>
        <v/>
      </c>
      <c r="P1491" s="9" t="n"/>
    </row>
    <row r="1492">
      <c r="A1492" s="13" t="inlineStr">
        <is>
          <t>Hill Giant / Gigante da Colina</t>
        </is>
      </c>
      <c r="B1492" s="13" t="inlineStr">
        <is>
          <t>Creature — Giant / Criatura — Gigante</t>
        </is>
      </c>
      <c r="C1492" s="13" t="inlineStr">
        <is>
          <t>Common / Comum</t>
        </is>
      </c>
      <c r="E1492" s="13" t="inlineStr">
        <is>
          <t>{3}{R}</t>
        </is>
      </c>
      <c r="F1492" s="13" t="inlineStr">
        <is>
          <t>Vermelho</t>
        </is>
      </c>
      <c r="G1492" s="8" t="n">
        <v>0.05</v>
      </c>
      <c r="H1492" s="13" t="inlineStr">
        <is>
          <t>Fourth Edition</t>
        </is>
      </c>
      <c r="I1492" s="13" t="inlineStr">
        <is>
          <t>Não</t>
        </is>
      </c>
      <c r="J1492" s="13" t="n">
        <v>1995</v>
      </c>
      <c r="K1492" s="10" t="n">
        <v>46055</v>
      </c>
      <c r="L1492" s="13" t="n">
        <v>2</v>
      </c>
      <c r="M1492" s="8">
        <f>L1492*G1492</f>
        <v/>
      </c>
      <c r="P1492" s="9" t="n"/>
    </row>
    <row r="1493">
      <c r="A1493" s="13" t="inlineStr">
        <is>
          <t>Hill Giant / Gigante da Colina</t>
        </is>
      </c>
      <c r="B1493" s="13" t="inlineStr">
        <is>
          <t>Creature — Giant / Criatura — Gigante</t>
        </is>
      </c>
      <c r="C1493" s="13" t="inlineStr">
        <is>
          <t>Common / Comum</t>
        </is>
      </c>
      <c r="E1493" s="13" t="inlineStr">
        <is>
          <t>{3}{R}</t>
        </is>
      </c>
      <c r="F1493" s="13" t="inlineStr">
        <is>
          <t>Vermelho</t>
        </is>
      </c>
      <c r="G1493" s="8" t="n">
        <v>0.08</v>
      </c>
      <c r="H1493" s="13" t="inlineStr">
        <is>
          <t>Fourth Edition (BB)</t>
        </is>
      </c>
      <c r="I1493" s="13" t="inlineStr">
        <is>
          <t>Não</t>
        </is>
      </c>
      <c r="J1493" s="13" t="n">
        <v>1995</v>
      </c>
      <c r="K1493" s="10" t="n">
        <v>46055</v>
      </c>
      <c r="L1493" s="13" t="n">
        <v>3</v>
      </c>
      <c r="M1493" s="8">
        <f>L1493*G1493</f>
        <v/>
      </c>
      <c r="P1493" s="9" t="n"/>
    </row>
    <row r="1494">
      <c r="A1494" s="13" t="inlineStr">
        <is>
          <t>Hill Giant / Gigante da Colina</t>
        </is>
      </c>
      <c r="B1494" s="13" t="inlineStr">
        <is>
          <t>Creature — Giant / Criatura — Gigante</t>
        </is>
      </c>
      <c r="C1494" s="13" t="inlineStr">
        <is>
          <t>Common / Comum</t>
        </is>
      </c>
      <c r="E1494" s="13" t="inlineStr">
        <is>
          <t>{3}{R}</t>
        </is>
      </c>
      <c r="F1494" s="13" t="inlineStr">
        <is>
          <t>Vermelho</t>
        </is>
      </c>
      <c r="G1494" s="8" t="n">
        <v>0.09</v>
      </c>
      <c r="H1494" s="13" t="inlineStr">
        <is>
          <t>Revised Edition</t>
        </is>
      </c>
      <c r="I1494" s="13" t="inlineStr">
        <is>
          <t>Não</t>
        </is>
      </c>
      <c r="J1494" s="13" t="n">
        <v>1995</v>
      </c>
      <c r="K1494" s="10" t="n">
        <v>46055</v>
      </c>
      <c r="L1494" s="13" t="n">
        <v>2</v>
      </c>
      <c r="M1494" s="8">
        <f>L1494*G1494</f>
        <v/>
      </c>
      <c r="P1494" s="9" t="n"/>
    </row>
    <row r="1495">
      <c r="A1495" s="13" t="inlineStr">
        <is>
          <t>Hill Gigas / Gigas das Colinas</t>
        </is>
      </c>
      <c r="B1495" s="13" t="inlineStr">
        <is>
          <t>Criatura — Gigante</t>
        </is>
      </c>
      <c r="C1495" s="13" t="inlineStr">
        <is>
          <t>Comum</t>
        </is>
      </c>
      <c r="D1495" s="13" t="inlineStr">
        <is>
          <t>Atropelar, ímpeto. Reciclar montanha {2} ({2}, Descarte este card: Procure em seu grimório por um card de Montanha, revele-o e coloque-o em sua mão. Depois, embaralhe seu grimório.)</t>
        </is>
      </c>
      <c r="E1495" s="13" t="inlineStr">
        <is>
          <t>4RR</t>
        </is>
      </c>
      <c r="F1495" s="13" t="inlineStr">
        <is>
          <t>Vermelho</t>
        </is>
      </c>
      <c r="G1495" s="8" t="n">
        <v>0.05</v>
      </c>
      <c r="H1495" s="13" t="inlineStr">
        <is>
          <t>Final Fantasy</t>
        </is>
      </c>
      <c r="I1495" s="13" t="inlineStr">
        <is>
          <t>Não</t>
        </is>
      </c>
      <c r="J1495" s="13" t="n">
        <v>2025</v>
      </c>
      <c r="K1495" s="10" t="n">
        <v>46117</v>
      </c>
      <c r="L1495" s="13" t="n">
        <v>4</v>
      </c>
      <c r="M1495" s="8">
        <f>L1495*G1495</f>
        <v/>
      </c>
      <c r="P1495" s="9" t="n"/>
    </row>
    <row r="1496">
      <c r="A1496" s="13" t="inlineStr">
        <is>
          <t>Hill Gigas / Gigas das Colinas</t>
        </is>
      </c>
      <c r="B1496" s="13" t="inlineStr">
        <is>
          <t>Criatura — Gigante</t>
        </is>
      </c>
      <c r="C1496" s="13" t="inlineStr">
        <is>
          <t>Comum</t>
        </is>
      </c>
      <c r="D1496" s="13" t="inlineStr">
        <is>
          <t>Atropelar, ímpeto. Reciclar montanha {2} ({2}, Descarte este card: Procure em seu grimório por um card de Montanha, revele-o e coloque-o em sua mão. Depois, embaralhe seu grimório.)</t>
        </is>
      </c>
      <c r="E1496" s="13" t="inlineStr">
        <is>
          <t>4RR</t>
        </is>
      </c>
      <c r="F1496" s="13" t="inlineStr">
        <is>
          <t>Vermelho</t>
        </is>
      </c>
      <c r="G1496" s="8" t="n">
        <v>0.35</v>
      </c>
      <c r="H1496" s="13" t="inlineStr">
        <is>
          <t>Final Fantasy</t>
        </is>
      </c>
      <c r="I1496" s="13" t="inlineStr">
        <is>
          <t>Sim</t>
        </is>
      </c>
      <c r="J1496" s="13" t="n">
        <v>2025</v>
      </c>
      <c r="K1496" s="10" t="n">
        <v>46117</v>
      </c>
      <c r="L1496" s="13" t="n">
        <v>1</v>
      </c>
      <c r="M1496" s="8">
        <f>L1496*G1496</f>
        <v/>
      </c>
      <c r="P1496" s="9" t="n"/>
    </row>
    <row r="1497">
      <c r="A1497" s="13" t="inlineStr">
        <is>
          <t>Hissing Iguanar / Iguanar Sibilante</t>
        </is>
      </c>
      <c r="B1497" s="13" t="inlineStr">
        <is>
          <t>Creature — Lizard / Criatura — Lagarto</t>
        </is>
      </c>
      <c r="C1497" s="13" t="inlineStr">
        <is>
          <t>Common / Comum</t>
        </is>
      </c>
      <c r="D1497" s="13"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497" s="13" t="inlineStr">
        <is>
          <t>{2}{R}</t>
        </is>
      </c>
      <c r="F1497" s="13" t="inlineStr">
        <is>
          <t>Vermelho</t>
        </is>
      </c>
      <c r="G1497" s="8" t="n">
        <v>0.08</v>
      </c>
      <c r="H1497" s="13" t="inlineStr">
        <is>
          <t>Shards of Alara (ALA)</t>
        </is>
      </c>
      <c r="I1497" s="13" t="inlineStr">
        <is>
          <t>Não</t>
        </is>
      </c>
      <c r="J1497" s="13" t="n">
        <v>2008</v>
      </c>
      <c r="K1497" s="10" t="n">
        <v>46025</v>
      </c>
      <c r="L1497" s="13" t="n">
        <v>2</v>
      </c>
      <c r="M1497" s="8">
        <f>L1497*G1497</f>
        <v/>
      </c>
      <c r="P1497" s="9" t="n"/>
    </row>
    <row r="1498">
      <c r="A1498" s="13" t="inlineStr">
        <is>
          <t>Hoar Shade / Sombra Álgida</t>
        </is>
      </c>
      <c r="B1498" s="13" t="inlineStr">
        <is>
          <t>Creature — Shade</t>
        </is>
      </c>
      <c r="C1498" s="13" t="inlineStr">
        <is>
          <t>Common / Comum</t>
        </is>
      </c>
      <c r="D1498" s="13" t="inlineStr">
        <is>
          <t>{B}: This creature gets +1/+1 until end of turn.</t>
        </is>
      </c>
      <c r="E1498" s="13" t="inlineStr">
        <is>
          <t>{3}{B}</t>
        </is>
      </c>
      <c r="F1498" s="13" t="inlineStr">
        <is>
          <t>Preto</t>
        </is>
      </c>
      <c r="G1498" s="8" t="n">
        <v>0.07000000000000001</v>
      </c>
      <c r="H1498" s="13" t="inlineStr">
        <is>
          <t>Ice Age (ICE)</t>
        </is>
      </c>
      <c r="I1498" s="13" t="inlineStr">
        <is>
          <t>Não</t>
        </is>
      </c>
      <c r="J1498" s="13" t="n">
        <v>1995</v>
      </c>
      <c r="K1498" s="10" t="n">
        <v>46054</v>
      </c>
      <c r="L1498" s="13" t="n">
        <v>2</v>
      </c>
      <c r="M1498" s="8">
        <f>L1498*G1498</f>
        <v/>
      </c>
      <c r="P1498" s="9" t="n"/>
    </row>
    <row r="1499">
      <c r="A1499" s="13" t="inlineStr">
        <is>
          <t>Hoarding Ogre / Ogro Acumulador</t>
        </is>
      </c>
      <c r="B1499" s="13" t="inlineStr">
        <is>
          <t>Creature — Ogre / Criatura — Ogro</t>
        </is>
      </c>
      <c r="C1499" s="13" t="inlineStr">
        <is>
          <t>Common / Comum</t>
        </is>
      </c>
      <c r="D1499" s="13"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99" s="13" t="inlineStr">
        <is>
          <t>{3}{R}</t>
        </is>
      </c>
      <c r="F1499" s="13" t="inlineStr">
        <is>
          <t>Vermelho</t>
        </is>
      </c>
      <c r="G1499" s="8" t="n">
        <v>0.06</v>
      </c>
      <c r="H1499" s="13" t="inlineStr">
        <is>
          <t>Commander Legends: Battle for Baldur's Gate (CLB)</t>
        </is>
      </c>
      <c r="I1499" s="13" t="inlineStr">
        <is>
          <t>Não</t>
        </is>
      </c>
      <c r="J1499" s="13" t="n">
        <v>2022</v>
      </c>
      <c r="K1499" s="10" t="n">
        <v>46084</v>
      </c>
      <c r="L1499" s="13" t="n">
        <v>1</v>
      </c>
      <c r="M1499" s="8">
        <f>L1499*G1499</f>
        <v/>
      </c>
      <c r="P1499" s="9" t="n"/>
    </row>
    <row r="1500">
      <c r="A1500" s="13" t="inlineStr">
        <is>
          <t>Hog-Monkey</t>
        </is>
      </c>
      <c r="B1500" s="13" t="inlineStr">
        <is>
          <t>Creature — Boar Monkey</t>
        </is>
      </c>
      <c r="C1500" s="13" t="inlineStr">
        <is>
          <t>Common / Comum</t>
        </is>
      </c>
      <c r="D1500" s="13"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500" s="13" t="inlineStr">
        <is>
          <t>{2}{B}</t>
        </is>
      </c>
      <c r="F1500" s="13" t="inlineStr">
        <is>
          <t>Preto</t>
        </is>
      </c>
      <c r="G1500" s="8" t="n">
        <v>0.05</v>
      </c>
      <c r="H1500" s="13" t="inlineStr">
        <is>
          <t>Avatar: The Last Airbender (TLA)</t>
        </is>
      </c>
      <c r="I1500" s="13" t="inlineStr">
        <is>
          <t>Não</t>
        </is>
      </c>
      <c r="J1500" s="13" t="n">
        <v>2025</v>
      </c>
      <c r="K1500" s="10" t="n">
        <v>46056</v>
      </c>
      <c r="L1500" s="13" t="n">
        <v>3</v>
      </c>
      <c r="M1500" s="8">
        <f>L1500*G1500</f>
        <v/>
      </c>
      <c r="P1500" s="9" t="n"/>
    </row>
    <row r="1501">
      <c r="A1501" s="13" t="inlineStr">
        <is>
          <t>Hold the Line / Manter a Posição</t>
        </is>
      </c>
      <c r="B1501" s="13" t="inlineStr">
        <is>
          <t>Mágica Instantânea</t>
        </is>
      </c>
      <c r="C1501" s="13" t="inlineStr">
        <is>
          <t>Rara</t>
        </is>
      </c>
      <c r="D1501" s="13" t="inlineStr">
        <is>
          <t>As criaturas bloqueadoras recebem +7/+7 até o final do turno.</t>
        </is>
      </c>
      <c r="E1501" s="13" t="inlineStr">
        <is>
          <t>1WW</t>
        </is>
      </c>
      <c r="F1501" s="13" t="inlineStr">
        <is>
          <t>Branco</t>
        </is>
      </c>
      <c r="G1501" s="8" t="n">
        <v>0.45</v>
      </c>
      <c r="H1501" s="13" t="inlineStr">
        <is>
          <t>Duel Decks: Speed vs. Cunning</t>
        </is>
      </c>
      <c r="I1501" s="13" t="inlineStr">
        <is>
          <t>Não</t>
        </is>
      </c>
      <c r="J1501" s="13" t="n">
        <v>2014</v>
      </c>
      <c r="L1501" s="13" t="n">
        <v>1</v>
      </c>
      <c r="M1501" s="8">
        <f>L1501*G1501</f>
        <v/>
      </c>
      <c r="P1501" s="9" t="n"/>
    </row>
    <row r="1502">
      <c r="A1502" s="13" t="inlineStr">
        <is>
          <t>Holy Armor / Armadura Divina</t>
        </is>
      </c>
      <c r="B1502" s="13" t="inlineStr">
        <is>
          <t>Enchant Creature</t>
        </is>
      </c>
      <c r="C1502" s="13" t="inlineStr">
        <is>
          <t>Comum</t>
        </is>
      </c>
      <c r="D1502" s="13" t="inlineStr">
        <is>
          <t>Target creature gains +0/+2. {W}: +0/+1</t>
        </is>
      </c>
      <c r="E1502" s="13" t="inlineStr">
        <is>
          <t>{W}</t>
        </is>
      </c>
      <c r="F1502" s="13" t="inlineStr">
        <is>
          <t>Branco</t>
        </is>
      </c>
      <c r="G1502" s="8" t="n">
        <v>0.15</v>
      </c>
      <c r="H1502" s="13" t="inlineStr">
        <is>
          <t>Alpha</t>
        </is>
      </c>
      <c r="I1502" s="13" t="inlineStr">
        <is>
          <t>Não</t>
        </is>
      </c>
      <c r="J1502" s="13" t="n">
        <v>1993</v>
      </c>
      <c r="L1502" s="13" t="n">
        <v>1</v>
      </c>
      <c r="M1502" s="8">
        <f>L1502*G1502</f>
        <v/>
      </c>
      <c r="P1502" s="9" t="n"/>
    </row>
    <row r="1503">
      <c r="A1503" s="13" t="inlineStr">
        <is>
          <t>Holy Strength / Holy Strength</t>
        </is>
      </c>
      <c r="B1503" s="13" t="inlineStr">
        <is>
          <t>Enchant Creature</t>
        </is>
      </c>
      <c r="C1503" s="13" t="inlineStr">
        <is>
          <t>Comum</t>
        </is>
      </c>
      <c r="D1503" s="13" t="inlineStr">
        <is>
          <t>Target creature gains +1/+2.</t>
        </is>
      </c>
      <c r="E1503" s="13" t="inlineStr">
        <is>
          <t>{W}</t>
        </is>
      </c>
      <c r="F1503" s="13" t="inlineStr">
        <is>
          <t>Branco</t>
        </is>
      </c>
      <c r="G1503" s="8" t="n">
        <v>0.25</v>
      </c>
      <c r="H1503" s="13" t="inlineStr">
        <is>
          <t>Alpha</t>
        </is>
      </c>
      <c r="I1503" s="13" t="inlineStr">
        <is>
          <t>Não</t>
        </is>
      </c>
      <c r="J1503" s="13" t="n">
        <v>1993</v>
      </c>
      <c r="L1503" s="13" t="n">
        <v>1</v>
      </c>
      <c r="M1503" s="8">
        <f>L1503*G1503</f>
        <v/>
      </c>
      <c r="P1503" s="9" t="n"/>
    </row>
    <row r="1504">
      <c r="A1504" s="13" t="inlineStr">
        <is>
          <t>Honest Work</t>
        </is>
      </c>
      <c r="B1504" s="13" t="inlineStr">
        <is>
          <t>Enchantment — Aura</t>
        </is>
      </c>
      <c r="C1504" s="13" t="inlineStr">
        <is>
          <t>Uncommon / Incomum</t>
        </is>
      </c>
      <c r="D1504" s="13"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1504" s="13" t="inlineStr">
        <is>
          <t>{U}</t>
        </is>
      </c>
      <c r="F1504" s="13" t="inlineStr">
        <is>
          <t>Azul</t>
        </is>
      </c>
      <c r="G1504" s="8" t="n">
        <v>0.2</v>
      </c>
      <c r="H1504" s="13" t="inlineStr">
        <is>
          <t>Avatar: The Last Airbender (TLA)</t>
        </is>
      </c>
      <c r="I1504" s="13" t="inlineStr">
        <is>
          <t>Não</t>
        </is>
      </c>
      <c r="J1504" s="13" t="n">
        <v>2025</v>
      </c>
      <c r="L1504" s="13" t="n">
        <v>1</v>
      </c>
      <c r="M1504" s="8">
        <f>L1504*G1504</f>
        <v/>
      </c>
      <c r="P1504" s="9" t="n"/>
    </row>
    <row r="1505">
      <c r="A1505" s="13" t="inlineStr">
        <is>
          <t>Honest Work</t>
        </is>
      </c>
      <c r="B1505" s="13" t="inlineStr">
        <is>
          <t>Enchantment — Aura</t>
        </is>
      </c>
      <c r="C1505" s="13" t="inlineStr">
        <is>
          <t>Uncommon / Incomum</t>
        </is>
      </c>
      <c r="D1505" s="13"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1505" s="13" t="inlineStr">
        <is>
          <t>{U}</t>
        </is>
      </c>
      <c r="F1505" s="13" t="inlineStr">
        <is>
          <t>Azul</t>
        </is>
      </c>
      <c r="G1505" s="8" t="n">
        <v>0.25</v>
      </c>
      <c r="H1505" s="13" t="inlineStr">
        <is>
          <t>Avatar: The Last Airbender (TLA)</t>
        </is>
      </c>
      <c r="I1505" s="13" t="inlineStr">
        <is>
          <t>Sim</t>
        </is>
      </c>
      <c r="J1505" s="13" t="n">
        <v>2025</v>
      </c>
      <c r="L1505" s="13" t="n">
        <v>1</v>
      </c>
      <c r="M1505" s="8">
        <f>L1505*G1505</f>
        <v/>
      </c>
      <c r="P1505" s="9" t="n"/>
    </row>
    <row r="1506">
      <c r="A1506" s="13" t="inlineStr">
        <is>
          <t>Honorbound Page // Forum's Favor / Pajem Vinculado pela Honra // Favor do Fórum</t>
        </is>
      </c>
      <c r="B1506" s="13" t="inlineStr">
        <is>
          <t>Criatura — Gato Clérigo // Feitiço</t>
        </is>
      </c>
      <c r="C1506" s="13" t="inlineStr">
        <is>
          <t>Comum</t>
        </is>
      </c>
      <c r="D1506" s="13" t="inlineStr">
        <is>
          <t>Iniciativa. Esta criatura entra preparada. (Enquanto estiver preparada, você poderá conjurar uma cópia de sua mágica. Fazer isso faz com que ela deixe de ficar preparada.) // A criatura alvo recebe +1/+0 e ganha voar até o final do turno.</t>
        </is>
      </c>
      <c r="E1506" s="13" t="inlineStr">
        <is>
          <t>3{W} // {W}</t>
        </is>
      </c>
      <c r="F1506" s="13" t="inlineStr">
        <is>
          <t>Branco</t>
        </is>
      </c>
      <c r="G1506" s="8" t="n">
        <v>0.05</v>
      </c>
      <c r="H1506" s="13" t="inlineStr">
        <is>
          <t>Strixhaven: School of Mages (SOS)</t>
        </is>
      </c>
      <c r="I1506" s="13" t="inlineStr">
        <is>
          <t>Não</t>
        </is>
      </c>
      <c r="J1506" s="13" t="n">
        <v>2026</v>
      </c>
      <c r="K1506" s="10" t="n">
        <v>46084</v>
      </c>
      <c r="L1506" s="13" t="n">
        <v>1</v>
      </c>
      <c r="M1506" s="8">
        <f>L1506*G1506</f>
        <v/>
      </c>
      <c r="P1506" s="9" t="n"/>
    </row>
    <row r="1507">
      <c r="A1507" s="13" t="inlineStr">
        <is>
          <t>Hopeful Vigil / Vigília Esperançosa</t>
        </is>
      </c>
      <c r="B1507" s="13" t="inlineStr">
        <is>
          <t>Enchantment / Encantamento</t>
        </is>
      </c>
      <c r="C1507" s="13" t="inlineStr">
        <is>
          <t>Common / Comum</t>
        </is>
      </c>
      <c r="D1507" s="13"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507" s="13" t="inlineStr">
        <is>
          <t>{1}{W}</t>
        </is>
      </c>
      <c r="F1507" s="13" t="inlineStr">
        <is>
          <t>Branco</t>
        </is>
      </c>
      <c r="G1507" s="8" t="n">
        <v>0.09</v>
      </c>
      <c r="H1507" s="13" t="inlineStr">
        <is>
          <t>Wilds of Eldraine (WOE)</t>
        </is>
      </c>
      <c r="I1507" s="13" t="inlineStr">
        <is>
          <t>Não</t>
        </is>
      </c>
      <c r="J1507" s="13" t="n">
        <v>2023</v>
      </c>
      <c r="L1507" s="13" t="n">
        <v>1</v>
      </c>
      <c r="M1507" s="8">
        <f>L1507*G1507</f>
        <v/>
      </c>
      <c r="P1507" s="9" t="n"/>
    </row>
    <row r="1508">
      <c r="A1508" s="13" t="inlineStr">
        <is>
          <t>Hoplita Sátiro</t>
        </is>
      </c>
      <c r="B1508" s="13" t="inlineStr">
        <is>
          <t>Criatura — Sátiro Soldado</t>
        </is>
      </c>
      <c r="C1508" s="13" t="inlineStr">
        <is>
          <t>Comum</t>
        </is>
      </c>
      <c r="D1508" s="13" t="inlineStr">
        <is>
          <t>Heroico — Toda vez que você conjurar uma mágica cujo alvo seja Hoplita Sátiro, coloque um marcador +1/+1 em Hoplita Sátiro.</t>
        </is>
      </c>
      <c r="E1508" s="13" t="inlineStr">
        <is>
          <t>R</t>
        </is>
      </c>
      <c r="F1508" s="13" t="inlineStr">
        <is>
          <t>Vermelha</t>
        </is>
      </c>
      <c r="G1508" s="8" t="n">
        <v>0.03</v>
      </c>
      <c r="H1508" s="13" t="inlineStr">
        <is>
          <t>Journey into Nyx</t>
        </is>
      </c>
      <c r="I1508" s="13" t="inlineStr">
        <is>
          <t>Não</t>
        </is>
      </c>
      <c r="J1508" s="13" t="n">
        <v>2014</v>
      </c>
      <c r="K1508" s="10" t="n">
        <v>46023</v>
      </c>
      <c r="L1508" s="13" t="n">
        <v>5</v>
      </c>
      <c r="M1508" s="8">
        <f>L1508*G1508</f>
        <v/>
      </c>
      <c r="P1508" s="9" t="n"/>
    </row>
    <row r="1509">
      <c r="A1509" s="13" t="inlineStr">
        <is>
          <t>Hordeling Outburst / Ataque da Mini-horda</t>
        </is>
      </c>
      <c r="B1509" s="13" t="inlineStr">
        <is>
          <t>Sorcery / Feitiço</t>
        </is>
      </c>
      <c r="C1509" s="13" t="inlineStr">
        <is>
          <t>Common / Comum</t>
        </is>
      </c>
      <c r="D1509" s="13" t="inlineStr">
        <is>
          <t>Create three 1/1 red Goblin creature tokens. / Coloque no campo de batalha três fichas de criatura vermelhas 1/1 do tipo Goblin.</t>
        </is>
      </c>
      <c r="E1509" s="13" t="inlineStr">
        <is>
          <t>{1}{R}{R}</t>
        </is>
      </c>
      <c r="F1509" s="13" t="inlineStr">
        <is>
          <t>Vermelho</t>
        </is>
      </c>
      <c r="G1509" s="8" t="n">
        <v>1.31</v>
      </c>
      <c r="H1509" s="13" t="inlineStr">
        <is>
          <t>Masters 25 (A25)</t>
        </is>
      </c>
      <c r="I1509" s="13" t="inlineStr">
        <is>
          <t>Não</t>
        </is>
      </c>
      <c r="J1509" s="13" t="n">
        <v>2018</v>
      </c>
      <c r="L1509" s="13" t="n">
        <v>1</v>
      </c>
      <c r="M1509" s="8">
        <f>L1509*G1509</f>
        <v/>
      </c>
      <c r="P1509" s="9" t="n"/>
    </row>
    <row r="1510">
      <c r="A1510" s="13" t="inlineStr">
        <is>
          <t>Horrific Assault / Assalto Horripilante</t>
        </is>
      </c>
      <c r="B1510" s="13" t="inlineStr">
        <is>
          <t>Sorcery / Feitiço</t>
        </is>
      </c>
      <c r="C1510" s="13" t="inlineStr">
        <is>
          <t>Common / Comum</t>
        </is>
      </c>
      <c r="D1510" s="13"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10" s="13" t="inlineStr">
        <is>
          <t>{G}</t>
        </is>
      </c>
      <c r="F1510" s="13" t="inlineStr">
        <is>
          <t>Verde</t>
        </is>
      </c>
      <c r="G1510" s="8" t="n">
        <v>0.1</v>
      </c>
      <c r="H1510" s="13" t="inlineStr">
        <is>
          <t>Modern Horizons 3 (MH3)</t>
        </is>
      </c>
      <c r="I1510" s="13" t="inlineStr">
        <is>
          <t>Não</t>
        </is>
      </c>
      <c r="J1510" s="13" t="n">
        <v>2024</v>
      </c>
      <c r="L1510" s="13" t="n">
        <v>1</v>
      </c>
      <c r="M1510" s="8">
        <f>L1510*G1510</f>
        <v/>
      </c>
      <c r="P1510" s="9" t="n"/>
    </row>
    <row r="1511">
      <c r="A1511" s="13" t="inlineStr">
        <is>
          <t>Horseshoe Crab / Caranguejo Ferradura</t>
        </is>
      </c>
      <c r="B1511" s="13" t="inlineStr">
        <is>
          <t>Creature — Crab / Criatura — Caranguejo</t>
        </is>
      </c>
      <c r="C1511" s="13" t="inlineStr">
        <is>
          <t>Common / Comum</t>
        </is>
      </c>
      <c r="D1511" s="13" t="inlineStr">
        <is>
          <t>{U}: Untap this creature. / {U}: Desvire Caranguejo Ferradura.</t>
        </is>
      </c>
      <c r="E1511" s="13" t="inlineStr">
        <is>
          <t>{2}{U}</t>
        </is>
      </c>
      <c r="F1511" s="13" t="inlineStr">
        <is>
          <t>Azul</t>
        </is>
      </c>
      <c r="G1511" s="8" t="n">
        <v>0.09</v>
      </c>
      <c r="H1511" s="13" t="inlineStr">
        <is>
          <t>Dominaria Remastered (DMR)</t>
        </is>
      </c>
      <c r="I1511" s="13" t="inlineStr">
        <is>
          <t>Não</t>
        </is>
      </c>
      <c r="J1511" s="13" t="n">
        <v>2023</v>
      </c>
      <c r="K1511" s="10" t="n">
        <v>46082</v>
      </c>
      <c r="L1511" s="13" t="n">
        <v>1</v>
      </c>
      <c r="M1511" s="8">
        <f>L1511*G1511</f>
        <v/>
      </c>
      <c r="P1511" s="9" t="n"/>
    </row>
    <row r="1512">
      <c r="A1512" s="13" t="inlineStr">
        <is>
          <t>Hostile Negotiations / Negociações Hostis</t>
        </is>
      </c>
      <c r="B1512" s="13" t="inlineStr">
        <is>
          <t>Instant / Mágica Instantânea</t>
        </is>
      </c>
      <c r="C1512" s="13" t="inlineStr">
        <is>
          <t>Rare / Rara</t>
        </is>
      </c>
      <c r="D1512" s="13"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1512" s="13" t="inlineStr">
        <is>
          <t>{3}{B}</t>
        </is>
      </c>
      <c r="F1512" s="13" t="inlineStr">
        <is>
          <t>Preto</t>
        </is>
      </c>
      <c r="G1512" s="8" t="n">
        <v>0.8</v>
      </c>
      <c r="H1512" s="13" t="inlineStr">
        <is>
          <t>A Guerra dos Irmãos</t>
        </is>
      </c>
      <c r="I1512" s="13" t="inlineStr">
        <is>
          <t>Não</t>
        </is>
      </c>
      <c r="J1512" s="13" t="n">
        <v>2022</v>
      </c>
      <c r="L1512" s="13" t="n">
        <v>1</v>
      </c>
      <c r="M1512" s="8">
        <f>L1512*G1512</f>
        <v/>
      </c>
      <c r="P1512" s="9" t="n"/>
    </row>
    <row r="1513">
      <c r="A1513" s="13" t="inlineStr">
        <is>
          <t>Hour of Defeat / Hora da Derrota</t>
        </is>
      </c>
      <c r="B1513" s="13" t="inlineStr">
        <is>
          <t>Mágica Instantânea</t>
        </is>
      </c>
      <c r="C1513" s="13" t="inlineStr">
        <is>
          <t>Comum</t>
        </is>
      </c>
      <c r="D1513" s="13" t="inlineStr">
        <is>
          <t>Destrua a criatura alvo. Vigie 1. (Olhe o card do topo de seu grimório. Você pode colocá-lo em seu cemitério.)</t>
        </is>
      </c>
      <c r="E1513" s="13" t="inlineStr">
        <is>
          <t>3{B}</t>
        </is>
      </c>
      <c r="F1513" s="13" t="inlineStr">
        <is>
          <t>Preto</t>
        </is>
      </c>
      <c r="G1513" s="8" t="n">
        <v>0.03</v>
      </c>
      <c r="H1513" s="13" t="inlineStr">
        <is>
          <t>Marvel</t>
        </is>
      </c>
      <c r="I1513" s="13" t="inlineStr">
        <is>
          <t>Não</t>
        </is>
      </c>
      <c r="J1513" s="13" t="n">
        <v>2026</v>
      </c>
      <c r="L1513" s="13" t="n">
        <v>1</v>
      </c>
      <c r="M1513" s="8">
        <f>L1513*G1513</f>
        <v/>
      </c>
      <c r="P1513" s="9" t="n"/>
    </row>
    <row r="1514">
      <c r="A1514" s="13" t="inlineStr">
        <is>
          <t>Hour of Need / Hora da Necessidade</t>
        </is>
      </c>
      <c r="B1514" s="13" t="inlineStr">
        <is>
          <t>Mágica Instantânea</t>
        </is>
      </c>
      <c r="C1514" s="13" t="inlineStr">
        <is>
          <t>Incomum</t>
        </is>
      </c>
      <c r="D1514" s="13"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1514" s="13" t="inlineStr">
        <is>
          <t>2U</t>
        </is>
      </c>
      <c r="F1514" s="13" t="inlineStr">
        <is>
          <t>Azul</t>
        </is>
      </c>
      <c r="G1514" s="8" t="n">
        <v>0.08</v>
      </c>
      <c r="H1514" s="13" t="inlineStr">
        <is>
          <t>Journey into Nyx</t>
        </is>
      </c>
      <c r="I1514" s="13" t="inlineStr">
        <is>
          <t>Não</t>
        </is>
      </c>
      <c r="J1514" s="13" t="n">
        <v>2014</v>
      </c>
      <c r="L1514" s="13" t="n">
        <v>1</v>
      </c>
      <c r="M1514" s="8">
        <f>L1514*G1514</f>
        <v/>
      </c>
      <c r="P1514" s="9" t="n"/>
    </row>
    <row r="1515">
      <c r="A1515" s="13" t="inlineStr">
        <is>
          <t>Hovel Hurler</t>
        </is>
      </c>
      <c r="B1515" s="13" t="inlineStr">
        <is>
          <t>Creature — Giant Warrior</t>
        </is>
      </c>
      <c r="C1515" s="13" t="inlineStr">
        <is>
          <t>Uncommon / Incomum</t>
        </is>
      </c>
      <c r="D1515" s="13" t="inlineStr">
        <is>
          <t>This creature enters with two -1/-1 counters on it. {R/W}{R/W}, Remove a counter from this creature: Another target creature you control gets +1/+0 and gains flying until end of turn. Activate only as a sorcery.</t>
        </is>
      </c>
      <c r="E1515" s="13" t="inlineStr">
        <is>
          <t>{3}{R/W}{R/W}</t>
        </is>
      </c>
      <c r="F1515" s="13" t="inlineStr">
        <is>
          <t>Vermelho, Branco</t>
        </is>
      </c>
      <c r="G1515" s="8" t="n">
        <v>0.11</v>
      </c>
      <c r="H1515" s="13" t="inlineStr">
        <is>
          <t>Lorwyn Eclipsed (ECL)</t>
        </is>
      </c>
      <c r="I1515" s="13" t="inlineStr">
        <is>
          <t>Não</t>
        </is>
      </c>
      <c r="J1515" s="13" t="n">
        <v>2026</v>
      </c>
      <c r="K1515" s="10" t="n">
        <v>46209</v>
      </c>
      <c r="L1515" s="13" t="n">
        <v>1</v>
      </c>
      <c r="M1515" s="8">
        <f>L1515*G1515</f>
        <v/>
      </c>
      <c r="P1515" s="9" t="n"/>
    </row>
    <row r="1516">
      <c r="A1516" s="13" t="inlineStr">
        <is>
          <t>How to Start a Riot</t>
        </is>
      </c>
      <c r="B1516" s="13" t="inlineStr">
        <is>
          <t>Instant — Lesson</t>
        </is>
      </c>
      <c r="C1516" s="13" t="inlineStr">
        <is>
          <t>Common / Comum</t>
        </is>
      </c>
      <c r="D1516" s="13" t="inlineStr">
        <is>
          <t>Target creature gains menace until end of turn. (It can't be blocked except by two or more creatures.) Creatures target player controls get +2/+0 until end of turn.</t>
        </is>
      </c>
      <c r="E1516" s="13" t="inlineStr">
        <is>
          <t>{2}{R}</t>
        </is>
      </c>
      <c r="F1516" s="13" t="inlineStr">
        <is>
          <t>Vermelho</t>
        </is>
      </c>
      <c r="G1516" s="8" t="n">
        <v>0.06</v>
      </c>
      <c r="H1516" s="13" t="inlineStr">
        <is>
          <t>Avatar: The Last Airbender (TLA)</t>
        </is>
      </c>
      <c r="I1516" s="13" t="inlineStr">
        <is>
          <t>Não</t>
        </is>
      </c>
      <c r="J1516" s="13" t="n">
        <v>2025</v>
      </c>
      <c r="L1516" s="13" t="n">
        <v>3</v>
      </c>
      <c r="M1516" s="8">
        <f>L1516*G1516</f>
        <v/>
      </c>
      <c r="P1516" s="9" t="n"/>
    </row>
    <row r="1517">
      <c r="A1517" s="13" t="inlineStr">
        <is>
          <t>Howl from Beyond / Uivo do Além</t>
        </is>
      </c>
      <c r="B1517" s="13" t="inlineStr">
        <is>
          <t>Instant / Mágica Instantânea</t>
        </is>
      </c>
      <c r="C1517" s="13" t="inlineStr">
        <is>
          <t>Common / Comum</t>
        </is>
      </c>
      <c r="D1517" s="13" t="inlineStr">
        <is>
          <t>Target creature gets +X/+0 until end of turn. / A criatura alvo recebe +X/+0 até o final do turno.</t>
        </is>
      </c>
      <c r="E1517" s="13" t="inlineStr">
        <is>
          <t>{X}{B}</t>
        </is>
      </c>
      <c r="F1517" s="13" t="inlineStr">
        <is>
          <t>Preto</t>
        </is>
      </c>
      <c r="G1517" s="8" t="n">
        <v>0.09</v>
      </c>
      <c r="H1517" s="13" t="inlineStr">
        <is>
          <t>Ice Age (ICE)</t>
        </is>
      </c>
      <c r="I1517" s="13" t="inlineStr">
        <is>
          <t>Não</t>
        </is>
      </c>
      <c r="J1517" s="13" t="n">
        <v>1995</v>
      </c>
      <c r="L1517" s="13" t="n">
        <v>1</v>
      </c>
      <c r="M1517" s="8">
        <f>L1517*G1517</f>
        <v/>
      </c>
      <c r="P1517" s="9" t="n"/>
    </row>
    <row r="1518">
      <c r="A1518" s="13" t="inlineStr">
        <is>
          <t>Howl from Beyond / Uivo do Além</t>
        </is>
      </c>
      <c r="B1518" s="13" t="inlineStr">
        <is>
          <t>Instant / Mágica Instantânea</t>
        </is>
      </c>
      <c r="C1518" s="13" t="inlineStr">
        <is>
          <t>Common / Comum</t>
        </is>
      </c>
      <c r="D1518" s="13" t="inlineStr">
        <is>
          <t>Target creature gets +X/+0 until end of turn. / A criatura alvo recebe +X/+0 até o final do turno.</t>
        </is>
      </c>
      <c r="E1518" s="13" t="inlineStr">
        <is>
          <t>{X}{B}</t>
        </is>
      </c>
      <c r="F1518" s="13" t="inlineStr">
        <is>
          <t>Preto</t>
        </is>
      </c>
      <c r="G1518" s="8" t="n">
        <v>0.08</v>
      </c>
      <c r="H1518" s="13" t="inlineStr">
        <is>
          <t>Quarta Edição</t>
        </is>
      </c>
      <c r="I1518" s="13" t="inlineStr">
        <is>
          <t>Não</t>
        </is>
      </c>
      <c r="J1518" s="13" t="n">
        <v>1994</v>
      </c>
      <c r="L1518" s="13" t="n">
        <v>2</v>
      </c>
      <c r="M1518" s="8">
        <f>L1518*G1518</f>
        <v/>
      </c>
      <c r="P1518" s="9" t="n"/>
    </row>
    <row r="1519">
      <c r="A1519" s="13" t="inlineStr">
        <is>
          <t>Howl from Beyond / Uivo do Além</t>
        </is>
      </c>
      <c r="B1519" s="13" t="inlineStr">
        <is>
          <t>Instant / Mágica Instantânea</t>
        </is>
      </c>
      <c r="C1519" s="13" t="inlineStr">
        <is>
          <t>Common / Comum</t>
        </is>
      </c>
      <c r="D1519" s="13" t="inlineStr">
        <is>
          <t>Target creature gets +X/+0 until end of turn. / A criatura alvo recebe +X/+0 até o final do turno.</t>
        </is>
      </c>
      <c r="E1519" s="13" t="inlineStr">
        <is>
          <t>{X}{B}</t>
        </is>
      </c>
      <c r="F1519" s="13" t="inlineStr">
        <is>
          <t>Preto</t>
        </is>
      </c>
      <c r="G1519" s="8" t="n">
        <v>0.2</v>
      </c>
      <c r="H1519" s="13" t="inlineStr">
        <is>
          <t>Quarta Edição (BB)</t>
        </is>
      </c>
      <c r="I1519" s="13" t="inlineStr">
        <is>
          <t>Não</t>
        </is>
      </c>
      <c r="J1519" s="13" t="n">
        <v>1993</v>
      </c>
      <c r="L1519" s="13" t="n">
        <v>2</v>
      </c>
      <c r="M1519" s="8">
        <f>L1519*G1519</f>
        <v/>
      </c>
      <c r="P1519" s="9" t="n"/>
    </row>
    <row r="1520">
      <c r="A1520" s="13" t="inlineStr">
        <is>
          <t>Howl from Beyond / Uivo do Além</t>
        </is>
      </c>
      <c r="B1520" s="13" t="inlineStr">
        <is>
          <t>Instant / Mágica Instantânea</t>
        </is>
      </c>
      <c r="C1520" s="13" t="inlineStr">
        <is>
          <t>Common / Comum</t>
        </is>
      </c>
      <c r="D1520" s="13" t="inlineStr">
        <is>
          <t>Target creature gets +X/+0 until end of turn. / A criatura alvo recebe +X/+0 até o final do turno.</t>
        </is>
      </c>
      <c r="E1520" s="13" t="inlineStr">
        <is>
          <t>{X}{B}</t>
        </is>
      </c>
      <c r="F1520" s="13" t="inlineStr">
        <is>
          <t>Preto</t>
        </is>
      </c>
      <c r="G1520" s="8" t="n">
        <v>0.17</v>
      </c>
      <c r="H1520" s="13" t="inlineStr">
        <is>
          <t>Revised Edition</t>
        </is>
      </c>
      <c r="I1520" s="13" t="inlineStr">
        <is>
          <t>Não</t>
        </is>
      </c>
      <c r="J1520" s="13" t="n">
        <v>1994</v>
      </c>
      <c r="L1520" s="13" t="n">
        <v>1</v>
      </c>
      <c r="M1520" s="8">
        <f>L1520*G1520</f>
        <v/>
      </c>
      <c r="P1520" s="9" t="n"/>
    </row>
    <row r="1521">
      <c r="A1521" s="13" t="inlineStr">
        <is>
          <t>Howler's Heavy</t>
        </is>
      </c>
      <c r="B1521" s="13" t="inlineStr">
        <is>
          <t>Creature — Seal Pirate</t>
        </is>
      </c>
      <c r="C1521" s="13" t="inlineStr">
        <is>
          <t>Common / Comum</t>
        </is>
      </c>
      <c r="D1521" s="13" t="inlineStr">
        <is>
          <t>Cycling {1}{U} ({1}{U}, Discard this card: Draw a card.) When you cycle this card, target creature or Vehicle an opponent controls gets -3/-0 until end of turn.</t>
        </is>
      </c>
      <c r="E1521" s="13" t="inlineStr">
        <is>
          <t>{3}{U}</t>
        </is>
      </c>
      <c r="F1521" s="13" t="inlineStr">
        <is>
          <t>Azul</t>
        </is>
      </c>
      <c r="G1521" s="8" t="n">
        <v>0.05</v>
      </c>
      <c r="H1521" s="13" t="inlineStr">
        <is>
          <t>Aetherdrift (DFT)</t>
        </is>
      </c>
      <c r="I1521" s="13" t="inlineStr">
        <is>
          <t>Não</t>
        </is>
      </c>
      <c r="J1521" s="13" t="n">
        <v>2025</v>
      </c>
      <c r="K1521" s="10" t="n">
        <v>46115</v>
      </c>
      <c r="L1521" s="13" t="n">
        <v>1</v>
      </c>
      <c r="M1521" s="8">
        <f>L1521*G1521</f>
        <v/>
      </c>
      <c r="P1521" s="9" t="n"/>
    </row>
    <row r="1522">
      <c r="A1522" s="13" t="inlineStr">
        <is>
          <t>Howling Mine</t>
        </is>
      </c>
      <c r="B1522" s="13" t="inlineStr">
        <is>
          <t>Artifact</t>
        </is>
      </c>
      <c r="C1522" s="13" t="inlineStr">
        <is>
          <t>Rare</t>
        </is>
      </c>
      <c r="D1522" s="13" t="inlineStr">
        <is>
          <t>During each player's draw phase, that player draws an additional card.</t>
        </is>
      </c>
      <c r="E1522" s="13" t="inlineStr">
        <is>
          <t>{2}</t>
        </is>
      </c>
      <c r="F1522" s="13" t="inlineStr">
        <is>
          <t>Colorless</t>
        </is>
      </c>
      <c r="G1522" s="8" t="n">
        <v>11.99</v>
      </c>
      <c r="H1522" s="13" t="inlineStr">
        <is>
          <t>Fifth Edition (5ED)</t>
        </is>
      </c>
      <c r="I1522" s="13" t="inlineStr">
        <is>
          <t>No</t>
        </is>
      </c>
      <c r="J1522" s="13" t="n">
        <v>1997</v>
      </c>
      <c r="L1522" s="13" t="n">
        <v>1</v>
      </c>
      <c r="M1522" s="8">
        <f>L1522*G1522</f>
        <v/>
      </c>
      <c r="P1522" s="9" t="n"/>
    </row>
    <row r="1523">
      <c r="A1523" s="13" t="inlineStr">
        <is>
          <t>Hubris / Arrogância</t>
        </is>
      </c>
      <c r="B1523" s="13" t="inlineStr">
        <is>
          <t>Mágica Instantânea</t>
        </is>
      </c>
      <c r="C1523" s="13" t="inlineStr">
        <is>
          <t>Comum</t>
        </is>
      </c>
      <c r="D1523" s="13" t="inlineStr">
        <is>
          <t>Devolva a criatura alvo e todas as Auras anexadas a ela para as mãos de seus donos.</t>
        </is>
      </c>
      <c r="E1523" s="13" t="inlineStr">
        <is>
          <t>1U</t>
        </is>
      </c>
      <c r="F1523" s="13" t="inlineStr">
        <is>
          <t>Azul</t>
        </is>
      </c>
      <c r="G1523" s="8" t="n">
        <v>0.03</v>
      </c>
      <c r="H1523" s="13" t="inlineStr">
        <is>
          <t>Journey into Nyx</t>
        </is>
      </c>
      <c r="I1523" s="13" t="inlineStr">
        <is>
          <t>Não</t>
        </is>
      </c>
      <c r="J1523" s="13" t="n">
        <v>2014</v>
      </c>
      <c r="L1523" s="13" t="n">
        <v>6</v>
      </c>
      <c r="M1523" s="8">
        <f>L1523*G1523</f>
        <v/>
      </c>
      <c r="P1523" s="9" t="n"/>
    </row>
    <row r="1524">
      <c r="A1524" s="13" t="inlineStr">
        <is>
          <t>Hulking Devil / Diabo Brutamontes</t>
        </is>
      </c>
      <c r="B1524" s="13" t="inlineStr">
        <is>
          <t>Creature — Devil / Criatura — Diabo</t>
        </is>
      </c>
      <c r="C1524" s="13" t="inlineStr">
        <is>
          <t>Common / Comum</t>
        </is>
      </c>
      <c r="E1524" s="13" t="inlineStr">
        <is>
          <t>{3}{R}</t>
        </is>
      </c>
      <c r="F1524" s="13" t="inlineStr">
        <is>
          <t>Vermelho</t>
        </is>
      </c>
      <c r="G1524" s="8" t="n">
        <v>0.05</v>
      </c>
      <c r="H1524" s="13" t="inlineStr">
        <is>
          <t>Shadows over Innistrad (SOI)</t>
        </is>
      </c>
      <c r="I1524" s="13" t="inlineStr">
        <is>
          <t>Não</t>
        </is>
      </c>
      <c r="J1524" s="13" t="n">
        <v>2016</v>
      </c>
      <c r="K1524" s="10" t="n">
        <v>46058</v>
      </c>
      <c r="L1524" s="13" t="n">
        <v>1</v>
      </c>
      <c r="M1524" s="8">
        <f>L1524*G1524</f>
        <v/>
      </c>
      <c r="P1524" s="9" t="n"/>
    </row>
    <row r="1525">
      <c r="A1525" s="13" t="inlineStr">
        <is>
          <t>Hullbreaker Horror / Horror Quebra-casco</t>
        </is>
      </c>
      <c r="B1525" s="13" t="inlineStr">
        <is>
          <t>Creature — Kraken Horror / Criatura — Kraken Horror</t>
        </is>
      </c>
      <c r="C1525" s="13" t="inlineStr">
        <is>
          <t>Rare / Rara</t>
        </is>
      </c>
      <c r="D1525" s="13"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525" s="13" t="inlineStr">
        <is>
          <t>{5}{U}{U}</t>
        </is>
      </c>
      <c r="F1525" s="13" t="inlineStr">
        <is>
          <t>Azul</t>
        </is>
      </c>
      <c r="G1525" s="8" t="n">
        <v>28.8</v>
      </c>
      <c r="H1525" s="13" t="inlineStr">
        <is>
          <t>Innistrad: Crimson Vow (VOW)</t>
        </is>
      </c>
      <c r="I1525" s="13" t="inlineStr">
        <is>
          <t>Não</t>
        </is>
      </c>
      <c r="J1525" s="13" t="n">
        <v>2021</v>
      </c>
      <c r="K1525" s="10" t="n">
        <v>46241</v>
      </c>
      <c r="L1525" s="13" t="n">
        <v>1</v>
      </c>
      <c r="M1525" s="8">
        <f>L1525*G1525</f>
        <v/>
      </c>
      <c r="P1525" s="9" t="n"/>
    </row>
    <row r="1526">
      <c r="A1526" s="13" t="inlineStr">
        <is>
          <t>Hullcarver / Escultor de Cascos</t>
        </is>
      </c>
      <c r="B1526" s="13" t="inlineStr">
        <is>
          <t>Criatura Artefato — Robô Assassino</t>
        </is>
      </c>
      <c r="C1526" s="13" t="inlineStr">
        <is>
          <t>Comum</t>
        </is>
      </c>
      <c r="D1526" s="13" t="inlineStr">
        <is>
          <t>Toque mortífero</t>
        </is>
      </c>
      <c r="E1526" s="13" t="inlineStr">
        <is>
          <t>{B}</t>
        </is>
      </c>
      <c r="F1526" s="13" t="inlineStr">
        <is>
          <t>Preto</t>
        </is>
      </c>
      <c r="G1526" s="8" t="n">
        <v>0.05</v>
      </c>
      <c r="H1526" s="13" t="inlineStr">
        <is>
          <t>Edge of Eternity</t>
        </is>
      </c>
      <c r="I1526" s="13" t="inlineStr">
        <is>
          <t>Não</t>
        </is>
      </c>
      <c r="J1526" s="13" t="n">
        <v>2025</v>
      </c>
      <c r="K1526" s="10" t="n">
        <v>46023</v>
      </c>
      <c r="L1526" s="13" t="n">
        <v>2</v>
      </c>
      <c r="M1526" s="8">
        <f>L1526*G1526</f>
        <v/>
      </c>
      <c r="P1526" s="9" t="n"/>
    </row>
    <row r="1527">
      <c r="A1527" s="13" t="inlineStr">
        <is>
          <t>Humbler of Mortals / Humilhador de Mortais</t>
        </is>
      </c>
      <c r="B1527" s="13" t="inlineStr">
        <is>
          <t>Criatura Encantamento — Elemental</t>
        </is>
      </c>
      <c r="C1527" s="13" t="inlineStr">
        <is>
          <t>Incomum</t>
        </is>
      </c>
      <c r="D1527" s="13" t="inlineStr">
        <is>
          <t>Constelação — Toda vez que Humilhador de Mortais ou outro encantamento entra no campo de batalha sob seu controle, as criaturas que você controla ganham atropelar até o final do turno.</t>
        </is>
      </c>
      <c r="E1527" s="13" t="inlineStr">
        <is>
          <t>4GG</t>
        </is>
      </c>
      <c r="F1527" s="13" t="inlineStr">
        <is>
          <t>Verde</t>
        </is>
      </c>
      <c r="G1527" s="8" t="n">
        <v>0.03</v>
      </c>
      <c r="H1527" s="13" t="inlineStr">
        <is>
          <t>Journey into Nyx</t>
        </is>
      </c>
      <c r="I1527" s="13" t="inlineStr">
        <is>
          <t>Sim</t>
        </is>
      </c>
      <c r="J1527" s="13" t="n">
        <v>2014</v>
      </c>
      <c r="K1527" s="10" t="n">
        <v>46147</v>
      </c>
      <c r="L1527" s="13" t="n">
        <v>3</v>
      </c>
      <c r="M1527" s="8">
        <f>L1527*G1527</f>
        <v/>
      </c>
      <c r="P1527" s="9" t="n"/>
    </row>
    <row r="1528">
      <c r="A1528" s="13" t="inlineStr">
        <is>
          <t>Hundred-Handed One / Centomano</t>
        </is>
      </c>
      <c r="B1528" s="13" t="inlineStr">
        <is>
          <t>Creature — Giant / Criatura — Gigante</t>
        </is>
      </c>
      <c r="C1528" s="13" t="inlineStr">
        <is>
          <t>Rare / Rara</t>
        </is>
      </c>
      <c r="D1528" s="13"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528" s="13" t="inlineStr">
        <is>
          <t>{2}{W}{W}</t>
        </is>
      </c>
      <c r="F1528" s="13" t="inlineStr">
        <is>
          <t>Branco</t>
        </is>
      </c>
      <c r="G1528" s="8" t="n">
        <v>0.1</v>
      </c>
      <c r="H1528" s="13" t="inlineStr">
        <is>
          <t>Theros (THS)</t>
        </is>
      </c>
      <c r="I1528" s="13" t="inlineStr">
        <is>
          <t>Não</t>
        </is>
      </c>
      <c r="J1528" s="13" t="n">
        <v>2013</v>
      </c>
      <c r="K1528" s="10" t="n">
        <v>46145</v>
      </c>
      <c r="L1528" s="13" t="n">
        <v>1</v>
      </c>
      <c r="M1528" s="8">
        <f>L1528*G1528</f>
        <v/>
      </c>
      <c r="P1528" s="9" t="n"/>
    </row>
    <row r="1529">
      <c r="A1529" s="13" t="inlineStr">
        <is>
          <t>Hungry Graffalon / Graffalon Faminto</t>
        </is>
      </c>
      <c r="B1529" s="13" t="inlineStr">
        <is>
          <t>Creature — Giraffe / Criatura — Girafa</t>
        </is>
      </c>
      <c r="C1529" s="13" t="inlineStr">
        <is>
          <t>Common / Comum</t>
        </is>
      </c>
      <c r="D1529" s="13"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1529" s="13" t="inlineStr">
        <is>
          <t>{3}{G}</t>
        </is>
      </c>
      <c r="F1529" s="13" t="inlineStr">
        <is>
          <t>Verde</t>
        </is>
      </c>
      <c r="G1529" s="8" t="n">
        <v>0.06</v>
      </c>
      <c r="H1529" s="13" t="inlineStr">
        <is>
          <t>Shadows of Sothia (SOS)</t>
        </is>
      </c>
      <c r="I1529" s="13" t="inlineStr">
        <is>
          <t>No</t>
        </is>
      </c>
      <c r="J1529" s="13" t="n">
        <v>2026</v>
      </c>
      <c r="K1529" s="10" t="n">
        <v>46115</v>
      </c>
      <c r="L1529" s="13" t="n">
        <v>2</v>
      </c>
      <c r="M1529" s="8">
        <f>L1529*G1529</f>
        <v/>
      </c>
      <c r="P1529" s="9" t="n"/>
    </row>
    <row r="1530">
      <c r="A1530" s="13" t="inlineStr">
        <is>
          <t>Hungry Spriggan / Spriggan Faminto</t>
        </is>
      </c>
      <c r="B1530" s="13" t="inlineStr">
        <is>
          <t>Creature — Goblin Warrior / Criatura — Goblin Guerreiro</t>
        </is>
      </c>
      <c r="C1530" s="13" t="inlineStr">
        <is>
          <t>Common / Comum</t>
        </is>
      </c>
      <c r="D1530" s="13" t="inlineStr">
        <is>
          <t>Trample. Whenever Hungry Spriggan attacks, it gets +3/+3 until end of turn. / Atropelar. Toda vez que Spriggan Faminto ataca, ele recebe +3/+3 até o final do turno.</t>
        </is>
      </c>
      <c r="E1530" s="13" t="inlineStr">
        <is>
          <t>{2}{G}</t>
        </is>
      </c>
      <c r="F1530" s="13" t="inlineStr">
        <is>
          <t>Verde</t>
        </is>
      </c>
      <c r="G1530" s="8" t="n">
        <v>0.06</v>
      </c>
      <c r="H1530" s="13" t="inlineStr">
        <is>
          <t>Ravnica: City of Guilds (RAV)</t>
        </is>
      </c>
      <c r="I1530" s="13" t="inlineStr">
        <is>
          <t>Não</t>
        </is>
      </c>
      <c r="J1530" s="13" t="n">
        <v>2005</v>
      </c>
      <c r="K1530" s="10" t="n">
        <v>46023</v>
      </c>
      <c r="L1530" s="13" t="n">
        <v>1</v>
      </c>
      <c r="M1530" s="8">
        <f>L1530*G1530</f>
        <v/>
      </c>
      <c r="P1530" s="9" t="n"/>
    </row>
    <row r="1531">
      <c r="A1531" s="13" t="inlineStr">
        <is>
          <t>Hunter of Eyeblights / Caçador de Seca-Olhos</t>
        </is>
      </c>
      <c r="B1531" s="13" t="inlineStr">
        <is>
          <t>Creature — Elf Assassin / Criatura — Elfo Assassino</t>
        </is>
      </c>
      <c r="C1531" s="13" t="inlineStr">
        <is>
          <t>Uncommon / Incomum</t>
        </is>
      </c>
      <c r="D1531" s="13"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31" s="13" t="inlineStr">
        <is>
          <t>{3}{B}{B}</t>
        </is>
      </c>
      <c r="F1531" s="13" t="inlineStr">
        <is>
          <t>Preto</t>
        </is>
      </c>
      <c r="G1531" s="8" t="n">
        <v>0.06</v>
      </c>
      <c r="H1531" s="13" t="inlineStr">
        <is>
          <t>Lorwyn (LRW)</t>
        </is>
      </c>
      <c r="I1531" s="13" t="inlineStr">
        <is>
          <t>Não</t>
        </is>
      </c>
      <c r="J1531" s="13" t="n">
        <v>2007</v>
      </c>
      <c r="K1531" s="10" t="n">
        <v>46084</v>
      </c>
      <c r="L1531" s="13" t="n">
        <v>1</v>
      </c>
      <c r="M1531" s="8">
        <f>L1531*G1531</f>
        <v/>
      </c>
      <c r="P1531" s="9" t="n"/>
    </row>
    <row r="1532">
      <c r="A1532" s="13" t="inlineStr">
        <is>
          <t>Hunter's Edge / Vantagem da Caçadora</t>
        </is>
      </c>
      <c r="B1532" s="13" t="inlineStr">
        <is>
          <t>Sorcery / Feitiço</t>
        </is>
      </c>
      <c r="C1532" s="13" t="inlineStr">
        <is>
          <t>Common / Comum</t>
        </is>
      </c>
      <c r="D1532" s="13"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1532" s="13" t="inlineStr">
        <is>
          <t>{3}{G}</t>
        </is>
      </c>
      <c r="F1532" s="13" t="inlineStr">
        <is>
          <t>Verde</t>
        </is>
      </c>
      <c r="G1532" s="8" t="n">
        <v>0.18</v>
      </c>
      <c r="H1532" s="13" t="inlineStr">
        <is>
          <t>Foundations Jumpstart (J25)</t>
        </is>
      </c>
      <c r="I1532" s="13" t="inlineStr">
        <is>
          <t>Não</t>
        </is>
      </c>
      <c r="J1532" s="13" t="n">
        <v>2024</v>
      </c>
      <c r="L1532" s="13" t="n">
        <v>1</v>
      </c>
      <c r="M1532" s="8">
        <f>L1532*G1532</f>
        <v/>
      </c>
      <c r="P1532" s="9" t="n"/>
    </row>
    <row r="1533">
      <c r="A1533" s="13" t="inlineStr">
        <is>
          <t>Hunter's Insight / Percepção do Caçador</t>
        </is>
      </c>
      <c r="B1533" s="13" t="inlineStr">
        <is>
          <t>Instant / Mágica Instantânea</t>
        </is>
      </c>
      <c r="C1533" s="13" t="inlineStr">
        <is>
          <t>Uncommon / Incomum</t>
        </is>
      </c>
      <c r="D1533" s="13"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1533" s="13" t="inlineStr">
        <is>
          <t>{2}{G}</t>
        </is>
      </c>
      <c r="F1533" s="13" t="inlineStr">
        <is>
          <t>Verde</t>
        </is>
      </c>
      <c r="G1533" s="8" t="n">
        <v>1.99</v>
      </c>
      <c r="H1533" s="13" t="inlineStr">
        <is>
          <t>Commander Masters (CMM)</t>
        </is>
      </c>
      <c r="I1533" s="13" t="inlineStr">
        <is>
          <t>Não</t>
        </is>
      </c>
      <c r="J1533" s="13" t="n">
        <v>2023</v>
      </c>
      <c r="L1533" s="13" t="n">
        <v>1</v>
      </c>
      <c r="M1533" s="8">
        <f>L1533*G1533</f>
        <v/>
      </c>
      <c r="N1533" s="13" t="inlineStr">
        <is>
          <t>Pasta</t>
        </is>
      </c>
      <c r="P1533" s="9" t="n"/>
    </row>
    <row r="1534">
      <c r="A1534" s="13" t="inlineStr">
        <is>
          <t>Hunter's Mark / Marca do Predador</t>
        </is>
      </c>
      <c r="B1534" s="13" t="inlineStr">
        <is>
          <t>Instant / Mágica Instantânea</t>
        </is>
      </c>
      <c r="C1534" s="13" t="inlineStr">
        <is>
          <t>Uncommon / Incomum</t>
        </is>
      </c>
      <c r="D1534" s="13"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34" s="13" t="inlineStr">
        <is>
          <t>{3}{G}</t>
        </is>
      </c>
      <c r="F1534" s="13" t="inlineStr">
        <is>
          <t>Verde</t>
        </is>
      </c>
      <c r="G1534" s="8" t="n">
        <v>0.04</v>
      </c>
      <c r="H1534" s="13" t="inlineStr">
        <is>
          <t>Adventures in the Forgotten Realms (AFR)</t>
        </is>
      </c>
      <c r="I1534" s="13" t="inlineStr">
        <is>
          <t>Não</t>
        </is>
      </c>
      <c r="J1534" s="13" t="n">
        <v>2021</v>
      </c>
      <c r="L1534" s="13" t="n">
        <v>1</v>
      </c>
      <c r="M1534" s="8">
        <f>L1534*G1534</f>
        <v/>
      </c>
      <c r="P1534" s="9" t="n"/>
    </row>
    <row r="1535">
      <c r="A1535" s="13" t="inlineStr">
        <is>
          <t>Hurloon Battle Hymn / Hino de Batalha de Hurloon</t>
        </is>
      </c>
      <c r="B1535" s="13" t="inlineStr">
        <is>
          <t>Instant / Mágica Instantânea</t>
        </is>
      </c>
      <c r="C1535" s="13" t="inlineStr">
        <is>
          <t>Uncommon / Incomum</t>
        </is>
      </c>
      <c r="D1535" s="13"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1535" s="13" t="inlineStr">
        <is>
          <t>{2}{R}</t>
        </is>
      </c>
      <c r="F1535" s="13" t="inlineStr">
        <is>
          <t>Vermelho</t>
        </is>
      </c>
      <c r="G1535" s="8" t="n">
        <v>0.04</v>
      </c>
      <c r="H1535" s="13" t="inlineStr">
        <is>
          <t>Dominaria United (DMU)</t>
        </is>
      </c>
      <c r="I1535" s="13" t="inlineStr">
        <is>
          <t>Não</t>
        </is>
      </c>
      <c r="J1535" s="13" t="n">
        <v>2022</v>
      </c>
      <c r="L1535" s="13" t="n">
        <v>2</v>
      </c>
      <c r="M1535" s="8">
        <f>L1535*G1535</f>
        <v/>
      </c>
      <c r="P1535" s="9" t="n"/>
    </row>
    <row r="1536">
      <c r="A1536" s="13" t="inlineStr">
        <is>
          <t>Hurloon Minotaur / Minotauro de Hurloon</t>
        </is>
      </c>
      <c r="B1536" s="13" t="inlineStr">
        <is>
          <t>Creature — Minotaur</t>
        </is>
      </c>
      <c r="C1536" s="13" t="inlineStr">
        <is>
          <t>Common / Comum</t>
        </is>
      </c>
      <c r="E1536" s="13" t="inlineStr">
        <is>
          <t>{1}{R}{R}</t>
        </is>
      </c>
      <c r="F1536" s="13" t="inlineStr">
        <is>
          <t>Vermelho</t>
        </is>
      </c>
      <c r="G1536" s="8" t="n">
        <v>0.05</v>
      </c>
      <c r="H1536" s="13" t="inlineStr">
        <is>
          <t>Fourth Edition</t>
        </is>
      </c>
      <c r="I1536" s="13" t="inlineStr">
        <is>
          <t>Não</t>
        </is>
      </c>
      <c r="J1536" s="13" t="n">
        <v>1995</v>
      </c>
      <c r="K1536" s="10" t="n">
        <v>46083</v>
      </c>
      <c r="L1536" s="13" t="n">
        <v>3</v>
      </c>
      <c r="M1536" s="8">
        <f>L1536*G1536</f>
        <v/>
      </c>
      <c r="P1536" s="9" t="n"/>
    </row>
    <row r="1537">
      <c r="A1537" s="13" t="inlineStr">
        <is>
          <t>Hurloon Minotaur / Minotauro de Hurloon</t>
        </is>
      </c>
      <c r="B1537" s="13" t="inlineStr">
        <is>
          <t>Creature — Minotaur</t>
        </is>
      </c>
      <c r="C1537" s="13" t="inlineStr">
        <is>
          <t>Common / Comum</t>
        </is>
      </c>
      <c r="E1537" s="13" t="inlineStr">
        <is>
          <t>{1}{R}{R}</t>
        </is>
      </c>
      <c r="F1537" s="13" t="inlineStr">
        <is>
          <t>Vermelho</t>
        </is>
      </c>
      <c r="G1537" s="8" t="n">
        <v>0.08</v>
      </c>
      <c r="H1537" s="13" t="inlineStr">
        <is>
          <t>Fourth Edition (BB)</t>
        </is>
      </c>
      <c r="I1537" s="13" t="inlineStr">
        <is>
          <t>Não</t>
        </is>
      </c>
      <c r="J1537" s="13" t="n">
        <v>1995</v>
      </c>
      <c r="K1537" s="10" t="n">
        <v>46083</v>
      </c>
      <c r="L1537" s="13" t="n">
        <v>4</v>
      </c>
      <c r="M1537" s="8">
        <f>L1537*G1537</f>
        <v/>
      </c>
      <c r="P1537" s="9" t="n"/>
    </row>
    <row r="1538">
      <c r="A1538" s="13" t="inlineStr">
        <is>
          <t>Hurloon Minotaur / Minotauro de Hurloon</t>
        </is>
      </c>
      <c r="B1538" s="13" t="inlineStr">
        <is>
          <t>Creature — Minotaur</t>
        </is>
      </c>
      <c r="C1538" s="13" t="inlineStr">
        <is>
          <t>Common / Comum</t>
        </is>
      </c>
      <c r="E1538" s="13" t="inlineStr">
        <is>
          <t>{1}{R}{R}</t>
        </is>
      </c>
      <c r="F1538" s="13" t="inlineStr">
        <is>
          <t>Vermelho</t>
        </is>
      </c>
      <c r="G1538" s="8" t="n">
        <v>0.1</v>
      </c>
      <c r="H1538" s="13" t="inlineStr">
        <is>
          <t>Revised Edition</t>
        </is>
      </c>
      <c r="I1538" s="13" t="inlineStr">
        <is>
          <t>Não</t>
        </is>
      </c>
      <c r="J1538" s="13" t="n">
        <v>1994</v>
      </c>
      <c r="K1538" s="10" t="n">
        <v>46083</v>
      </c>
      <c r="L1538" s="13" t="n">
        <v>1</v>
      </c>
      <c r="M1538" s="8">
        <f>L1538*G1538</f>
        <v/>
      </c>
      <c r="P1538" s="9" t="n"/>
    </row>
    <row r="1539">
      <c r="A1539" s="13" t="inlineStr">
        <is>
          <t>Hussar Patrol / Patrulha Hússara</t>
        </is>
      </c>
      <c r="B1539" s="13" t="inlineStr">
        <is>
          <t>Criatura — Humano Cavaleiro</t>
        </is>
      </c>
      <c r="C1539" s="13" t="inlineStr">
        <is>
          <t>Comum</t>
        </is>
      </c>
      <c r="D1539" s="13" t="inlineStr">
        <is>
          <t>Lampejo (Você poderá conjurar esta mágica a qualquer momento em que puder conjurar uma mágica instantânea.) Vigilância</t>
        </is>
      </c>
      <c r="E1539" s="13" t="inlineStr">
        <is>
          <t>2WU</t>
        </is>
      </c>
      <c r="F1539" s="13" t="inlineStr">
        <is>
          <t>Multicolorido</t>
        </is>
      </c>
      <c r="G1539" s="8" t="n">
        <v>0.06</v>
      </c>
      <c r="H1539" s="13" t="inlineStr">
        <is>
          <t>Duel Decks: Speed vs. Cunning</t>
        </is>
      </c>
      <c r="I1539" s="13" t="inlineStr">
        <is>
          <t>Não</t>
        </is>
      </c>
      <c r="J1539" s="13" t="n">
        <v>2014</v>
      </c>
      <c r="K1539" s="10" t="n">
        <v>46114</v>
      </c>
      <c r="L1539" s="13" t="n">
        <v>1</v>
      </c>
      <c r="M1539" s="8">
        <f>L1539*G1539</f>
        <v/>
      </c>
      <c r="P1539" s="9" t="n"/>
    </row>
    <row r="1540">
      <c r="A1540" s="13" t="inlineStr">
        <is>
          <t>Hyalopterous Lemure / Lêmure Hialóptero</t>
        </is>
      </c>
      <c r="B1540" s="13" t="inlineStr">
        <is>
          <t>Creature — Spirit / Criatura — Espírito</t>
        </is>
      </c>
      <c r="C1540" s="13" t="inlineStr">
        <is>
          <t>Uncommon / Incomum</t>
        </is>
      </c>
      <c r="D1540" s="13" t="inlineStr">
        <is>
          <t>{0}: This creature gets -1/-0 and gains flying until end of turn. / {0}: Lêmure Hialóptero recebe -1/-0 e ganha voar até o final do turno.</t>
        </is>
      </c>
      <c r="E1540" s="13" t="inlineStr">
        <is>
          <t>{4}{B}</t>
        </is>
      </c>
      <c r="F1540" s="13" t="inlineStr">
        <is>
          <t>Preto</t>
        </is>
      </c>
      <c r="G1540" s="8" t="n">
        <v>0.05</v>
      </c>
      <c r="H1540" s="13" t="inlineStr">
        <is>
          <t>Ice Age (ICE)</t>
        </is>
      </c>
      <c r="I1540" s="13" t="inlineStr">
        <is>
          <t>Não</t>
        </is>
      </c>
      <c r="J1540" s="13" t="n">
        <v>1995</v>
      </c>
      <c r="K1540" s="10" t="n">
        <v>46085</v>
      </c>
      <c r="L1540" s="13" t="n">
        <v>1</v>
      </c>
      <c r="M1540" s="8">
        <f>L1540*G1540</f>
        <v/>
      </c>
      <c r="P1540" s="9" t="n"/>
    </row>
    <row r="1541">
      <c r="A1541" s="13" t="inlineStr">
        <is>
          <t>Hydraulic Helper / Ajudante Hidráulico</t>
        </is>
      </c>
      <c r="B1541" s="13" t="inlineStr">
        <is>
          <t>Criatura Artefato — Robô</t>
        </is>
      </c>
      <c r="C1541" s="13" t="inlineStr">
        <is>
          <t>Comum</t>
        </is>
      </c>
      <c r="D1541" s="13" t="inlineStr">
        <is>
          <t>Defensor. {T}: Adicione {U}. Este mana não pode ser gasto para conjurar uma mágica que não seja de artefato.</t>
        </is>
      </c>
      <c r="E1541" s="13" t="inlineStr">
        <is>
          <t>1{U}</t>
        </is>
      </c>
      <c r="F1541" s="13" t="inlineStr">
        <is>
          <t>Azul</t>
        </is>
      </c>
      <c r="G1541" s="8" t="n">
        <v>0.13</v>
      </c>
      <c r="H1541" s="13" t="inlineStr">
        <is>
          <t>Marvel</t>
        </is>
      </c>
      <c r="I1541" s="13" t="inlineStr">
        <is>
          <t>Não</t>
        </is>
      </c>
      <c r="J1541" s="13" t="n">
        <v>2026</v>
      </c>
      <c r="K1541" s="10" t="n">
        <v>46083</v>
      </c>
      <c r="L1541" s="13" t="n">
        <v>1</v>
      </c>
      <c r="M1541" s="8">
        <f>L1541*G1541</f>
        <v/>
      </c>
      <c r="P1541" s="9" t="n"/>
    </row>
    <row r="1542">
      <c r="A1542" s="13" t="inlineStr">
        <is>
          <t>Hydro-Channeler / Canalizador Hidráulico</t>
        </is>
      </c>
      <c r="B1542" s="13" t="inlineStr">
        <is>
          <t>Creature — Merfolk Wizard / Criatura — Tritão Mago</t>
        </is>
      </c>
      <c r="C1542" s="13" t="inlineStr">
        <is>
          <t>Common / Comum</t>
        </is>
      </c>
      <c r="D1542" s="13"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1542" s="13" t="inlineStr">
        <is>
          <t>{1}{U}</t>
        </is>
      </c>
      <c r="F1542" s="13" t="inlineStr">
        <is>
          <t>Azul</t>
        </is>
      </c>
      <c r="G1542" s="8" t="n">
        <v>0.04</v>
      </c>
      <c r="H1542" s="13" t="inlineStr">
        <is>
          <t>Shadows of Sothia (SOS)</t>
        </is>
      </c>
      <c r="I1542" s="13" t="inlineStr">
        <is>
          <t>No</t>
        </is>
      </c>
      <c r="J1542" s="13" t="n">
        <v>2026</v>
      </c>
      <c r="K1542" s="10" t="n">
        <v>46082</v>
      </c>
      <c r="L1542" s="13" t="n">
        <v>4</v>
      </c>
      <c r="M1542" s="8">
        <f>L1542*G1542</f>
        <v/>
      </c>
      <c r="P1542" s="9" t="n"/>
    </row>
    <row r="1543">
      <c r="A1543" s="13" t="inlineStr">
        <is>
          <t>Hydro-Channeler / Canalizador Hidráulico</t>
        </is>
      </c>
      <c r="B1543" s="13" t="inlineStr">
        <is>
          <t>Creature — Merfolk Wizard / Criatura — Tritão Mago</t>
        </is>
      </c>
      <c r="C1543" s="13" t="inlineStr">
        <is>
          <t>Common / Comum</t>
        </is>
      </c>
      <c r="D1543" s="13"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1543" s="13" t="inlineStr">
        <is>
          <t>{1}{U}</t>
        </is>
      </c>
      <c r="F1543" s="13" t="inlineStr">
        <is>
          <t>Azul</t>
        </is>
      </c>
      <c r="G1543" s="8" t="n">
        <v>0.2</v>
      </c>
      <c r="H1543" s="13" t="inlineStr">
        <is>
          <t>Shadows of Sothia (SOS)</t>
        </is>
      </c>
      <c r="I1543" s="13" t="inlineStr">
        <is>
          <t>Sim</t>
        </is>
      </c>
      <c r="J1543" s="13" t="n">
        <v>2026</v>
      </c>
      <c r="K1543" s="10" t="n">
        <v>46082</v>
      </c>
      <c r="L1543" s="13" t="n">
        <v>1</v>
      </c>
      <c r="M1543" s="8">
        <f>L1543*G1543</f>
        <v/>
      </c>
      <c r="P1543" s="9" t="n"/>
    </row>
    <row r="1544">
      <c r="A1544" s="13" t="inlineStr">
        <is>
          <t>Hydroform / Hidroformar</t>
        </is>
      </c>
      <c r="B1544" s="13" t="inlineStr">
        <is>
          <t>Instant / Mágica Instantânea</t>
        </is>
      </c>
      <c r="C1544" s="13" t="inlineStr">
        <is>
          <t>Common / Comum</t>
        </is>
      </c>
      <c r="D1544" s="13" t="inlineStr">
        <is>
          <t>Target land becomes a 3/3 Elemental creature with flying until end of turn. It's still a land. / O terreno alvo torna-se uma criatura do tipo Elemental 3/3 com voar até o final do turno. Ela ainda conta como um terreno.</t>
        </is>
      </c>
      <c r="E1544" s="13" t="inlineStr">
        <is>
          <t>{G}{U}</t>
        </is>
      </c>
      <c r="F1544" s="13" t="inlineStr">
        <is>
          <t>Verde, Azul</t>
        </is>
      </c>
      <c r="G1544" s="8" t="n">
        <v>0.06</v>
      </c>
      <c r="H1544" s="13" t="inlineStr">
        <is>
          <t>Gatecrash (GTC)</t>
        </is>
      </c>
      <c r="I1544" s="13" t="inlineStr">
        <is>
          <t>Não</t>
        </is>
      </c>
      <c r="J1544" s="13" t="n">
        <v>2013</v>
      </c>
      <c r="L1544" s="13" t="n">
        <v>1</v>
      </c>
      <c r="M1544" s="8">
        <f>L1544*G1544</f>
        <v/>
      </c>
      <c r="P1544" s="9" t="n"/>
    </row>
    <row r="1545">
      <c r="A1545" s="13" t="inlineStr">
        <is>
          <t>Hyena Pack / Alcateia de Hienas</t>
        </is>
      </c>
      <c r="B1545" s="13" t="inlineStr">
        <is>
          <t>Creature — Hyena / Criatura — Hiena</t>
        </is>
      </c>
      <c r="C1545" s="13" t="inlineStr">
        <is>
          <t>Common / Comum</t>
        </is>
      </c>
      <c r="E1545" s="13" t="inlineStr">
        <is>
          <t>{2}{R}{R}</t>
        </is>
      </c>
      <c r="F1545" s="13" t="inlineStr">
        <is>
          <t>Vermelho</t>
        </is>
      </c>
      <c r="G1545" s="8" t="n">
        <v>0.03</v>
      </c>
      <c r="H1545" s="13" t="inlineStr">
        <is>
          <t>Amonkhet (AKH)</t>
        </is>
      </c>
      <c r="I1545" s="13" t="inlineStr">
        <is>
          <t>Não</t>
        </is>
      </c>
      <c r="J1545" s="13" t="n">
        <v>2017</v>
      </c>
      <c r="K1545" s="10" t="n">
        <v>46115</v>
      </c>
      <c r="L1545" s="13" t="n">
        <v>4</v>
      </c>
      <c r="M1545" s="8">
        <f>L1545*G1545</f>
        <v/>
      </c>
      <c r="P1545" s="9" t="n"/>
    </row>
    <row r="1546">
      <c r="A1546" s="13" t="inlineStr">
        <is>
          <t>Hymn of the Faller / Hino do Caído</t>
        </is>
      </c>
      <c r="B1546" s="13" t="inlineStr">
        <is>
          <t>Feitiço</t>
        </is>
      </c>
      <c r="C1546" s="13" t="inlineStr">
        <is>
          <t>Incomum</t>
        </is>
      </c>
      <c r="D1546" s="13"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1546" s="13" t="inlineStr">
        <is>
          <t>1{B}</t>
        </is>
      </c>
      <c r="F1546" s="13" t="inlineStr">
        <is>
          <t>Preto</t>
        </is>
      </c>
      <c r="G1546" s="8" t="n">
        <v>0.2</v>
      </c>
      <c r="H1546" s="13" t="inlineStr">
        <is>
          <t>Edge of Eternity</t>
        </is>
      </c>
      <c r="I1546" s="13" t="inlineStr">
        <is>
          <t>Não</t>
        </is>
      </c>
      <c r="J1546" s="13" t="n">
        <v>2025</v>
      </c>
      <c r="L1546" s="13" t="n">
        <v>2</v>
      </c>
      <c r="M1546" s="8">
        <f>L1546*G1546</f>
        <v/>
      </c>
      <c r="P1546" s="9" t="n"/>
    </row>
    <row r="1547">
      <c r="A1547" s="13" t="inlineStr">
        <is>
          <t>Hypothesizzle / Hipótese Fulminante</t>
        </is>
      </c>
      <c r="B1547" s="13" t="inlineStr">
        <is>
          <t>Instant / Mágica Instantânea</t>
        </is>
      </c>
      <c r="C1547" s="13" t="inlineStr">
        <is>
          <t>Uncommon / Incomum</t>
        </is>
      </c>
      <c r="D1547" s="13"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547" s="13" t="inlineStr">
        <is>
          <t>{3}{U}{R}</t>
        </is>
      </c>
      <c r="F1547" s="13" t="inlineStr">
        <is>
          <t>Vermelho, Azul</t>
        </is>
      </c>
      <c r="G1547" s="8" t="n">
        <v>0.1</v>
      </c>
      <c r="H1547" s="13" t="inlineStr">
        <is>
          <t>Breaking News (OTP)</t>
        </is>
      </c>
      <c r="I1547" s="13" t="inlineStr">
        <is>
          <t>Não</t>
        </is>
      </c>
      <c r="J1547" s="13" t="n">
        <v>2024</v>
      </c>
      <c r="L1547" s="13" t="n">
        <v>1</v>
      </c>
      <c r="M1547" s="8">
        <f>L1547*G1547</f>
        <v/>
      </c>
      <c r="P1547" s="9" t="n"/>
    </row>
    <row r="1548">
      <c r="A1548" s="13" t="inlineStr">
        <is>
          <t>Hyrax Tower Scout / Batedora da Torre de Hírax</t>
        </is>
      </c>
      <c r="B1548" s="13" t="inlineStr">
        <is>
          <t>Creature — Human Scout / Criatura — Humano Batedor</t>
        </is>
      </c>
      <c r="C1548" s="13" t="inlineStr">
        <is>
          <t>Common / Comum</t>
        </is>
      </c>
      <c r="D1548" s="13" t="inlineStr">
        <is>
          <t>When this creature enters, untap target creature. / Quando Batedora da Torre de Hírax entrar no campo de batalha, desvire a criatura alvo.</t>
        </is>
      </c>
      <c r="E1548" s="13" t="inlineStr">
        <is>
          <t>{2}{G}</t>
        </is>
      </c>
      <c r="F1548" s="13" t="inlineStr">
        <is>
          <t>Verde</t>
        </is>
      </c>
      <c r="G1548" s="8" t="n">
        <v>0.36</v>
      </c>
      <c r="H1548" s="13" t="inlineStr">
        <is>
          <t>Theros Beyond Death (THB)</t>
        </is>
      </c>
      <c r="I1548" s="13" t="inlineStr">
        <is>
          <t>Sim</t>
        </is>
      </c>
      <c r="J1548" s="13" t="n">
        <v>2020</v>
      </c>
      <c r="K1548" s="10" t="n">
        <v>46084</v>
      </c>
      <c r="L1548" s="13" t="n">
        <v>1</v>
      </c>
      <c r="M1548" s="8">
        <f>L1548*G1548</f>
        <v/>
      </c>
      <c r="P1548" s="9" t="n"/>
    </row>
    <row r="1549">
      <c r="A1549" s="13" t="inlineStr">
        <is>
          <t>I Am Iron Man / Eu Sou o Homem de Ferro</t>
        </is>
      </c>
      <c r="B1549" s="13" t="inlineStr">
        <is>
          <t>Mágica Instantânea</t>
        </is>
      </c>
      <c r="C1549" s="13" t="inlineStr">
        <is>
          <t>Comum</t>
        </is>
      </c>
      <c r="D1549" s="13" t="inlineStr">
        <is>
          <t>Até o final do turno, o artefato ou criatura alvo torna-se uma criatura artefato com poder e resistência básicos 4/4 e ganha voar. Compre um card.</t>
        </is>
      </c>
      <c r="E1549" s="13" t="inlineStr">
        <is>
          <t>2{U}</t>
        </is>
      </c>
      <c r="F1549" s="13" t="inlineStr">
        <is>
          <t>Azul</t>
        </is>
      </c>
      <c r="G1549" s="8" t="n">
        <v>0.13</v>
      </c>
      <c r="H1549" s="13" t="inlineStr">
        <is>
          <t>Marvel</t>
        </is>
      </c>
      <c r="I1549" s="13" t="inlineStr">
        <is>
          <t>Não</t>
        </is>
      </c>
      <c r="J1549" s="13" t="n">
        <v>2026</v>
      </c>
      <c r="L1549" s="13" t="n">
        <v>1</v>
      </c>
      <c r="M1549" s="8">
        <f>L1549*G1549</f>
        <v/>
      </c>
      <c r="P1549" s="9" t="n"/>
    </row>
    <row r="1550">
      <c r="A1550" s="13" t="inlineStr">
        <is>
          <t>Ib Halfheart, Goblin Tactician / Ib Meio-coração, Tático Goblin</t>
        </is>
      </c>
      <c r="B1550" s="13" t="inlineStr">
        <is>
          <t>Legendary Creature — Goblin Advisor / Criatura Lendária — Goblin Conselheiro</t>
        </is>
      </c>
      <c r="C1550" s="13" t="inlineStr">
        <is>
          <t>Rare / Rara</t>
        </is>
      </c>
      <c r="D1550" s="13"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550" s="13" t="inlineStr">
        <is>
          <t>{3}{R}</t>
        </is>
      </c>
      <c r="F1550" s="13" t="inlineStr">
        <is>
          <t>Vermelho</t>
        </is>
      </c>
      <c r="G1550" s="8" t="n">
        <v>1.66</v>
      </c>
      <c r="H1550" s="13" t="inlineStr">
        <is>
          <t>Time Spiral (TSP)</t>
        </is>
      </c>
      <c r="I1550" s="13" t="inlineStr">
        <is>
          <t>Não</t>
        </is>
      </c>
      <c r="J1550" s="13" t="n">
        <v>2006</v>
      </c>
      <c r="K1550" s="10" t="n">
        <v>46056</v>
      </c>
      <c r="L1550" s="13" t="n">
        <v>1</v>
      </c>
      <c r="M1550" s="8">
        <f>L1550*G1550</f>
        <v/>
      </c>
      <c r="P1550" s="9" t="n"/>
    </row>
    <row r="1551">
      <c r="A1551" s="13" t="inlineStr">
        <is>
          <t>Icatian Infantry / Infantaria Icatiana</t>
        </is>
      </c>
      <c r="B1551" s="13" t="inlineStr">
        <is>
          <t>Creature — Soldiers / Criatura — Soldados</t>
        </is>
      </c>
      <c r="C1551" s="13" t="inlineStr">
        <is>
          <t>Common / Comum</t>
        </is>
      </c>
      <c r="D1551" s="13" t="inlineStr">
        <is>
          <t>{1}: Bands until end of turn. {1}: First strike until end of turn. / {1}: Forma bandos até o final do turno. {1}: Iniciativa até o final do turno.</t>
        </is>
      </c>
      <c r="E1551" s="13" t="inlineStr">
        <is>
          <t>{W}</t>
        </is>
      </c>
      <c r="F1551" s="13" t="inlineStr">
        <is>
          <t>Branco</t>
        </is>
      </c>
      <c r="G1551" s="8" t="n">
        <v>0.18</v>
      </c>
      <c r="H1551" s="13" t="inlineStr">
        <is>
          <t>Fallen Empires (FEM)</t>
        </is>
      </c>
      <c r="I1551" s="13" t="inlineStr">
        <is>
          <t>No</t>
        </is>
      </c>
      <c r="J1551" s="13" t="n">
        <v>1994</v>
      </c>
      <c r="K1551" s="10" t="n">
        <v>46023</v>
      </c>
      <c r="L1551" s="13" t="n">
        <v>1</v>
      </c>
      <c r="M1551" s="8">
        <f>L1551*G1551</f>
        <v/>
      </c>
      <c r="P1551" s="9" t="n"/>
    </row>
    <row r="1552">
      <c r="A1552" s="13" t="inlineStr">
        <is>
          <t>Icatian Scout / Explorador Icatiano</t>
        </is>
      </c>
      <c r="B1552" s="13" t="inlineStr">
        <is>
          <t>Creature — Soldier / Criatura — Soldado</t>
        </is>
      </c>
      <c r="C1552" s="13" t="inlineStr">
        <is>
          <t>Common / Comum</t>
        </is>
      </c>
      <c r="D1552" s="13" t="inlineStr">
        <is>
          <t>{1}, {T}: Target creature gains first strike until end of turn. / {1}, {T}: A criatura alvo ganha iniciativa até o final do turno.</t>
        </is>
      </c>
      <c r="E1552" s="13" t="inlineStr">
        <is>
          <t>{W}</t>
        </is>
      </c>
      <c r="F1552" s="13" t="inlineStr">
        <is>
          <t>Branco</t>
        </is>
      </c>
      <c r="G1552" s="8" t="n">
        <v>0.25</v>
      </c>
      <c r="H1552" s="13" t="inlineStr">
        <is>
          <t>Fallen Empires (FEM)</t>
        </is>
      </c>
      <c r="I1552" s="13" t="inlineStr">
        <is>
          <t>No</t>
        </is>
      </c>
      <c r="J1552" s="13" t="n">
        <v>1994</v>
      </c>
      <c r="K1552" s="10" t="n">
        <v>46023</v>
      </c>
      <c r="L1552" s="13" t="n">
        <v>1</v>
      </c>
      <c r="M1552" s="8">
        <f>L1552*G1552</f>
        <v/>
      </c>
      <c r="P1552" s="9" t="n"/>
    </row>
    <row r="1553">
      <c r="A1553" s="13" t="inlineStr">
        <is>
          <t>Ice Cream Kitty</t>
        </is>
      </c>
      <c r="B1553" s="13" t="inlineStr">
        <is>
          <t>Artifact Creature — Food Cat Mutant</t>
        </is>
      </c>
      <c r="C1553" s="13" t="inlineStr">
        <is>
          <t>Common / Comum</t>
        </is>
      </c>
      <c r="D1553" s="13" t="inlineStr">
        <is>
          <t>{2}, Sacrifice another creature or token: Draw a card. Activate only as a sorcery. {2}, {T}, Sacrifice this creature: You gain 3 life.</t>
        </is>
      </c>
      <c r="E1553" s="13" t="inlineStr">
        <is>
          <t>{1}{B/G}</t>
        </is>
      </c>
      <c r="F1553" s="13" t="inlineStr">
        <is>
          <t>Preto, Verde</t>
        </is>
      </c>
      <c r="G1553" s="8" t="n">
        <v>0.14</v>
      </c>
      <c r="H1553" s="13" t="inlineStr">
        <is>
          <t>Teenage Mutant Ninja Turtles (TMT)</t>
        </is>
      </c>
      <c r="I1553" s="13" t="inlineStr">
        <is>
          <t>Não</t>
        </is>
      </c>
      <c r="J1553" s="13" t="n">
        <v>2026</v>
      </c>
      <c r="K1553" s="10" t="n">
        <v>46082</v>
      </c>
      <c r="L1553" s="13" t="n">
        <v>3</v>
      </c>
      <c r="M1553" s="8">
        <f>L1553*G1553</f>
        <v/>
      </c>
      <c r="P1553" s="9" t="n"/>
    </row>
    <row r="1554">
      <c r="A1554" s="13" t="inlineStr">
        <is>
          <t>Ice Flan / Pudim de Gelo</t>
        </is>
      </c>
      <c r="B1554" s="13" t="inlineStr">
        <is>
          <t>Criatura — Elemental Geléia</t>
        </is>
      </c>
      <c r="C1554" s="13" t="inlineStr">
        <is>
          <t>Comum</t>
        </is>
      </c>
      <c r="D1554" s="13"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1554" s="13" t="inlineStr">
        <is>
          <t>4{U}{U}</t>
        </is>
      </c>
      <c r="F1554" s="13" t="inlineStr">
        <is>
          <t>Azul</t>
        </is>
      </c>
      <c r="G1554" s="8" t="n">
        <v>0.05</v>
      </c>
      <c r="H1554" s="13" t="inlineStr">
        <is>
          <t>Final Fantasy</t>
        </is>
      </c>
      <c r="I1554" s="13" t="inlineStr">
        <is>
          <t>Não</t>
        </is>
      </c>
      <c r="J1554" s="13" t="n">
        <v>2025</v>
      </c>
      <c r="K1554" s="10" t="n">
        <v>46117</v>
      </c>
      <c r="L1554" s="13" t="n">
        <v>7</v>
      </c>
      <c r="M1554" s="8">
        <f>L1554*G1554</f>
        <v/>
      </c>
      <c r="P1554" s="9" t="n"/>
    </row>
    <row r="1555">
      <c r="A1555" s="13" t="inlineStr">
        <is>
          <t>Ice Flan / Pudim de Gelo</t>
        </is>
      </c>
      <c r="B1555" s="13" t="inlineStr">
        <is>
          <t>Criatura — Elemental Geléia</t>
        </is>
      </c>
      <c r="C1555" s="13" t="inlineStr">
        <is>
          <t>Comum</t>
        </is>
      </c>
      <c r="D1555" s="13"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1555" s="13" t="inlineStr">
        <is>
          <t>4{U}{U}</t>
        </is>
      </c>
      <c r="F1555" s="13" t="inlineStr">
        <is>
          <t>Azul</t>
        </is>
      </c>
      <c r="G1555" s="8" t="n">
        <v>0.24</v>
      </c>
      <c r="H1555" s="13" t="inlineStr">
        <is>
          <t>Final Fantasy</t>
        </is>
      </c>
      <c r="I1555" s="13" t="inlineStr">
        <is>
          <t>Sim</t>
        </is>
      </c>
      <c r="J1555" s="13" t="n">
        <v>2025</v>
      </c>
      <c r="K1555" s="10" t="n">
        <v>46117</v>
      </c>
      <c r="L1555" s="13" t="n">
        <v>2</v>
      </c>
      <c r="M1555" s="8">
        <f>L1555*G1555</f>
        <v/>
      </c>
      <c r="P1555" s="9" t="n"/>
    </row>
    <row r="1556">
      <c r="A1556" s="13" t="inlineStr">
        <is>
          <t>Ice Magic / Magia de Gelo</t>
        </is>
      </c>
      <c r="B1556" s="13" t="inlineStr">
        <is>
          <t>Mágica Instantânea</t>
        </is>
      </c>
      <c r="C1556" s="13" t="inlineStr">
        <is>
          <t>Comum</t>
        </is>
      </c>
      <c r="D1556" s="13"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1556" s="13" t="inlineStr">
        <is>
          <t>1{U}</t>
        </is>
      </c>
      <c r="F1556" s="13" t="inlineStr">
        <is>
          <t>Azul</t>
        </is>
      </c>
      <c r="G1556" s="8" t="n">
        <v>0.1</v>
      </c>
      <c r="H1556" s="13" t="inlineStr">
        <is>
          <t>Final Fantasy</t>
        </is>
      </c>
      <c r="I1556" s="13" t="inlineStr">
        <is>
          <t>Não</t>
        </is>
      </c>
      <c r="J1556" s="13" t="n">
        <v>2025</v>
      </c>
      <c r="L1556" s="13" t="n">
        <v>8</v>
      </c>
      <c r="M1556" s="8">
        <f>L1556*G1556</f>
        <v/>
      </c>
      <c r="P1556" s="9" t="n"/>
    </row>
    <row r="1557">
      <c r="A1557" s="13" t="inlineStr">
        <is>
          <t>Ice Magic / Magia de Gelo</t>
        </is>
      </c>
      <c r="B1557" s="13" t="inlineStr">
        <is>
          <t>Mágica Instantânea</t>
        </is>
      </c>
      <c r="C1557" s="13" t="inlineStr">
        <is>
          <t>Comum</t>
        </is>
      </c>
      <c r="D1557" s="13"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1557" s="13" t="inlineStr">
        <is>
          <t>1{U}</t>
        </is>
      </c>
      <c r="F1557" s="13" t="inlineStr">
        <is>
          <t>Azul</t>
        </is>
      </c>
      <c r="G1557" s="8" t="n">
        <v>0.4</v>
      </c>
      <c r="H1557" s="13" t="inlineStr">
        <is>
          <t>Final Fantasy</t>
        </is>
      </c>
      <c r="I1557" s="13" t="inlineStr">
        <is>
          <t>Sim</t>
        </is>
      </c>
      <c r="J1557" s="13" t="n">
        <v>2025</v>
      </c>
      <c r="L1557" s="13" t="n">
        <v>1</v>
      </c>
      <c r="M1557" s="8">
        <f>L1557*G1557</f>
        <v/>
      </c>
      <c r="P1557" s="9" t="n"/>
    </row>
    <row r="1558">
      <c r="A1558" s="13" t="inlineStr">
        <is>
          <t>Ichor Slick / Gosma Icorídia</t>
        </is>
      </c>
      <c r="B1558" s="13" t="inlineStr">
        <is>
          <t>Sorcery / Feitiço</t>
        </is>
      </c>
      <c r="C1558" s="13" t="inlineStr">
        <is>
          <t>Common / Comum</t>
        </is>
      </c>
      <c r="D1558" s="13"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1558" s="13" t="inlineStr">
        <is>
          <t>{2}{B}</t>
        </is>
      </c>
      <c r="F1558" s="13" t="inlineStr">
        <is>
          <t>Preto</t>
        </is>
      </c>
      <c r="G1558" s="8" t="n">
        <v>0.07000000000000001</v>
      </c>
      <c r="H1558" s="13" t="inlineStr">
        <is>
          <t>Dominaria Remastered (DMR)</t>
        </is>
      </c>
      <c r="I1558" s="13" t="inlineStr">
        <is>
          <t>Não</t>
        </is>
      </c>
      <c r="J1558" s="13" t="n">
        <v>2023</v>
      </c>
      <c r="L1558" s="13" t="n">
        <v>1</v>
      </c>
      <c r="M1558" s="8">
        <f>L1558*G1558</f>
        <v/>
      </c>
      <c r="P1558" s="9" t="n"/>
    </row>
    <row r="1559">
      <c r="A1559" s="13" t="inlineStr">
        <is>
          <t>Icy Manipulator / Manipulador Gélido</t>
        </is>
      </c>
      <c r="B1559" s="13" t="inlineStr">
        <is>
          <t>Artifact / Artefato</t>
        </is>
      </c>
      <c r="C1559" s="13" t="inlineStr">
        <is>
          <t>Uncommon / Incomum</t>
        </is>
      </c>
      <c r="D1559" s="13" t="inlineStr">
        <is>
          <t>{1}, {T}: Tap target artifact, creature, or land. / {1}, {T}: Vire o artefato, a criatura ou o terreno alvo.</t>
        </is>
      </c>
      <c r="E1559" s="13" t="inlineStr">
        <is>
          <t>{4}</t>
        </is>
      </c>
      <c r="F1559" s="13" t="inlineStr">
        <is>
          <t>Incolor</t>
        </is>
      </c>
      <c r="G1559" s="8" t="n">
        <v>0.34</v>
      </c>
      <c r="H1559" s="13" t="inlineStr">
        <is>
          <t>Ice Age (ICE)</t>
        </is>
      </c>
      <c r="I1559" s="13" t="inlineStr">
        <is>
          <t>Não</t>
        </is>
      </c>
      <c r="J1559" s="13" t="n">
        <v>1995</v>
      </c>
      <c r="L1559" s="13" t="n">
        <v>1</v>
      </c>
      <c r="M1559" s="8">
        <f>L1559*G1559</f>
        <v/>
      </c>
      <c r="P1559" s="9" t="n"/>
    </row>
    <row r="1560">
      <c r="A1560" s="13" t="inlineStr">
        <is>
          <t>Ignis Scientia / Ignis Scientia</t>
        </is>
      </c>
      <c r="B1560" s="13" t="inlineStr">
        <is>
          <t>Criatura Lendária — Humano Conselheiro</t>
        </is>
      </c>
      <c r="C1560" s="13" t="inlineStr">
        <is>
          <t>Incomum</t>
        </is>
      </c>
      <c r="D1560" s="13"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1560" s="13" t="inlineStr">
        <is>
          <t>1{G}{U}</t>
        </is>
      </c>
      <c r="F1560" s="13" t="inlineStr">
        <is>
          <t>Multicolorido (Verde/Azul)</t>
        </is>
      </c>
      <c r="G1560" s="8" t="n">
        <v>0.19</v>
      </c>
      <c r="H1560" s="13" t="inlineStr">
        <is>
          <t>Final Fantasy</t>
        </is>
      </c>
      <c r="I1560" s="13" t="inlineStr">
        <is>
          <t>Não</t>
        </is>
      </c>
      <c r="J1560" s="13" t="n">
        <v>2025</v>
      </c>
      <c r="K1560" s="10" t="n">
        <v>46055</v>
      </c>
      <c r="L1560" s="13" t="n">
        <v>1</v>
      </c>
      <c r="M1560" s="8">
        <f>L1560*G1560</f>
        <v/>
      </c>
      <c r="P1560" s="9" t="n"/>
    </row>
    <row r="1561">
      <c r="A1561" s="13" t="inlineStr">
        <is>
          <t>Iguana Parrot</t>
        </is>
      </c>
      <c r="B1561" s="13" t="inlineStr">
        <is>
          <t>Creature — Lizard Bird Pirate</t>
        </is>
      </c>
      <c r="C1561" s="13" t="inlineStr">
        <is>
          <t>Common / Comum</t>
        </is>
      </c>
      <c r="D1561" s="13" t="inlineStr">
        <is>
          <t>Flying, vigilance Prowess (Whenever you cast a noncreature spell, this creature gets +1/+1 until end of turn.)</t>
        </is>
      </c>
      <c r="E1561" s="13" t="inlineStr">
        <is>
          <t>{2}{U}</t>
        </is>
      </c>
      <c r="F1561" s="13" t="inlineStr">
        <is>
          <t>Azul</t>
        </is>
      </c>
      <c r="G1561" s="8" t="n">
        <v>0.07000000000000001</v>
      </c>
      <c r="H1561" s="13" t="inlineStr">
        <is>
          <t>Avatar: The Last Airbender (TLA)</t>
        </is>
      </c>
      <c r="I1561" s="13" t="inlineStr">
        <is>
          <t>Não</t>
        </is>
      </c>
      <c r="J1561" s="13" t="n">
        <v>2025</v>
      </c>
      <c r="K1561" s="10" t="n">
        <v>46055</v>
      </c>
      <c r="L1561" s="13" t="n">
        <v>2</v>
      </c>
      <c r="M1561" s="8">
        <f>L1561*G1561</f>
        <v/>
      </c>
      <c r="P1561" s="9" t="n"/>
    </row>
    <row r="1562">
      <c r="A1562" s="13" t="inlineStr">
        <is>
          <t>Ihsan's Shade / A Sombra de Ihsan</t>
        </is>
      </c>
      <c r="B1562" s="13" t="inlineStr">
        <is>
          <t>Legendary Creature — Shade Knight</t>
        </is>
      </c>
      <c r="C1562" s="13" t="inlineStr">
        <is>
          <t>Uncommon / Incomum</t>
        </is>
      </c>
      <c r="D1562" s="13" t="inlineStr">
        <is>
          <t>Protection from white</t>
        </is>
      </c>
      <c r="E1562" s="13" t="inlineStr">
        <is>
          <t>{3}{B}{B}{B}</t>
        </is>
      </c>
      <c r="F1562" s="13" t="inlineStr">
        <is>
          <t>Preto</t>
        </is>
      </c>
      <c r="G1562" s="8" t="n">
        <v>0.45</v>
      </c>
      <c r="H1562" s="13" t="inlineStr">
        <is>
          <t>Homelands (HML)</t>
        </is>
      </c>
      <c r="I1562" s="13" t="inlineStr">
        <is>
          <t>Não</t>
        </is>
      </c>
      <c r="J1562" s="13" t="n">
        <v>1995</v>
      </c>
      <c r="K1562" s="10" t="n">
        <v>46147</v>
      </c>
      <c r="L1562" s="13" t="n">
        <v>1</v>
      </c>
      <c r="M1562" s="8">
        <f>L1562*G1562</f>
        <v/>
      </c>
      <c r="P1562" s="9" t="n"/>
    </row>
    <row r="1563">
      <c r="A1563" s="13" t="inlineStr">
        <is>
          <t>Il Mheg Pixie</t>
        </is>
      </c>
      <c r="B1563" s="13" t="inlineStr">
        <is>
          <t>Creature — Faerie</t>
        </is>
      </c>
      <c r="C1563" s="13" t="inlineStr">
        <is>
          <t>Incomum</t>
        </is>
      </c>
      <c r="D1563" s="13" t="inlineStr">
        <is>
          <t>Flying Whenever this creature attacks, surveil 1. (Look at the top card of your library. You may put it into your graveyard.)</t>
        </is>
      </c>
      <c r="E1563" s="13" t="inlineStr">
        <is>
          <t>1U</t>
        </is>
      </c>
      <c r="F1563" s="13" t="inlineStr">
        <is>
          <t>Azul</t>
        </is>
      </c>
      <c r="G1563" s="8" t="n">
        <v>0.05</v>
      </c>
      <c r="H1563" s="13" t="inlineStr">
        <is>
          <t>Final Fantasy (FFXIV)</t>
        </is>
      </c>
      <c r="I1563" s="13" t="inlineStr">
        <is>
          <t>Não</t>
        </is>
      </c>
      <c r="J1563" s="13" t="n">
        <v>2025</v>
      </c>
      <c r="K1563" s="10" t="n">
        <v>46024</v>
      </c>
      <c r="L1563" s="13" t="n">
        <v>2</v>
      </c>
      <c r="M1563" s="8">
        <f>L1563*G1563</f>
        <v/>
      </c>
      <c r="P1563" s="9" t="n"/>
    </row>
    <row r="1564">
      <c r="A1564" s="13" t="inlineStr">
        <is>
          <t>Illegitimate Business</t>
        </is>
      </c>
      <c r="B1564" s="13" t="inlineStr">
        <is>
          <t>Land</t>
        </is>
      </c>
      <c r="C1564" s="13" t="inlineStr">
        <is>
          <t>Common / Comum</t>
        </is>
      </c>
      <c r="D1564" s="13" t="inlineStr">
        <is>
          <t>This land enters tapped. When this land enters, you gain 1 life. {T}: Add {B} or {G}.</t>
        </is>
      </c>
      <c r="F1564" s="13" t="inlineStr">
        <is>
          <t>Preto, Verde</t>
        </is>
      </c>
      <c r="G1564" s="8" t="n">
        <v>0.22</v>
      </c>
      <c r="H1564" s="13" t="inlineStr">
        <is>
          <t>Teenage Mutant Ninja Turtles (TMT)</t>
        </is>
      </c>
      <c r="I1564" s="13" t="inlineStr">
        <is>
          <t>Sim</t>
        </is>
      </c>
      <c r="J1564" s="13" t="n">
        <v>2026</v>
      </c>
      <c r="L1564" s="13" t="n">
        <v>1</v>
      </c>
      <c r="M1564" s="8">
        <f>L1564*G1564</f>
        <v/>
      </c>
      <c r="P1564" s="9" t="n"/>
    </row>
    <row r="1565">
      <c r="A1565" s="13" t="inlineStr">
        <is>
          <t>Illusion Spinners</t>
        </is>
      </c>
      <c r="B1565" s="13" t="inlineStr">
        <is>
          <t>Creature — Faerie Wizard</t>
        </is>
      </c>
      <c r="C1565" s="13" t="inlineStr">
        <is>
          <t>Uncommon</t>
        </is>
      </c>
      <c r="D1565" s="13" t="inlineStr">
        <is>
          <t>You may cast this spell as though it had flash if you control a Faerie. Flying. This creature has hexproof as long as it's untapped. (It can't be the target of spells or abilities your opponents control.)</t>
        </is>
      </c>
      <c r="E1565" s="13" t="inlineStr">
        <is>
          <t>{4}{U}</t>
        </is>
      </c>
      <c r="F1565" s="13" t="inlineStr">
        <is>
          <t>Azul</t>
        </is>
      </c>
      <c r="G1565" s="8" t="n">
        <v>0.05</v>
      </c>
      <c r="H1565" s="13" t="inlineStr">
        <is>
          <t>Lorwyn Eclipsed (ECL)</t>
        </is>
      </c>
      <c r="I1565" s="13" t="inlineStr">
        <is>
          <t>Não</t>
        </is>
      </c>
      <c r="J1565" s="13" t="n">
        <v>2026</v>
      </c>
      <c r="K1565" s="10" t="n">
        <v>46085</v>
      </c>
      <c r="L1565" s="13" t="n">
        <v>1</v>
      </c>
      <c r="M1565" s="8">
        <f>L1565*G1565</f>
        <v/>
      </c>
      <c r="P1565" s="9" t="n"/>
    </row>
    <row r="1566">
      <c r="A1566" s="13" t="inlineStr">
        <is>
          <t>Illvoi Light Jammer / Bloqueador de Luz de Illvoi</t>
        </is>
      </c>
      <c r="B1566" s="13" t="inlineStr">
        <is>
          <t>Artefato — Equipamento</t>
        </is>
      </c>
      <c r="C1566" s="13" t="inlineStr">
        <is>
          <t>Comum</t>
        </is>
      </c>
      <c r="D1566" s="13"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1566" s="13" t="inlineStr">
        <is>
          <t>1{U}</t>
        </is>
      </c>
      <c r="F1566" s="13" t="inlineStr">
        <is>
          <t>Azul</t>
        </is>
      </c>
      <c r="G1566" s="8" t="n">
        <v>0.05</v>
      </c>
      <c r="H1566" s="13" t="inlineStr">
        <is>
          <t>Edge of Eternity</t>
        </is>
      </c>
      <c r="I1566" s="13" t="inlineStr">
        <is>
          <t>Não</t>
        </is>
      </c>
      <c r="J1566" s="13" t="n">
        <v>2025</v>
      </c>
      <c r="L1566" s="13" t="n">
        <v>1</v>
      </c>
      <c r="M1566" s="8">
        <f>L1566*G1566</f>
        <v/>
      </c>
      <c r="P1566" s="9" t="n"/>
    </row>
    <row r="1567">
      <c r="A1567" s="13" t="inlineStr">
        <is>
          <t>Ilysian Caryatid / Cariátide Ilisiana</t>
        </is>
      </c>
      <c r="B1567" s="13" t="inlineStr">
        <is>
          <t>Creature — Plant / Criatura — Planta</t>
        </is>
      </c>
      <c r="C1567" s="13" t="inlineStr">
        <is>
          <t>Common / Comum</t>
        </is>
      </c>
      <c r="D1567" s="13"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1567" s="13" t="inlineStr">
        <is>
          <t>{1}{G}</t>
        </is>
      </c>
      <c r="F1567" s="13" t="inlineStr">
        <is>
          <t>Verde</t>
        </is>
      </c>
      <c r="G1567" s="8" t="n">
        <v>0.41</v>
      </c>
      <c r="H1567" s="13" t="inlineStr">
        <is>
          <t>Jumpstart 2022 (J22)</t>
        </is>
      </c>
      <c r="I1567" s="13" t="inlineStr">
        <is>
          <t>Não</t>
        </is>
      </c>
      <c r="J1567" s="13" t="n">
        <v>2022</v>
      </c>
      <c r="K1567" s="10" t="n">
        <v>46023</v>
      </c>
      <c r="L1567" s="13" t="n">
        <v>1</v>
      </c>
      <c r="M1567" s="8">
        <f>L1567*G1567</f>
        <v/>
      </c>
      <c r="P1567" s="9" t="n"/>
    </row>
    <row r="1568">
      <c r="A1568" s="13" t="inlineStr">
        <is>
          <t>Immolation / Imolação</t>
        </is>
      </c>
      <c r="B1568" s="13" t="inlineStr">
        <is>
          <t>Enchantment — Aura / Encantar Criatura</t>
        </is>
      </c>
      <c r="C1568" s="13" t="inlineStr">
        <is>
          <t>Common / Comum</t>
        </is>
      </c>
      <c r="D1568" s="13" t="inlineStr">
        <is>
          <t>Enchant creature Enchanted creature gets +2/-2. / A criatura-alvo ganha +2/-2.</t>
        </is>
      </c>
      <c r="E1568" s="13" t="inlineStr">
        <is>
          <t>{R}</t>
        </is>
      </c>
      <c r="F1568" s="13" t="inlineStr">
        <is>
          <t>Vermelho</t>
        </is>
      </c>
      <c r="G1568" s="8" t="n">
        <v>0.15</v>
      </c>
      <c r="H1568" s="13" t="inlineStr">
        <is>
          <t>Fourth Edition (4ED)</t>
        </is>
      </c>
      <c r="I1568" s="13" t="inlineStr">
        <is>
          <t>Não</t>
        </is>
      </c>
      <c r="J1568" s="13" t="n">
        <v>1995</v>
      </c>
      <c r="L1568" s="13" t="n">
        <v>3</v>
      </c>
      <c r="M1568" s="8">
        <f>L1568*G1568</f>
        <v/>
      </c>
      <c r="P1568" s="9" t="n"/>
    </row>
    <row r="1569">
      <c r="A1569" s="13" t="inlineStr">
        <is>
          <t>Imodane, the Pyrohammer / Imodane, a Piromartelo</t>
        </is>
      </c>
      <c r="B1569" s="13" t="inlineStr">
        <is>
          <t>Legendary Creature — Human Knight / Criatura Lendária — Humano Cavaleiro</t>
        </is>
      </c>
      <c r="C1569" s="13" t="inlineStr">
        <is>
          <t>Rare / Rara</t>
        </is>
      </c>
      <c r="D1569" s="13"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1569" s="13" t="inlineStr">
        <is>
          <t>{2}{R}{R}</t>
        </is>
      </c>
      <c r="F1569" s="13" t="inlineStr">
        <is>
          <t>Vermelho</t>
        </is>
      </c>
      <c r="G1569" s="8" t="n">
        <v>0.75</v>
      </c>
      <c r="H1569" s="13" t="inlineStr">
        <is>
          <t>Wilds of Eldraine (WOE)</t>
        </is>
      </c>
      <c r="I1569" s="13" t="inlineStr">
        <is>
          <t>Não</t>
        </is>
      </c>
      <c r="J1569" s="13" t="n">
        <v>2023</v>
      </c>
      <c r="K1569" s="10" t="n">
        <v>46116</v>
      </c>
      <c r="L1569" s="13" t="n">
        <v>1</v>
      </c>
      <c r="M1569" s="8">
        <f>L1569*G1569</f>
        <v/>
      </c>
      <c r="P1569" s="9" t="n"/>
    </row>
    <row r="1570">
      <c r="A1570" s="13" t="inlineStr">
        <is>
          <t>Imodane's Recruiter // Train Troops / Recrutador de Imodane // Treinar Tropas</t>
        </is>
      </c>
      <c r="B1570" s="13" t="inlineStr">
        <is>
          <t>Creature — Human Knight // Sorcery — Adventure / Criatura — Humano Cavaleiro</t>
        </is>
      </c>
      <c r="C1570" s="13" t="inlineStr">
        <is>
          <t>Uncommon / Incomum</t>
        </is>
      </c>
      <c r="D1570" s="13"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1570" s="13" t="inlineStr">
        <is>
          <t>{2}{R} // {4}{W}</t>
        </is>
      </c>
      <c r="F1570" s="13" t="inlineStr">
        <is>
          <t>Vermelho</t>
        </is>
      </c>
      <c r="G1570" s="8" t="n">
        <v>0.1</v>
      </c>
      <c r="H1570" s="13" t="inlineStr">
        <is>
          <t>Wilds of Eldraine (WOE)</t>
        </is>
      </c>
      <c r="I1570" s="13" t="inlineStr">
        <is>
          <t>Não</t>
        </is>
      </c>
      <c r="J1570" s="13" t="n">
        <v>2023</v>
      </c>
      <c r="K1570" s="10" t="n">
        <v>46055</v>
      </c>
      <c r="L1570" s="13" t="n">
        <v>1</v>
      </c>
      <c r="M1570" s="8">
        <f>L1570*G1570</f>
        <v/>
      </c>
      <c r="P1570" s="9" t="n"/>
    </row>
    <row r="1571">
      <c r="A1571" s="13" t="inlineStr">
        <is>
          <t>Imperial Subduer / Subjugadora Imperial</t>
        </is>
      </c>
      <c r="B1571" s="13" t="inlineStr">
        <is>
          <t>Creature — Human Samurai / Criatura — Humano Samurai</t>
        </is>
      </c>
      <c r="C1571" s="13" t="inlineStr">
        <is>
          <t>Common / Comum</t>
        </is>
      </c>
      <c r="D1571" s="13" t="inlineStr">
        <is>
          <t>Whenever a Samurai or Warrior you control attacks alone, tap target creature you don't control. / Toda vez que um Samurai ou Guerreiro que você controla atacar sozinho, vire a criatura alvo que você não controla.</t>
        </is>
      </c>
      <c r="E1571" s="13" t="inlineStr">
        <is>
          <t>{2}{W}</t>
        </is>
      </c>
      <c r="F1571" s="13" t="inlineStr">
        <is>
          <t>Branco</t>
        </is>
      </c>
      <c r="G1571" s="8" t="n">
        <v>0.06</v>
      </c>
      <c r="H1571" s="13" t="inlineStr">
        <is>
          <t>Kamigawa: Neon Dynasty (NEO)</t>
        </is>
      </c>
      <c r="I1571" s="13" t="inlineStr">
        <is>
          <t>Não</t>
        </is>
      </c>
      <c r="J1571" s="13" t="n">
        <v>2022</v>
      </c>
      <c r="K1571" s="10" t="n">
        <v>46056</v>
      </c>
      <c r="L1571" s="13" t="n">
        <v>2</v>
      </c>
      <c r="M1571" s="8">
        <f>L1571*G1571</f>
        <v/>
      </c>
      <c r="P1571" s="9" t="n"/>
    </row>
    <row r="1572">
      <c r="A1572" s="13" t="inlineStr">
        <is>
          <t>Imperial Subduer / Subjugadora Imperial</t>
        </is>
      </c>
      <c r="B1572" s="13" t="inlineStr">
        <is>
          <t>Creature — Human Samurai / Criatura — Humano Samurai</t>
        </is>
      </c>
      <c r="C1572" s="13" t="inlineStr">
        <is>
          <t>Common / Comum</t>
        </is>
      </c>
      <c r="D1572" s="13" t="inlineStr">
        <is>
          <t>Whenever a Samurai or Warrior you control attacks alone, tap target creature you don't control. / Toda vez que um Samurai ou Guerreiro que você controla atacar sozinho, vire a criatura alvo que você não controla.</t>
        </is>
      </c>
      <c r="E1572" s="13" t="inlineStr">
        <is>
          <t>{2}{W}</t>
        </is>
      </c>
      <c r="F1572" s="13" t="inlineStr">
        <is>
          <t>Branco</t>
        </is>
      </c>
      <c r="G1572" s="8" t="n">
        <v>0.13</v>
      </c>
      <c r="H1572" s="13" t="inlineStr">
        <is>
          <t>Kamigawa: Neon Dynasty (NEO) V</t>
        </is>
      </c>
      <c r="I1572" s="13" t="inlineStr">
        <is>
          <t>Não</t>
        </is>
      </c>
      <c r="J1572" s="13" t="n">
        <v>2022</v>
      </c>
      <c r="K1572" s="10" t="n">
        <v>46056</v>
      </c>
      <c r="L1572" s="13" t="n">
        <v>1</v>
      </c>
      <c r="M1572" s="8">
        <f>L1572*G1572</f>
        <v/>
      </c>
      <c r="P1572" s="9" t="n"/>
    </row>
    <row r="1573">
      <c r="A1573" s="13" t="inlineStr">
        <is>
          <t>Imperious Inkmage / Mago da Tinta Imperioso</t>
        </is>
      </c>
      <c r="B1573" s="13" t="inlineStr">
        <is>
          <t>Criatura — Orc Bruxo</t>
        </is>
      </c>
      <c r="C1573" s="13" t="inlineStr">
        <is>
          <t>Comum</t>
        </is>
      </c>
      <c r="D1573" s="13" t="inlineStr">
        <is>
          <t>Vigilância. Quando esta criatura entrar, vigie 2. (Olhe os dois cards do topo de seu grimório, depois coloque qualquer número deles em seu cemitério e o restante no topo de seu grimório em qualquer ordem.)</t>
        </is>
      </c>
      <c r="E1573" s="13" t="inlineStr">
        <is>
          <t>1{W}{B}</t>
        </is>
      </c>
      <c r="F1573" s="13" t="inlineStr">
        <is>
          <t>Multicolorido</t>
        </is>
      </c>
      <c r="G1573" s="8" t="n">
        <v>0.05</v>
      </c>
      <c r="H1573" s="13" t="inlineStr">
        <is>
          <t>Strixhaven: School of Mages (SOS)</t>
        </is>
      </c>
      <c r="I1573" s="13" t="inlineStr">
        <is>
          <t>Não</t>
        </is>
      </c>
      <c r="J1573" s="13" t="n">
        <v>2026</v>
      </c>
      <c r="K1573" s="10" t="n">
        <v>46084</v>
      </c>
      <c r="L1573" s="13" t="n">
        <v>1</v>
      </c>
      <c r="M1573" s="8">
        <f>L1573*G1573</f>
        <v/>
      </c>
      <c r="P1573" s="9" t="n"/>
    </row>
    <row r="1574">
      <c r="A1574" s="13" t="inlineStr">
        <is>
          <t>Imperious Oligarch / Oligarca Imperiosa</t>
        </is>
      </c>
      <c r="B1574" s="13" t="inlineStr">
        <is>
          <t>Creature — Human Cleric / Criatura — Humano Clérigo</t>
        </is>
      </c>
      <c r="C1574" s="13" t="inlineStr">
        <is>
          <t>Common / Comum</t>
        </is>
      </c>
      <c r="D1574" s="13" t="inlineStr">
        <is>
          <t>Vigilance Afterlife 1 (When this creature dies, create a 1/1 white and black Spirit creature token with flying.) / Vigilância Pós-vida 1 (Quando esta criatura morrer, crie uma ficha de criatura branca e preta 1/1 do tipo Espírito com voar.)</t>
        </is>
      </c>
      <c r="E1574" s="13" t="inlineStr">
        <is>
          <t>{W}{B}</t>
        </is>
      </c>
      <c r="F1574" s="13" t="inlineStr">
        <is>
          <t>Preto, Branco</t>
        </is>
      </c>
      <c r="G1574" s="8" t="n">
        <v>0.06</v>
      </c>
      <c r="H1574" s="13" t="inlineStr">
        <is>
          <t>Ravnica Allegiance (RNA)</t>
        </is>
      </c>
      <c r="I1574" s="13" t="inlineStr">
        <is>
          <t>Não</t>
        </is>
      </c>
      <c r="J1574" s="13" t="n">
        <v>2019</v>
      </c>
      <c r="K1574" s="10" t="n">
        <v>46024</v>
      </c>
      <c r="L1574" s="13" t="n">
        <v>5</v>
      </c>
      <c r="M1574" s="8">
        <f>L1574*G1574</f>
        <v/>
      </c>
      <c r="P1574" s="9" t="n"/>
    </row>
    <row r="1575">
      <c r="A1575" s="13" t="inlineStr">
        <is>
          <t>Impolite Entrance</t>
        </is>
      </c>
      <c r="B1575" s="13" t="inlineStr">
        <is>
          <t>Sorcery</t>
        </is>
      </c>
      <c r="C1575" s="13" t="inlineStr">
        <is>
          <t>Uncommon</t>
        </is>
      </c>
      <c r="D1575" s="13" t="inlineStr">
        <is>
          <t>Target creature gains trample and haste until end of turn. Draw a card.</t>
        </is>
      </c>
      <c r="E1575" s="13" t="inlineStr">
        <is>
          <t>{R}</t>
        </is>
      </c>
      <c r="F1575" s="13" t="inlineStr">
        <is>
          <t>Vermelho</t>
        </is>
      </c>
      <c r="G1575" s="8" t="n">
        <v>0.1</v>
      </c>
      <c r="H1575" s="13" t="inlineStr">
        <is>
          <t>Lorwyn Eclipsed (ECL)</t>
        </is>
      </c>
      <c r="I1575" s="13" t="inlineStr">
        <is>
          <t>No</t>
        </is>
      </c>
      <c r="J1575" s="13" t="n">
        <v>2026</v>
      </c>
      <c r="L1575" s="13" t="n">
        <v>2</v>
      </c>
      <c r="M1575" s="8">
        <f>L1575*G1575</f>
        <v/>
      </c>
      <c r="P1575" s="9" t="n"/>
    </row>
    <row r="1576">
      <c r="A1576" s="13" t="inlineStr">
        <is>
          <t>Imposing Visage / Aparência Imponente</t>
        </is>
      </c>
      <c r="B1576" s="13" t="inlineStr">
        <is>
          <t>Enchantment — Aura</t>
        </is>
      </c>
      <c r="C1576" s="13" t="inlineStr">
        <is>
          <t>Common / Comum</t>
        </is>
      </c>
      <c r="D1576" s="13" t="inlineStr">
        <is>
          <t>Enchant creature Enchanted creature has menace. (It can't be blocked except by two or more creatures.)</t>
        </is>
      </c>
      <c r="E1576" s="13" t="inlineStr">
        <is>
          <t>{R}</t>
        </is>
      </c>
      <c r="F1576" s="13" t="inlineStr">
        <is>
          <t>Vermelho</t>
        </is>
      </c>
      <c r="G1576" s="8" t="n">
        <v>0.05</v>
      </c>
      <c r="H1576" s="13" t="inlineStr">
        <is>
          <t>Ice Age (ICE)</t>
        </is>
      </c>
      <c r="I1576" s="13" t="inlineStr">
        <is>
          <t>Não</t>
        </is>
      </c>
      <c r="J1576" s="13" t="n">
        <v>1995</v>
      </c>
      <c r="L1576" s="13" t="n">
        <v>1</v>
      </c>
      <c r="M1576" s="8">
        <f>L1576*G1576</f>
        <v/>
      </c>
      <c r="P1576" s="9" t="n"/>
    </row>
    <row r="1577">
      <c r="A1577" s="13" t="inlineStr">
        <is>
          <t>Impossible Inferno</t>
        </is>
      </c>
      <c r="B1577" s="13" t="inlineStr">
        <is>
          <t>Instant</t>
        </is>
      </c>
      <c r="C1577" s="13" t="inlineStr">
        <is>
          <t>Common / Comum</t>
        </is>
      </c>
      <c r="D1577" s="13" t="inlineStr">
        <is>
          <t>Impossible Inferno deals 6 damage to target creature. Delirium — If there are four or more card types among cards in your graveyard, exile the top card of your library. You may play it until the end of your next turn.</t>
        </is>
      </c>
      <c r="E1577" s="13" t="inlineStr">
        <is>
          <t>{4}{R}</t>
        </is>
      </c>
      <c r="F1577" s="13" t="inlineStr">
        <is>
          <t>Vermelho</t>
        </is>
      </c>
      <c r="G1577" s="8" t="n">
        <v>0.05</v>
      </c>
      <c r="H1577" s="13" t="inlineStr">
        <is>
          <t>Duskmourn: House of Horror (DSK)</t>
        </is>
      </c>
      <c r="I1577" s="13" t="inlineStr">
        <is>
          <t>Não</t>
        </is>
      </c>
      <c r="J1577" s="13" t="n">
        <v>2024</v>
      </c>
      <c r="L1577" s="13" t="n">
        <v>1</v>
      </c>
      <c r="M1577" s="8">
        <f>L1577*G1577</f>
        <v/>
      </c>
      <c r="P1577" s="9" t="n"/>
    </row>
    <row r="1578">
      <c r="A1578" s="13" t="inlineStr">
        <is>
          <t>Imprisoned in the Moon / Aprisionados na Lua</t>
        </is>
      </c>
      <c r="B1578" s="13" t="inlineStr">
        <is>
          <t>Enchantment — Aura / Encantamento — Aura</t>
        </is>
      </c>
      <c r="C1578" s="13" t="inlineStr">
        <is>
          <t>Uncommon / Incomum</t>
        </is>
      </c>
      <c r="D1578" s="13"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1578" s="13" t="inlineStr">
        <is>
          <t>{2}{U}</t>
        </is>
      </c>
      <c r="F1578" s="13" t="inlineStr">
        <is>
          <t>Azul</t>
        </is>
      </c>
      <c r="G1578" s="8" t="n">
        <v>0.17</v>
      </c>
      <c r="H1578" s="13" t="inlineStr">
        <is>
          <t>Foundations (FDN)</t>
        </is>
      </c>
      <c r="I1578" s="13" t="inlineStr">
        <is>
          <t>Não</t>
        </is>
      </c>
      <c r="J1578" s="13" t="n">
        <v>2024</v>
      </c>
      <c r="L1578" s="13" t="n">
        <v>1</v>
      </c>
      <c r="M1578" s="8">
        <f>L1578*G1578</f>
        <v/>
      </c>
      <c r="P1578" s="9" t="n"/>
    </row>
    <row r="1579">
      <c r="A1579" s="13" t="inlineStr">
        <is>
          <t>Impulse / Impulso</t>
        </is>
      </c>
      <c r="B1579" s="13" t="inlineStr">
        <is>
          <t>Mágica Instantânea</t>
        </is>
      </c>
      <c r="C1579" s="13" t="inlineStr">
        <is>
          <t>Comum</t>
        </is>
      </c>
      <c r="D1579" s="13" t="inlineStr">
        <is>
          <t>Olhe os quatro cards do topo de seu grimório. Coloque um deles em sua mão e o restante no fundo de seu grimório em qualquer ordem.</t>
        </is>
      </c>
      <c r="E1579" s="13" t="inlineStr">
        <is>
          <t>1U</t>
        </is>
      </c>
      <c r="F1579" s="13" t="inlineStr">
        <is>
          <t>Azul</t>
        </is>
      </c>
      <c r="G1579" s="8" t="n">
        <v>1</v>
      </c>
      <c r="H1579" s="13" t="inlineStr">
        <is>
          <t>Duel Decks: Speed vs. Cunning</t>
        </is>
      </c>
      <c r="I1579" s="13" t="inlineStr">
        <is>
          <t>Não</t>
        </is>
      </c>
      <c r="J1579" s="13" t="n">
        <v>2014</v>
      </c>
      <c r="L1579" s="13" t="n">
        <v>1</v>
      </c>
      <c r="M1579" s="8">
        <f>L1579*G1579</f>
        <v/>
      </c>
      <c r="P1579" s="9" t="n"/>
    </row>
    <row r="1580">
      <c r="A1580" s="13" t="inlineStr">
        <is>
          <t>Impulsive Pilferer / Gatuno Impulsivo</t>
        </is>
      </c>
      <c r="B1580" s="13" t="inlineStr">
        <is>
          <t>Creature — Goblin Pirate / Criatura — Goblin Pirata</t>
        </is>
      </c>
      <c r="C1580" s="13" t="inlineStr">
        <is>
          <t>Common / Comum</t>
        </is>
      </c>
      <c r="D1580" s="13"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1580" s="13" t="inlineStr">
        <is>
          <t>{R}</t>
        </is>
      </c>
      <c r="F1580" s="13" t="inlineStr">
        <is>
          <t>Vermelho</t>
        </is>
      </c>
      <c r="G1580" s="8" t="n">
        <v>0.5</v>
      </c>
      <c r="H1580" s="13" t="inlineStr">
        <is>
          <t>Commander Masters (CMM)</t>
        </is>
      </c>
      <c r="I1580" s="13" t="inlineStr">
        <is>
          <t>Não</t>
        </is>
      </c>
      <c r="J1580" s="13" t="n">
        <v>2023</v>
      </c>
      <c r="K1580" s="10" t="n">
        <v>46023</v>
      </c>
      <c r="L1580" s="13" t="n">
        <v>1</v>
      </c>
      <c r="M1580" s="8">
        <f>L1580*G1580</f>
        <v/>
      </c>
      <c r="P1580" s="9" t="n"/>
    </row>
    <row r="1581">
      <c r="A1581" s="13" t="inlineStr">
        <is>
          <t>Incinerating Blast</t>
        </is>
      </c>
      <c r="B1581" s="13" t="inlineStr">
        <is>
          <t>Sorcery</t>
        </is>
      </c>
      <c r="C1581" s="13" t="inlineStr">
        <is>
          <t>Common / Comum</t>
        </is>
      </c>
      <c r="D1581" s="13" t="inlineStr">
        <is>
          <t>Incinerating Blast deals 6 damage to target creature. You may discard a card. If you do, draw a card.</t>
        </is>
      </c>
      <c r="E1581" s="13" t="inlineStr">
        <is>
          <t>{4}{R}</t>
        </is>
      </c>
      <c r="F1581" s="13" t="inlineStr">
        <is>
          <t>Vermelho</t>
        </is>
      </c>
      <c r="G1581" s="8" t="n">
        <v>0.05</v>
      </c>
      <c r="H1581" s="13" t="inlineStr">
        <is>
          <t>Foundations (FDN)</t>
        </is>
      </c>
      <c r="I1581" s="13" t="inlineStr">
        <is>
          <t>Não</t>
        </is>
      </c>
      <c r="J1581" s="13" t="n">
        <v>2024</v>
      </c>
      <c r="L1581" s="13" t="n">
        <v>1</v>
      </c>
      <c r="M1581" s="8">
        <f>L1581*G1581</f>
        <v/>
      </c>
      <c r="P1581" s="9" t="n"/>
    </row>
    <row r="1582">
      <c r="A1582" s="13" t="inlineStr">
        <is>
          <t>Incitar a Turba</t>
        </is>
      </c>
      <c r="B1582" s="13" t="inlineStr">
        <is>
          <t>Mágica Instantânea</t>
        </is>
      </c>
      <c r="C1582" s="13" t="inlineStr">
        <is>
          <t>Comum</t>
        </is>
      </c>
      <c r="D1582" s="13" t="inlineStr">
        <is>
          <t>Esforço — Incitar a Turba custa 2R a mais para ser conjurado para cada alvo além do primeiro. Qualquer número de criaturas alvo recebe +2/+0 e ganha atropelar até o final do turno.</t>
        </is>
      </c>
      <c r="E1582" s="13" t="inlineStr">
        <is>
          <t>R</t>
        </is>
      </c>
      <c r="F1582" s="13" t="inlineStr">
        <is>
          <t>Vermelha</t>
        </is>
      </c>
      <c r="G1582" s="8" t="n">
        <v>0.03</v>
      </c>
      <c r="H1582" s="13" t="inlineStr">
        <is>
          <t>Journey into Nyx</t>
        </is>
      </c>
      <c r="I1582" s="13" t="inlineStr">
        <is>
          <t>Não</t>
        </is>
      </c>
      <c r="J1582" s="13" t="n">
        <v>2014</v>
      </c>
      <c r="L1582" s="13" t="n">
        <v>3</v>
      </c>
      <c r="M1582" s="8">
        <f>L1582*G1582</f>
        <v/>
      </c>
      <c r="P1582" s="9" t="n"/>
    </row>
    <row r="1583">
      <c r="A1583" s="13" t="inlineStr">
        <is>
          <t>Incongruência / Incongruity // Incubação / Incubation</t>
        </is>
      </c>
      <c r="B1583" s="13" t="inlineStr">
        <is>
          <t>Mágica Instantânea / Instant // Feitiço / Sorcery</t>
        </is>
      </c>
      <c r="C1583" s="13" t="inlineStr">
        <is>
          <t>Incomum / Uncommon</t>
        </is>
      </c>
      <c r="D1583" s="13"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583" s="13" t="inlineStr">
        <is>
          <t>{1}{G}{U} // {G/U}</t>
        </is>
      </c>
      <c r="F1583" s="13" t="inlineStr">
        <is>
          <t>Verde e Azul / Green and Blue</t>
        </is>
      </c>
      <c r="G1583" s="8" t="n">
        <v>0.04</v>
      </c>
      <c r="H1583" s="13" t="inlineStr">
        <is>
          <t>Ravnica Allegiance (RNA)</t>
        </is>
      </c>
      <c r="I1583" s="13" t="inlineStr">
        <is>
          <t>Não</t>
        </is>
      </c>
      <c r="J1583" s="13" t="n">
        <v>2019</v>
      </c>
      <c r="L1583" s="13" t="n">
        <v>2</v>
      </c>
      <c r="M1583" s="8">
        <f>L1583*G1583</f>
        <v/>
      </c>
      <c r="P1583" s="9" t="n"/>
    </row>
    <row r="1584">
      <c r="A1584" s="13" t="inlineStr">
        <is>
          <t>Increasing Devotion / Devoção Crescente</t>
        </is>
      </c>
      <c r="B1584" s="13" t="inlineStr">
        <is>
          <t>Sorcery / Feitiço</t>
        </is>
      </c>
      <c r="C1584" s="13" t="inlineStr">
        <is>
          <t>Rare / Rara</t>
        </is>
      </c>
      <c r="D1584" s="13"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584" s="13" t="inlineStr">
        <is>
          <t>{3}{W}{W}</t>
        </is>
      </c>
      <c r="F1584" s="13" t="inlineStr">
        <is>
          <t>Branco</t>
        </is>
      </c>
      <c r="G1584" s="8" t="n">
        <v>0.38</v>
      </c>
      <c r="H1584" s="13" t="inlineStr">
        <is>
          <t>Dark Ascension (DKA)</t>
        </is>
      </c>
      <c r="I1584" s="13" t="inlineStr">
        <is>
          <t>Não</t>
        </is>
      </c>
      <c r="J1584" s="13" t="n">
        <v>2012</v>
      </c>
      <c r="L1584" s="13" t="n">
        <v>1</v>
      </c>
      <c r="M1584" s="8">
        <f>L1584*G1584</f>
        <v/>
      </c>
      <c r="P1584" s="9" t="n"/>
    </row>
    <row r="1585">
      <c r="A1585" s="13" t="inlineStr">
        <is>
          <t>Incursão de Orcs / Orcish Medicine</t>
        </is>
      </c>
      <c r="B1585" s="13" t="inlineStr">
        <is>
          <t>Feitiço</t>
        </is>
      </c>
      <c r="C1585" s="13" t="inlineStr">
        <is>
          <t>Incomum</t>
        </is>
      </c>
      <c r="D1585" s="13" t="inlineStr">
        <is>
          <t>Arregimentar Orcs 2. Quando você faz isso, Incursão de Orcs causa X pontos de dano à criatura alvo que um oponente controla, sendo X o poder do Exército arregimentado.</t>
        </is>
      </c>
      <c r="E1585" s="13" t="inlineStr">
        <is>
          <t>3{R}</t>
        </is>
      </c>
      <c r="F1585" s="13" t="inlineStr">
        <is>
          <t>Vermelho</t>
        </is>
      </c>
      <c r="G1585" s="8" t="n">
        <v>0.24</v>
      </c>
      <c r="H1585" s="13" t="inlineStr">
        <is>
          <t>The Lord of the Rings: Tales of Middle-earth (LTR)</t>
        </is>
      </c>
      <c r="I1585" s="13" t="inlineStr">
        <is>
          <t>Não</t>
        </is>
      </c>
      <c r="J1585" s="13" t="n">
        <v>2023</v>
      </c>
      <c r="L1585" s="13" t="n">
        <v>1</v>
      </c>
      <c r="M1585" s="8">
        <f>L1585*G1585</f>
        <v/>
      </c>
      <c r="P1585" s="9" t="n"/>
    </row>
    <row r="1586">
      <c r="A1586" s="13" t="inlineStr">
        <is>
          <t>Infantry Veteran / Veterano da Infantaria</t>
        </is>
      </c>
      <c r="B1586" s="13" t="inlineStr">
        <is>
          <t>Criatura — Humano Soldado</t>
        </is>
      </c>
      <c r="C1586" s="13" t="inlineStr">
        <is>
          <t>Comum</t>
        </is>
      </c>
      <c r="D1586" s="13" t="inlineStr">
        <is>
          <t>{T}: A criatura atacante alvo recebe +1/+1 até o final do turno.</t>
        </is>
      </c>
      <c r="E1586" s="13" t="inlineStr">
        <is>
          <t>W</t>
        </is>
      </c>
      <c r="F1586" s="13" t="inlineStr">
        <is>
          <t>Branco</t>
        </is>
      </c>
      <c r="G1586" s="8" t="n">
        <v>0.06</v>
      </c>
      <c r="H1586" s="13" t="inlineStr">
        <is>
          <t>Duel Decks: Speed vs. Cunning</t>
        </is>
      </c>
      <c r="I1586" s="13" t="inlineStr">
        <is>
          <t>Não</t>
        </is>
      </c>
      <c r="J1586" s="13" t="n">
        <v>2014</v>
      </c>
      <c r="K1586" s="10" t="n">
        <v>46023</v>
      </c>
      <c r="L1586" s="13" t="n">
        <v>1</v>
      </c>
      <c r="M1586" s="8">
        <f>L1586*G1586</f>
        <v/>
      </c>
      <c r="P1586" s="9" t="n"/>
    </row>
    <row r="1587">
      <c r="A1587" s="13" t="inlineStr">
        <is>
          <t>Infantry Veteran / Veterano da Infantaria</t>
        </is>
      </c>
      <c r="B1587" s="13" t="inlineStr">
        <is>
          <t>Creature — Human Soldier / Criatura — Humano Soldado</t>
        </is>
      </c>
      <c r="C1587" s="13" t="inlineStr">
        <is>
          <t>Common / Comum</t>
        </is>
      </c>
      <c r="D1587" s="13" t="inlineStr">
        <is>
          <t>{T}: Target attacking creature gets +1/+1 until end of turn. / {T}: A criatura alvo atacante recebe +1/+1 até o final do turno.</t>
        </is>
      </c>
      <c r="E1587" s="13" t="inlineStr">
        <is>
          <t>{W}</t>
        </is>
      </c>
      <c r="F1587" s="13" t="inlineStr">
        <is>
          <t>Branco</t>
        </is>
      </c>
      <c r="G1587" s="8" t="n">
        <v>0.07000000000000001</v>
      </c>
      <c r="H1587" s="13" t="inlineStr">
        <is>
          <t>Iconic Masters (IMA)</t>
        </is>
      </c>
      <c r="I1587" s="13" t="inlineStr">
        <is>
          <t>Não</t>
        </is>
      </c>
      <c r="J1587" s="13" t="n">
        <v>2017</v>
      </c>
      <c r="K1587" s="10" t="n">
        <v>46023</v>
      </c>
      <c r="L1587" s="13" t="n">
        <v>4</v>
      </c>
      <c r="M1587" s="8">
        <f>L1587*G1587</f>
        <v/>
      </c>
      <c r="P1587" s="9" t="n"/>
    </row>
    <row r="1588">
      <c r="A1588" s="13" t="inlineStr">
        <is>
          <t>Infantry Veteran / Veterano da Infantaria</t>
        </is>
      </c>
      <c r="B1588" s="13" t="inlineStr">
        <is>
          <t>Creature — Human Soldier / Criatura — Humano Soldado</t>
        </is>
      </c>
      <c r="C1588" s="13" t="inlineStr">
        <is>
          <t>Common / Comum</t>
        </is>
      </c>
      <c r="D1588" s="13" t="inlineStr">
        <is>
          <t>{T}: Target attacking creature gets +1/+1 until end of turn. / {T}: A criatura alvo atacante recebe +1/+1 até o final do turno.</t>
        </is>
      </c>
      <c r="E1588" s="13" t="inlineStr">
        <is>
          <t>{W}</t>
        </is>
      </c>
      <c r="F1588" s="13" t="inlineStr">
        <is>
          <t>Branco</t>
        </is>
      </c>
      <c r="G1588" s="8" t="n">
        <v>0.14</v>
      </c>
      <c r="H1588" s="13" t="inlineStr">
        <is>
          <t>Jumpstart 2022 (J22)</t>
        </is>
      </c>
      <c r="I1588" s="13" t="inlineStr">
        <is>
          <t>Não</t>
        </is>
      </c>
      <c r="J1588" s="13" t="n">
        <v>2022</v>
      </c>
      <c r="K1588" s="10" t="n">
        <v>46023</v>
      </c>
      <c r="L1588" s="13" t="n">
        <v>1</v>
      </c>
      <c r="M1588" s="8">
        <f>L1588*G1588</f>
        <v/>
      </c>
      <c r="P1588" s="9" t="n"/>
    </row>
    <row r="1589">
      <c r="A1589" s="13" t="inlineStr">
        <is>
          <t>Infernal Denizen / Residente Infernal</t>
        </is>
      </c>
      <c r="B1589" s="13" t="inlineStr">
        <is>
          <t>Creature — Demon</t>
        </is>
      </c>
      <c r="C1589" s="13" t="inlineStr">
        <is>
          <t>Rare / Rara</t>
        </is>
      </c>
      <c r="D1589" s="13"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1589" s="13" t="inlineStr">
        <is>
          <t>{7}{B}</t>
        </is>
      </c>
      <c r="F1589" s="13" t="inlineStr">
        <is>
          <t>Preto</t>
        </is>
      </c>
      <c r="G1589" s="8" t="n">
        <v>1.95</v>
      </c>
      <c r="H1589" s="13" t="inlineStr">
        <is>
          <t>Ice Age (ICE)</t>
        </is>
      </c>
      <c r="I1589" s="13" t="inlineStr">
        <is>
          <t>Não</t>
        </is>
      </c>
      <c r="J1589" s="13" t="n">
        <v>1995</v>
      </c>
      <c r="K1589" s="10" t="n">
        <v>46208</v>
      </c>
      <c r="L1589" s="13" t="n">
        <v>1</v>
      </c>
      <c r="M1589" s="8">
        <f>L1589*G1589</f>
        <v/>
      </c>
      <c r="P1589" s="9" t="n"/>
    </row>
    <row r="1590">
      <c r="A1590" s="13" t="inlineStr">
        <is>
          <t>Inferno</t>
        </is>
      </c>
      <c r="B1590" s="13" t="inlineStr">
        <is>
          <t>Instant / Mágica Instantânea</t>
        </is>
      </c>
      <c r="C1590" s="13" t="inlineStr">
        <is>
          <t>Rare / Rara</t>
        </is>
      </c>
      <c r="D1590" s="13" t="inlineStr">
        <is>
          <t>Inferno deals 6 damage to each creature and each player. / Inferno causa 6 pontos de dano a cada criatura e cada jogador.</t>
        </is>
      </c>
      <c r="E1590" s="13" t="inlineStr">
        <is>
          <t>{5}{R}{R}</t>
        </is>
      </c>
      <c r="F1590" s="13" t="inlineStr">
        <is>
          <t>Vermelho</t>
        </is>
      </c>
      <c r="G1590" s="8" t="n">
        <v>1</v>
      </c>
      <c r="H1590" s="13" t="inlineStr">
        <is>
          <t xml:space="preserve">Quarta Edição </t>
        </is>
      </c>
      <c r="I1590" s="13" t="inlineStr">
        <is>
          <t>Não</t>
        </is>
      </c>
      <c r="J1590" s="13" t="n">
        <v>1995</v>
      </c>
      <c r="L1590" s="13" t="n">
        <v>1</v>
      </c>
      <c r="M1590" s="8">
        <f>L1590*G1590</f>
        <v/>
      </c>
      <c r="P1590" s="9" t="n"/>
    </row>
    <row r="1591">
      <c r="A1591" s="13" t="inlineStr">
        <is>
          <t>Inferno Trap / Armadilha de Inferno</t>
        </is>
      </c>
      <c r="B1591" s="13" t="inlineStr">
        <is>
          <t>Mágica Instantânea — Armadilha</t>
        </is>
      </c>
      <c r="C1591" s="13" t="inlineStr">
        <is>
          <t>Incomum</t>
        </is>
      </c>
      <c r="D1591" s="13" t="inlineStr">
        <is>
          <t>Se tiver recebido dano de duas ou mais criaturas neste turno, você poderá pagar {R} em vez de pagar o custo de mana de Armadilha de Inferno. Armadilha de Inferno causa 4 de dano à criatura alvo.</t>
        </is>
      </c>
      <c r="E1591" s="13" t="inlineStr">
        <is>
          <t>3R</t>
        </is>
      </c>
      <c r="F1591" s="13" t="inlineStr">
        <is>
          <t>Vermelho</t>
        </is>
      </c>
      <c r="G1591" s="8" t="n">
        <v>0.06</v>
      </c>
      <c r="H1591" s="13" t="inlineStr">
        <is>
          <t>Duel Decks: Speed vs. Cunning</t>
        </is>
      </c>
      <c r="I1591" s="13" t="inlineStr">
        <is>
          <t>Não</t>
        </is>
      </c>
      <c r="J1591" s="13" t="n">
        <v>2014</v>
      </c>
      <c r="L1591" s="13" t="n">
        <v>1</v>
      </c>
      <c r="M1591" s="8">
        <f>L1591*G1591</f>
        <v/>
      </c>
      <c r="P1591" s="9" t="n"/>
    </row>
    <row r="1592">
      <c r="A1592" s="13" t="inlineStr">
        <is>
          <t>Infestation Sage</t>
        </is>
      </c>
      <c r="B1592" s="13" t="inlineStr">
        <is>
          <t>Creature — Elf Warlock</t>
        </is>
      </c>
      <c r="C1592" s="13" t="inlineStr">
        <is>
          <t>Common / Comum</t>
        </is>
      </c>
      <c r="D1592" s="13" t="inlineStr">
        <is>
          <t>When this creature dies, create a 1/1 black and green Insect creature token with flying.</t>
        </is>
      </c>
      <c r="E1592" s="13" t="inlineStr">
        <is>
          <t>{B}</t>
        </is>
      </c>
      <c r="F1592" s="13" t="inlineStr">
        <is>
          <t>Preto</t>
        </is>
      </c>
      <c r="G1592" s="8" t="n">
        <v>0.29</v>
      </c>
      <c r="H1592" s="13" t="inlineStr">
        <is>
          <t>Foundations (FDN)</t>
        </is>
      </c>
      <c r="I1592" s="13" t="inlineStr">
        <is>
          <t>Não</t>
        </is>
      </c>
      <c r="J1592" s="13" t="n">
        <v>2024</v>
      </c>
      <c r="K1592" s="10" t="n">
        <v>46023</v>
      </c>
      <c r="L1592" s="13" t="n">
        <v>1</v>
      </c>
      <c r="M1592" s="8">
        <f>L1592*G1592</f>
        <v/>
      </c>
      <c r="P1592" s="9" t="n"/>
    </row>
    <row r="1593">
      <c r="A1593" s="13" t="inlineStr">
        <is>
          <t>Infinite Guideline Station / Estação da Diretriz Infinita</t>
        </is>
      </c>
      <c r="B1593" s="13" t="inlineStr">
        <is>
          <t>Artefato Lendário — Nave Espacial</t>
        </is>
      </c>
      <c r="C1593" s="13" t="inlineStr">
        <is>
          <t>Rara</t>
        </is>
      </c>
      <c r="D1593" s="13"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1593" s="13" t="inlineStr">
        <is>
          <t>{W}{U}{B}{R}{G}</t>
        </is>
      </c>
      <c r="F1593" s="13" t="inlineStr">
        <is>
          <t>Multicolorido</t>
        </is>
      </c>
      <c r="G1593" s="8" t="n">
        <v>0.9</v>
      </c>
      <c r="H1593" s="13" t="inlineStr">
        <is>
          <t>Edge of Eternity</t>
        </is>
      </c>
      <c r="I1593" s="13" t="inlineStr">
        <is>
          <t>Sim</t>
        </is>
      </c>
      <c r="J1593" s="13" t="n">
        <v>2025</v>
      </c>
      <c r="K1593" s="13" t="inlineStr">
        <is>
          <t>7/15</t>
        </is>
      </c>
      <c r="L1593" s="13" t="n">
        <v>1</v>
      </c>
      <c r="M1593" s="8">
        <f>L1593*G1593</f>
        <v/>
      </c>
      <c r="P1593" s="9" t="n"/>
    </row>
    <row r="1594">
      <c r="A1594" s="13" t="inlineStr">
        <is>
          <t>Inga Rune-Eyes / Inga Olhos Rúnicos</t>
        </is>
      </c>
      <c r="B1594" s="13" t="inlineStr">
        <is>
          <t>Legendary Creature — Human Wizard / Criatura Lendária — Humano Mago</t>
        </is>
      </c>
      <c r="C1594" s="13" t="inlineStr">
        <is>
          <t>Uncommon / Incomum</t>
        </is>
      </c>
      <c r="D1594" s="13"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1594" s="13" t="inlineStr">
        <is>
          <t>{3}{U}</t>
        </is>
      </c>
      <c r="F1594" s="13" t="inlineStr">
        <is>
          <t>Azul</t>
        </is>
      </c>
      <c r="G1594" s="8" t="n">
        <v>0.1</v>
      </c>
      <c r="H1594" s="13" t="inlineStr">
        <is>
          <t>Commander Masters (CMM)</t>
        </is>
      </c>
      <c r="I1594" s="13" t="inlineStr">
        <is>
          <t>Não</t>
        </is>
      </c>
      <c r="J1594" s="13" t="n">
        <v>2023</v>
      </c>
      <c r="K1594" s="10" t="n">
        <v>46084</v>
      </c>
      <c r="L1594" s="13" t="n">
        <v>1</v>
      </c>
      <c r="M1594" s="8">
        <f>L1594*G1594</f>
        <v/>
      </c>
      <c r="P1594" s="9" t="n"/>
    </row>
    <row r="1595">
      <c r="A1595" s="13" t="inlineStr">
        <is>
          <t>Inkfathom Infiltrator / Infiltrado Braçatinta</t>
        </is>
      </c>
      <c r="B1595" s="13" t="inlineStr">
        <is>
          <t>Creature — Merfolk Rogue / Criatura — Tritão Ladino</t>
        </is>
      </c>
      <c r="C1595" s="13" t="inlineStr">
        <is>
          <t>Uncommon / Incomum</t>
        </is>
      </c>
      <c r="D1595" s="13" t="inlineStr">
        <is>
          <t>This creature can't block and can't be blocked. / Infiltrado Braçatinta não pode bloquear e não pode ser bloqueado.</t>
        </is>
      </c>
      <c r="E1595" s="13" t="inlineStr">
        <is>
          <t>{U/B}{U/B}</t>
        </is>
      </c>
      <c r="F1595" s="13" t="inlineStr">
        <is>
          <t>Preto, Azul</t>
        </is>
      </c>
      <c r="G1595" s="8" t="n">
        <v>0.75</v>
      </c>
      <c r="H1595" s="13" t="inlineStr">
        <is>
          <t>Shadowmoor (SHM)</t>
        </is>
      </c>
      <c r="I1595" s="13" t="inlineStr">
        <is>
          <t>Não</t>
        </is>
      </c>
      <c r="J1595" s="13" t="n">
        <v>2008</v>
      </c>
      <c r="K1595" s="10" t="n">
        <v>46024</v>
      </c>
      <c r="L1595" s="13" t="n">
        <v>1</v>
      </c>
      <c r="M1595" s="8">
        <f>L1595*G1595</f>
        <v/>
      </c>
      <c r="P1595" s="9" t="n"/>
    </row>
    <row r="1596">
      <c r="A1596" s="13" t="inlineStr">
        <is>
          <t>Inkrise Infiltrator / Infiltradora Asas de Tinta</t>
        </is>
      </c>
      <c r="B1596" s="13" t="inlineStr">
        <is>
          <t>Creature — Human Ninja / Criatura — Humano Ninja</t>
        </is>
      </c>
      <c r="C1596" s="13" t="inlineStr">
        <is>
          <t>Common / Comum</t>
        </is>
      </c>
      <c r="D1596" s="13" t="inlineStr">
        <is>
          <t>Flying {3}{B}: This creature gets +2/+2 until end of turn. / Voar {3}{B}: Infiltradora Asas de Tinta recebe +2/+2 até o final do turno.</t>
        </is>
      </c>
      <c r="E1596" s="13" t="inlineStr">
        <is>
          <t>{1}{B}</t>
        </is>
      </c>
      <c r="F1596" s="13" t="inlineStr">
        <is>
          <t>Preto</t>
        </is>
      </c>
      <c r="G1596" s="8" t="n">
        <v>0.1</v>
      </c>
      <c r="H1596" s="13" t="inlineStr">
        <is>
          <t>Kamigawa: Neon Dynasty (NEO)</t>
        </is>
      </c>
      <c r="I1596" s="13" t="inlineStr">
        <is>
          <t>Não</t>
        </is>
      </c>
      <c r="J1596" s="13" t="n">
        <v>2022</v>
      </c>
      <c r="K1596" s="10" t="n">
        <v>46054</v>
      </c>
      <c r="L1596" s="13" t="n">
        <v>1</v>
      </c>
      <c r="M1596" s="8">
        <f>L1596*G1596</f>
        <v/>
      </c>
      <c r="P1596" s="9" t="n"/>
    </row>
    <row r="1597">
      <c r="A1597" s="13" t="inlineStr">
        <is>
          <t>Inkrise Infiltrator / Infiltradora Asas de Tinta</t>
        </is>
      </c>
      <c r="B1597" s="13" t="inlineStr">
        <is>
          <t>Creature — Human Ninja / Criatura — Humano Ninja</t>
        </is>
      </c>
      <c r="C1597" s="13" t="inlineStr">
        <is>
          <t>Common / Comum</t>
        </is>
      </c>
      <c r="D1597" s="13" t="inlineStr">
        <is>
          <t>Flying {3}{B}: This creature gets +2/+2 until end of turn. / Voar {3}{B}: Infiltradora Asas de Tinta recebe +2/+2 até o final do turno.</t>
        </is>
      </c>
      <c r="E1597" s="13" t="inlineStr">
        <is>
          <t>{1}{B}</t>
        </is>
      </c>
      <c r="F1597" s="13" t="inlineStr">
        <is>
          <t>Preto</t>
        </is>
      </c>
      <c r="G1597" s="8" t="n">
        <v>0.08</v>
      </c>
      <c r="H1597" s="13" t="inlineStr">
        <is>
          <t>Kamigawa: Neon Dynasty (NEO) V</t>
        </is>
      </c>
      <c r="I1597" s="13" t="inlineStr">
        <is>
          <t>Não</t>
        </is>
      </c>
      <c r="J1597" s="13" t="n">
        <v>2022</v>
      </c>
      <c r="K1597" s="10" t="n">
        <v>46054</v>
      </c>
      <c r="L1597" s="13" t="n">
        <v>1</v>
      </c>
      <c r="M1597" s="8">
        <f>L1597*G1597</f>
        <v/>
      </c>
      <c r="P1597" s="9" t="n"/>
    </row>
    <row r="1598">
      <c r="A1598" s="13" t="inlineStr">
        <is>
          <t>Inordinate Rage / Fúria Desmedida</t>
        </is>
      </c>
      <c r="B1598" s="13" t="inlineStr">
        <is>
          <t>Instant / Mágica Instantânea</t>
        </is>
      </c>
      <c r="C1598" s="13" t="inlineStr">
        <is>
          <t>Common / Comum</t>
        </is>
      </c>
      <c r="D1598" s="13" t="inlineStr">
        <is>
          <t>Target creature gets +3/+2 until end of turn. Scry 1. / A criatura alvo recebe +3/+2 até o final do turno. Use vidência 1.</t>
        </is>
      </c>
      <c r="E1598" s="13" t="inlineStr">
        <is>
          <t>{1}{R}</t>
        </is>
      </c>
      <c r="F1598" s="13" t="inlineStr">
        <is>
          <t>Vermelho</t>
        </is>
      </c>
      <c r="G1598" s="8" t="n">
        <v>0.05</v>
      </c>
      <c r="H1598" s="13" t="inlineStr">
        <is>
          <t>Zendikar Rising (ZNR)</t>
        </is>
      </c>
      <c r="I1598" s="13" t="inlineStr">
        <is>
          <t>Não</t>
        </is>
      </c>
      <c r="J1598" s="13" t="n">
        <v>2020</v>
      </c>
      <c r="L1598" s="13" t="n">
        <v>1</v>
      </c>
      <c r="M1598" s="8">
        <f>L1598*G1598</f>
        <v/>
      </c>
      <c r="P1598" s="9" t="n"/>
    </row>
    <row r="1599">
      <c r="A1599" s="13" t="inlineStr">
        <is>
          <t>Insectoid Exterminator</t>
        </is>
      </c>
      <c r="B1599" s="13" t="inlineStr">
        <is>
          <t>Creature — Insect Mutant</t>
        </is>
      </c>
      <c r="C1599" s="13" t="inlineStr">
        <is>
          <t>Common / Comum</t>
        </is>
      </c>
      <c r="D1599" s="13" t="inlineStr">
        <is>
          <t>Flying Disappear — At the beginning of your end step, if a permanent left the battlefield under your control this turn, scry 1. (Look at the top card of your library. You may put that card on the bottom.)</t>
        </is>
      </c>
      <c r="E1599" s="13" t="inlineStr">
        <is>
          <t>{2}{B}</t>
        </is>
      </c>
      <c r="F1599" s="13" t="inlineStr">
        <is>
          <t>Preto</t>
        </is>
      </c>
      <c r="G1599" s="8" t="n">
        <v>0.1</v>
      </c>
      <c r="H1599" s="13" t="inlineStr">
        <is>
          <t>Teenage Mutant Ninja Turtles (TMT)</t>
        </is>
      </c>
      <c r="I1599" s="13" t="inlineStr">
        <is>
          <t>Não</t>
        </is>
      </c>
      <c r="J1599" s="13" t="n">
        <v>2026</v>
      </c>
      <c r="K1599" s="10" t="n">
        <v>46055</v>
      </c>
      <c r="L1599" s="13" t="n">
        <v>2</v>
      </c>
      <c r="M1599" s="8">
        <f>L1599*G1599</f>
        <v/>
      </c>
      <c r="P1599" s="9" t="n"/>
    </row>
    <row r="1600">
      <c r="A1600" s="13" t="inlineStr">
        <is>
          <t>Insidious Bookworms / Traças de Livro Insidiosas</t>
        </is>
      </c>
      <c r="B1600" s="13" t="inlineStr">
        <is>
          <t>Creature — Worm</t>
        </is>
      </c>
      <c r="C1600" s="13" t="inlineStr">
        <is>
          <t>Common / Comum</t>
        </is>
      </c>
      <c r="D1600" s="13" t="inlineStr">
        <is>
          <t>When this creature dies, you may pay {1}{B}. If you do, target player discards a card at random.</t>
        </is>
      </c>
      <c r="E1600" s="13" t="inlineStr">
        <is>
          <t>{B}</t>
        </is>
      </c>
      <c r="F1600" s="13" t="inlineStr">
        <is>
          <t>Preto</t>
        </is>
      </c>
      <c r="G1600" s="8" t="n">
        <v>0.08</v>
      </c>
      <c r="H1600" s="13" t="inlineStr">
        <is>
          <t>Alliances (ALL)</t>
        </is>
      </c>
      <c r="I1600" s="13" t="inlineStr">
        <is>
          <t>Não</t>
        </is>
      </c>
      <c r="J1600" s="13" t="n">
        <v>1996</v>
      </c>
      <c r="K1600" s="10" t="n">
        <v>46023</v>
      </c>
      <c r="L1600" s="13" t="n">
        <v>3</v>
      </c>
      <c r="M1600" s="8">
        <f>L1600*G1600</f>
        <v/>
      </c>
      <c r="P1600" s="9" t="n"/>
    </row>
    <row r="1601">
      <c r="A1601" s="13" t="inlineStr">
        <is>
          <t>Insomnia, Crown City / Insomnia, Cidade da Coroa</t>
        </is>
      </c>
      <c r="B1601" s="13" t="inlineStr">
        <is>
          <t>Terreno — Vila</t>
        </is>
      </c>
      <c r="C1601" s="13" t="inlineStr">
        <is>
          <t>Rara</t>
        </is>
      </c>
      <c r="D1601" s="13" t="inlineStr">
        <is>
          <t>Este terreno entra virado. {T}: Adicione {W} ou {B}.</t>
        </is>
      </c>
      <c r="E1601" s="13" t="inlineStr">
        <is>
          <t>Não encontrado</t>
        </is>
      </c>
      <c r="F1601" s="13" t="inlineStr">
        <is>
          <t>Incolor</t>
        </is>
      </c>
      <c r="G1601" s="8" t="n">
        <v>0.2</v>
      </c>
      <c r="H1601" s="13" t="inlineStr">
        <is>
          <t>Final Fantasy</t>
        </is>
      </c>
      <c r="I1601" s="13" t="inlineStr">
        <is>
          <t>Não</t>
        </is>
      </c>
      <c r="J1601" s="13" t="n">
        <v>2025</v>
      </c>
      <c r="L1601" s="13" t="n">
        <v>3</v>
      </c>
      <c r="M1601" s="8">
        <f>L1601*G1601</f>
        <v/>
      </c>
      <c r="P1601" s="9" t="n"/>
    </row>
    <row r="1602">
      <c r="A1602" s="13" t="inlineStr">
        <is>
          <t>Inspiration from Beyond</t>
        </is>
      </c>
      <c r="B1602" s="13" t="inlineStr">
        <is>
          <t>Sorcery</t>
        </is>
      </c>
      <c r="C1602" s="13" t="inlineStr">
        <is>
          <t>Uncommon / Incomum</t>
        </is>
      </c>
      <c r="D1602" s="13" t="inlineStr">
        <is>
          <t>Mill three cards, then return an instant or sorcery card from your graveyard to your hand. Flashback {5}{U}{U} (You may cast this card from your graveyard for its flashback cost. Then exile it.)</t>
        </is>
      </c>
      <c r="E1602" s="13" t="inlineStr">
        <is>
          <t>{2}{U}</t>
        </is>
      </c>
      <c r="F1602" s="13" t="inlineStr">
        <is>
          <t>Azul</t>
        </is>
      </c>
      <c r="G1602" s="8" t="n">
        <v>0.09</v>
      </c>
      <c r="H1602" s="13" t="inlineStr">
        <is>
          <t>Foundations (FDN)</t>
        </is>
      </c>
      <c r="I1602" s="13" t="inlineStr">
        <is>
          <t>Não</t>
        </is>
      </c>
      <c r="J1602" s="13" t="n">
        <v>2024</v>
      </c>
      <c r="L1602" s="13" t="n">
        <v>3</v>
      </c>
      <c r="M1602" s="8">
        <f>L1602*G1602</f>
        <v/>
      </c>
      <c r="P1602" s="9" t="n"/>
    </row>
    <row r="1603">
      <c r="A1603" s="13" t="inlineStr">
        <is>
          <t>Inspired Insurgent</t>
        </is>
      </c>
      <c r="B1603" s="13" t="inlineStr">
        <is>
          <t>Creature — Human Peasant Ally</t>
        </is>
      </c>
      <c r="C1603" s="13" t="inlineStr">
        <is>
          <t>Common / Comum</t>
        </is>
      </c>
      <c r="D1603" s="13" t="inlineStr">
        <is>
          <t>{1}, Sacrifice this creature: Destroy target artifact or enchantment.</t>
        </is>
      </c>
      <c r="E1603" s="13" t="inlineStr">
        <is>
          <t>{1}{W}</t>
        </is>
      </c>
      <c r="F1603" s="13" t="inlineStr">
        <is>
          <t>Branco</t>
        </is>
      </c>
      <c r="G1603" s="8" t="n">
        <v>0.15</v>
      </c>
      <c r="H1603" s="13" t="inlineStr">
        <is>
          <t>Avatar: The Last Airbender Eternal (TLE)</t>
        </is>
      </c>
      <c r="I1603" s="13" t="inlineStr">
        <is>
          <t>Não</t>
        </is>
      </c>
      <c r="J1603" s="13" t="n">
        <v>2025</v>
      </c>
      <c r="K1603" s="10" t="n">
        <v>46055</v>
      </c>
      <c r="L1603" s="13" t="n">
        <v>2</v>
      </c>
      <c r="M1603" s="8">
        <f>L1603*G1603</f>
        <v/>
      </c>
      <c r="P1603" s="9" t="n"/>
    </row>
    <row r="1604">
      <c r="A1604" s="13" t="inlineStr">
        <is>
          <t>Inspired Inventor / Inventor Inspirado</t>
        </is>
      </c>
      <c r="B1604" s="13" t="inlineStr">
        <is>
          <t>Creature — Human Artificer / Criatura — Humano Artesão</t>
        </is>
      </c>
      <c r="C1604" s="13" t="inlineStr">
        <is>
          <t>Common / Comum</t>
        </is>
      </c>
      <c r="D1604" s="13"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1604" s="13" t="inlineStr">
        <is>
          <t>{2}{W}</t>
        </is>
      </c>
      <c r="F1604" s="13" t="inlineStr">
        <is>
          <t>Branco</t>
        </is>
      </c>
      <c r="G1604" s="8" t="n">
        <v>0.05</v>
      </c>
      <c r="H1604" s="13" t="inlineStr">
        <is>
          <t>Modern Horizons 3 (MH3)</t>
        </is>
      </c>
      <c r="I1604" s="13" t="inlineStr">
        <is>
          <t>Não</t>
        </is>
      </c>
      <c r="J1604" s="13" t="n">
        <v>2024</v>
      </c>
      <c r="K1604" s="10" t="n">
        <v>46055</v>
      </c>
      <c r="L1604" s="13" t="n">
        <v>1</v>
      </c>
      <c r="M1604" s="8">
        <f>L1604*G1604</f>
        <v/>
      </c>
      <c r="P1604" s="9" t="n"/>
    </row>
    <row r="1605">
      <c r="A1605" s="13" t="inlineStr">
        <is>
          <t>Inspiring Bard / Bardo Inspirador</t>
        </is>
      </c>
      <c r="B1605" s="13" t="inlineStr">
        <is>
          <t>Creature — Elf Bard / Criatura — Elfo Bardo</t>
        </is>
      </c>
      <c r="C1605" s="13" t="inlineStr">
        <is>
          <t>Common / Comum</t>
        </is>
      </c>
      <c r="D1605" s="13"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1605" s="13" t="inlineStr">
        <is>
          <t>{3}{G}</t>
        </is>
      </c>
      <c r="F1605" s="13" t="inlineStr">
        <is>
          <t>Verde</t>
        </is>
      </c>
      <c r="G1605" s="8" t="n">
        <v>0.05</v>
      </c>
      <c r="H1605" s="13" t="inlineStr">
        <is>
          <t>Adventures in the Forgotten Realms (AFR)</t>
        </is>
      </c>
      <c r="I1605" s="13" t="inlineStr">
        <is>
          <t>Não</t>
        </is>
      </c>
      <c r="J1605" s="13" t="n">
        <v>2021</v>
      </c>
      <c r="K1605" s="10" t="n">
        <v>46084</v>
      </c>
      <c r="L1605" s="13" t="n">
        <v>1</v>
      </c>
      <c r="M1605" s="8">
        <f>L1605*G1605</f>
        <v/>
      </c>
      <c r="P1605" s="9" t="n"/>
    </row>
    <row r="1606">
      <c r="A1606" s="13" t="inlineStr">
        <is>
          <t>Inspiring Call / Chamado Inspirador</t>
        </is>
      </c>
      <c r="B1606" s="13" t="inlineStr">
        <is>
          <t>Instant / Mágica Instantânea</t>
        </is>
      </c>
      <c r="C1606" s="13" t="inlineStr">
        <is>
          <t>Uncommon / Incomum</t>
        </is>
      </c>
      <c r="D1606" s="13"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1606" s="13" t="inlineStr">
        <is>
          <t>{2}{G}</t>
        </is>
      </c>
      <c r="F1606" s="13" t="inlineStr">
        <is>
          <t>Verde</t>
        </is>
      </c>
      <c r="G1606" s="8" t="n">
        <v>0.24</v>
      </c>
      <c r="H1606" s="13" t="inlineStr">
        <is>
          <t>Foundations (FDN)</t>
        </is>
      </c>
      <c r="I1606" s="13" t="inlineStr">
        <is>
          <t>Não</t>
        </is>
      </c>
      <c r="J1606" s="13" t="n">
        <v>2024</v>
      </c>
      <c r="L1606" s="13" t="n">
        <v>1</v>
      </c>
      <c r="M1606" s="8">
        <f>L1606*G1606</f>
        <v/>
      </c>
      <c r="P1606" s="9" t="n"/>
    </row>
    <row r="1607">
      <c r="A1607" s="13" t="inlineStr">
        <is>
          <t>Inspiring Overseer / Supervisor Inspirador</t>
        </is>
      </c>
      <c r="B1607" s="13" t="inlineStr">
        <is>
          <t>Creature — Angel Cleric / Criatura — Anjo Clérigo</t>
        </is>
      </c>
      <c r="C1607" s="13" t="inlineStr">
        <is>
          <t>Common / Comum</t>
        </is>
      </c>
      <c r="D1607" s="13" t="inlineStr">
        <is>
          <t>Flying When this creature enters, you gain 1 life and draw a card. / Voar Quando Supervisor Inspirador entra no campo de batalha, você ganha 1 ponto de vida e compra um card.</t>
        </is>
      </c>
      <c r="E1607" s="13" t="inlineStr">
        <is>
          <t>{2}{W}</t>
        </is>
      </c>
      <c r="F1607" s="13" t="inlineStr">
        <is>
          <t>Branco</t>
        </is>
      </c>
      <c r="G1607" s="8" t="n">
        <v>0.5</v>
      </c>
      <c r="H1607" s="13" t="inlineStr">
        <is>
          <t>Streets of New Capenna (SNC)</t>
        </is>
      </c>
      <c r="I1607" s="13" t="inlineStr">
        <is>
          <t>Não</t>
        </is>
      </c>
      <c r="J1607" s="13" t="n">
        <v>2022</v>
      </c>
      <c r="K1607" s="10" t="n">
        <v>46024</v>
      </c>
      <c r="L1607" s="13" t="n">
        <v>8</v>
      </c>
      <c r="M1607" s="8">
        <f>L1607*G1607</f>
        <v/>
      </c>
      <c r="P1607" s="9" t="n"/>
    </row>
    <row r="1608">
      <c r="A1608" s="13" t="inlineStr">
        <is>
          <t>Inspiring Overseer / Supervisor Inspirador</t>
        </is>
      </c>
      <c r="B1608" s="13" t="inlineStr">
        <is>
          <t>Creature — Angel Cleric / Criatura — Anjo Clérigo</t>
        </is>
      </c>
      <c r="C1608" s="13" t="inlineStr">
        <is>
          <t>Common / Comum</t>
        </is>
      </c>
      <c r="D1608" s="13" t="inlineStr">
        <is>
          <t>Flying When this creature enters, you gain 1 life and draw a card. / Voar Quando Supervisor Inspirador entra no campo de batalha, você ganha 1 ponto de vida e compra um card.</t>
        </is>
      </c>
      <c r="E1608" s="13" t="inlineStr">
        <is>
          <t>{2}{W}</t>
        </is>
      </c>
      <c r="F1608" s="13" t="inlineStr">
        <is>
          <t>Branco</t>
        </is>
      </c>
      <c r="G1608" s="8" t="n">
        <v>0.5</v>
      </c>
      <c r="H1608" s="13" t="inlineStr">
        <is>
          <t>Streets of New Capenna (SNC)</t>
        </is>
      </c>
      <c r="I1608" s="13" t="inlineStr">
        <is>
          <t>Não</t>
        </is>
      </c>
      <c r="J1608" s="13" t="n">
        <v>2022</v>
      </c>
      <c r="K1608" s="10" t="n">
        <v>46024</v>
      </c>
      <c r="L1608" s="13" t="n">
        <v>1</v>
      </c>
      <c r="M1608" s="8">
        <f>L1608*G1608</f>
        <v/>
      </c>
      <c r="P1608" s="9" t="n"/>
    </row>
    <row r="1609">
      <c r="A1609" s="13" t="inlineStr">
        <is>
          <t>Inspiring Vantage / Vantagem Inspiradora</t>
        </is>
      </c>
      <c r="B1609" s="13" t="inlineStr">
        <is>
          <t>Land / Terreno</t>
        </is>
      </c>
      <c r="C1609" s="13" t="inlineStr">
        <is>
          <t>Rare / Rara</t>
        </is>
      </c>
      <c r="D1609" s="13" t="inlineStr">
        <is>
          <t>This land enters tapped unless you control two or fewer other lands. {T}: Add {R} or {W}. / Vantagem Inspiradora entra no campo de batalha virado, a menos que você controle dois outros terrenos ou menos. {T}: Adicione {R} ou {W} à sua reserva de mana.</t>
        </is>
      </c>
      <c r="F1609" s="13" t="inlineStr">
        <is>
          <t>Vermelho, Branco</t>
        </is>
      </c>
      <c r="G1609" s="8" t="n">
        <v>7.98</v>
      </c>
      <c r="H1609" s="13" t="inlineStr">
        <is>
          <t>Outlaws of Thunder Junction (OTJ)</t>
        </is>
      </c>
      <c r="I1609" s="13" t="inlineStr">
        <is>
          <t>Não</t>
        </is>
      </c>
      <c r="J1609" s="13" t="n">
        <v>2024</v>
      </c>
      <c r="L1609" s="13" t="n">
        <v>1</v>
      </c>
      <c r="M1609" s="8">
        <f>L1609*G1609</f>
        <v/>
      </c>
      <c r="P1609" s="9" t="n"/>
    </row>
    <row r="1610">
      <c r="A1610" s="13" t="inlineStr">
        <is>
          <t>Instant Ramen / Lámen Instantâneo</t>
        </is>
      </c>
      <c r="B1610" s="13" t="inlineStr">
        <is>
          <t>Artefato — Comida</t>
        </is>
      </c>
      <c r="C1610" s="13" t="inlineStr">
        <is>
          <t>Comum</t>
        </is>
      </c>
      <c r="D1610" s="13" t="inlineStr">
        <is>
          <t>Lampejo. Quando este artefato entrar, compre um card. {2}, {T}, Sacrifique este artefato: Você ganha 3 de vida.</t>
        </is>
      </c>
      <c r="E1610" s="13" t="n">
        <v>2</v>
      </c>
      <c r="F1610" s="13" t="inlineStr">
        <is>
          <t>Incolor</t>
        </is>
      </c>
      <c r="G1610" s="8" t="n">
        <v>0.15</v>
      </c>
      <c r="H1610" s="13" t="inlineStr">
        <is>
          <t>Final Fantasy</t>
        </is>
      </c>
      <c r="I1610" s="13" t="inlineStr">
        <is>
          <t>Não</t>
        </is>
      </c>
      <c r="J1610" s="13" t="n">
        <v>2025</v>
      </c>
      <c r="L1610" s="13" t="n">
        <v>11</v>
      </c>
      <c r="M1610" s="8">
        <f>L1610*G1610</f>
        <v/>
      </c>
      <c r="P1610" s="9" t="n"/>
    </row>
    <row r="1611">
      <c r="A1611" s="13" t="inlineStr">
        <is>
          <t>Intangible Virtue / Virtude Intangível</t>
        </is>
      </c>
      <c r="B1611" s="13" t="inlineStr">
        <is>
          <t>Enchantment / Encantamento</t>
        </is>
      </c>
      <c r="C1611" s="13" t="inlineStr">
        <is>
          <t>Uncommon / Incomum</t>
        </is>
      </c>
      <c r="D1611" s="13" t="inlineStr">
        <is>
          <t>Creature tokens you control get +1/+1 and have vigilance. / As fichas de criatura que você controla recebem +1/+1 e têm vigilância.</t>
        </is>
      </c>
      <c r="E1611" s="13" t="inlineStr">
        <is>
          <t>{1}{W}</t>
        </is>
      </c>
      <c r="F1611" s="13" t="inlineStr">
        <is>
          <t>Branco</t>
        </is>
      </c>
      <c r="G1611" s="8" t="n">
        <v>0.24</v>
      </c>
      <c r="H1611" s="13" t="inlineStr">
        <is>
          <t>Modern Masters 2017 (MM3)</t>
        </is>
      </c>
      <c r="I1611" s="13" t="inlineStr">
        <is>
          <t>Não</t>
        </is>
      </c>
      <c r="J1611" s="13" t="n">
        <v>2017</v>
      </c>
      <c r="L1611" s="13" t="n">
        <v>1</v>
      </c>
      <c r="M1611" s="8">
        <f>L1611*G1611</f>
        <v/>
      </c>
      <c r="P1611" s="9" t="n"/>
    </row>
    <row r="1612">
      <c r="A1612" s="13" t="inlineStr">
        <is>
          <t>Interceptor Mechan / Mecano-interceptador</t>
        </is>
      </c>
      <c r="B1612" s="13" t="inlineStr">
        <is>
          <t>Criatura Artefato — Robô</t>
        </is>
      </c>
      <c r="C1612" s="13" t="inlineStr">
        <is>
          <t>Incomum</t>
        </is>
      </c>
      <c r="D1612" s="13"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1612" s="13" t="inlineStr">
        <is>
          <t>2{B}{R}</t>
        </is>
      </c>
      <c r="F1612" s="13" t="inlineStr">
        <is>
          <t>Multicolorido</t>
        </is>
      </c>
      <c r="G1612" s="8" t="n">
        <v>0.15</v>
      </c>
      <c r="H1612" s="13" t="inlineStr">
        <is>
          <t>Edge of Eternity</t>
        </is>
      </c>
      <c r="I1612" s="13" t="inlineStr">
        <is>
          <t>Não</t>
        </is>
      </c>
      <c r="J1612" s="13" t="n">
        <v>2025</v>
      </c>
      <c r="K1612" s="10" t="n">
        <v>46055</v>
      </c>
      <c r="L1612" s="13" t="n">
        <v>2</v>
      </c>
      <c r="M1612" s="8">
        <f>L1612*G1612</f>
        <v/>
      </c>
      <c r="P1612" s="9" t="n"/>
    </row>
    <row r="1613">
      <c r="A1613" s="13" t="inlineStr">
        <is>
          <t>Intercessor's Arrest / Prisão do Intercessor</t>
        </is>
      </c>
      <c r="B1613" s="13" t="inlineStr">
        <is>
          <t>Enchantment — Aura / Encantamento — Aura</t>
        </is>
      </c>
      <c r="C1613" s="13" t="inlineStr">
        <is>
          <t>Common / Comum</t>
        </is>
      </c>
      <c r="D1613" s="13"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613" s="13" t="inlineStr">
        <is>
          <t>{2}{W}</t>
        </is>
      </c>
      <c r="F1613" s="13" t="inlineStr">
        <is>
          <t>Branco</t>
        </is>
      </c>
      <c r="G1613" s="8" t="n">
        <v>0.1</v>
      </c>
      <c r="H1613" s="13" t="inlineStr">
        <is>
          <t>Kamigawa: Neon Dynasty (NEO)</t>
        </is>
      </c>
      <c r="I1613" s="13" t="inlineStr">
        <is>
          <t>Não</t>
        </is>
      </c>
      <c r="J1613" s="13" t="n">
        <v>2022</v>
      </c>
      <c r="L1613" s="13" t="n">
        <v>1</v>
      </c>
      <c r="M1613" s="8">
        <f>L1613*G1613</f>
        <v/>
      </c>
      <c r="P1613" s="9" t="n"/>
    </row>
    <row r="1614">
      <c r="A1614" s="13" t="inlineStr">
        <is>
          <t>Interpret the Signs / Interpretar os Sinais</t>
        </is>
      </c>
      <c r="B1614" s="13" t="inlineStr">
        <is>
          <t>Feitiço</t>
        </is>
      </c>
      <c r="C1614" s="13" t="inlineStr">
        <is>
          <t>Incomum</t>
        </is>
      </c>
      <c r="D1614" s="13"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1614" s="13" t="inlineStr">
        <is>
          <t>5U</t>
        </is>
      </c>
      <c r="F1614" s="13" t="inlineStr">
        <is>
          <t>Azul</t>
        </is>
      </c>
      <c r="G1614" s="8" t="n">
        <v>0.05</v>
      </c>
      <c r="H1614" s="13" t="inlineStr">
        <is>
          <t>Journey into Nyx</t>
        </is>
      </c>
      <c r="I1614" s="13" t="inlineStr">
        <is>
          <t>Não</t>
        </is>
      </c>
      <c r="J1614" s="13" t="n">
        <v>2014</v>
      </c>
      <c r="L1614" s="13" t="n">
        <v>2</v>
      </c>
      <c r="M1614" s="8">
        <f>L1614*G1614</f>
        <v/>
      </c>
      <c r="P1614" s="9" t="n"/>
    </row>
    <row r="1615">
      <c r="A1615" s="13" t="inlineStr">
        <is>
          <t>Into the Roil / Adentrar o Turbilhão</t>
        </is>
      </c>
      <c r="B1615" s="13" t="inlineStr">
        <is>
          <t>Instant / Mágica Instantânea</t>
        </is>
      </c>
      <c r="C1615" s="13" t="inlineStr">
        <is>
          <t>Common / Comum</t>
        </is>
      </c>
      <c r="D1615" s="13"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15" s="13" t="inlineStr">
        <is>
          <t>{1}{U}</t>
        </is>
      </c>
      <c r="F1615" s="13" t="inlineStr">
        <is>
          <t>Azul</t>
        </is>
      </c>
      <c r="G1615" s="8" t="n">
        <v>0.29</v>
      </c>
      <c r="H1615" s="13" t="inlineStr">
        <is>
          <t>Zendikar Rising (ZNR)</t>
        </is>
      </c>
      <c r="I1615" s="13" t="inlineStr">
        <is>
          <t>Sim</t>
        </is>
      </c>
      <c r="J1615" s="13" t="n">
        <v>2020</v>
      </c>
      <c r="L1615" s="13" t="n">
        <v>1</v>
      </c>
      <c r="M1615" s="8">
        <f>L1615*G1615</f>
        <v/>
      </c>
      <c r="P1615" s="9" t="n"/>
    </row>
    <row r="1616">
      <c r="A1616" s="13" t="inlineStr">
        <is>
          <t>Intrepid Tenderfoot / Pé-tenro Intrépido</t>
        </is>
      </c>
      <c r="B1616" s="13" t="inlineStr">
        <is>
          <t>Criatura — Inseto Cidadão</t>
        </is>
      </c>
      <c r="C1616" s="13" t="inlineStr">
        <is>
          <t>Comum</t>
        </is>
      </c>
      <c r="D1616" s="13" t="inlineStr">
        <is>
          <t>{3}: Coloque um marcador +1/+1 nesta criatura. Ative somente como um feitiço.</t>
        </is>
      </c>
      <c r="E1616" s="13" t="inlineStr">
        <is>
          <t>1{G}</t>
        </is>
      </c>
      <c r="F1616" s="13" t="inlineStr">
        <is>
          <t>Verde</t>
        </is>
      </c>
      <c r="G1616" s="8" t="n">
        <v>0.07000000000000001</v>
      </c>
      <c r="H1616" s="13" t="inlineStr">
        <is>
          <t>Edge of Eternity</t>
        </is>
      </c>
      <c r="I1616" s="13" t="inlineStr">
        <is>
          <t>Não</t>
        </is>
      </c>
      <c r="J1616" s="13" t="n">
        <v>2025</v>
      </c>
      <c r="K1616" s="10" t="n">
        <v>46055</v>
      </c>
      <c r="L1616" s="13" t="n">
        <v>1</v>
      </c>
      <c r="M1616" s="8">
        <f>L1616*G1616</f>
        <v/>
      </c>
      <c r="P1616" s="9" t="n"/>
    </row>
    <row r="1617">
      <c r="A1617" s="13" t="inlineStr">
        <is>
          <t>Intrepid Tenderfoot / Pé-tenro Intrépido</t>
        </is>
      </c>
      <c r="B1617" s="13" t="inlineStr">
        <is>
          <t>Criatura — Inseto Cidadão</t>
        </is>
      </c>
      <c r="C1617" s="13" t="inlineStr">
        <is>
          <t>Comum</t>
        </is>
      </c>
      <c r="D1617" s="13" t="inlineStr">
        <is>
          <t>{3}: Coloque um marcador +1/+1 nesta criatura. Ative somente como um feitiço.</t>
        </is>
      </c>
      <c r="E1617" s="13" t="inlineStr">
        <is>
          <t>1{G}</t>
        </is>
      </c>
      <c r="F1617" s="13" t="inlineStr">
        <is>
          <t>Verde</t>
        </is>
      </c>
      <c r="G1617" s="8" t="n">
        <v>0.2</v>
      </c>
      <c r="H1617" s="13" t="inlineStr">
        <is>
          <t>Edge of Eternity</t>
        </is>
      </c>
      <c r="I1617" s="13" t="inlineStr">
        <is>
          <t>Sim</t>
        </is>
      </c>
      <c r="J1617" s="13" t="n">
        <v>2025</v>
      </c>
      <c r="K1617" s="10" t="n">
        <v>46055</v>
      </c>
      <c r="L1617" s="13" t="n">
        <v>1</v>
      </c>
      <c r="M1617" s="8">
        <f>L1617*G1617</f>
        <v/>
      </c>
      <c r="P1617" s="9" t="n"/>
    </row>
    <row r="1618">
      <c r="A1618" s="13" t="inlineStr">
        <is>
          <t>Introdução à Profecia / Introduction to Prophecy</t>
        </is>
      </c>
      <c r="B1618" s="13" t="inlineStr">
        <is>
          <t>Feitiço — Lição</t>
        </is>
      </c>
      <c r="C1618" s="13" t="inlineStr">
        <is>
          <t>Comum</t>
        </is>
      </c>
      <c r="D1618" s="13" t="inlineStr">
        <is>
          <t>Use vidência 2 e depois compre um card.</t>
        </is>
      </c>
      <c r="E1618" s="13" t="inlineStr">
        <is>
          <t>{3}</t>
        </is>
      </c>
      <c r="F1618" s="13" t="inlineStr">
        <is>
          <t>Incolor</t>
        </is>
      </c>
      <c r="G1618" s="8" t="n">
        <v>0.15</v>
      </c>
      <c r="H1618" s="13" t="inlineStr">
        <is>
          <t>Strixhaven: School of Mages (STX)</t>
        </is>
      </c>
      <c r="I1618" s="13" t="inlineStr">
        <is>
          <t>Não</t>
        </is>
      </c>
      <c r="J1618" s="13" t="n">
        <v>2021</v>
      </c>
      <c r="L1618" s="13" t="n">
        <v>2</v>
      </c>
      <c r="M1618" s="8">
        <f>L1618*G1618</f>
        <v/>
      </c>
      <c r="P1618" s="9" t="n"/>
    </row>
    <row r="1619">
      <c r="A1619" s="13" t="inlineStr">
        <is>
          <t>Intruding Soulrager</t>
        </is>
      </c>
      <c r="B1619" s="13" t="inlineStr">
        <is>
          <t>Creature — Spirit</t>
        </is>
      </c>
      <c r="C1619" s="13" t="inlineStr">
        <is>
          <t>Uncommon / Incomum</t>
        </is>
      </c>
      <c r="D1619" s="13" t="inlineStr">
        <is>
          <t>Vigilance {T}, Sacrifice a Room: This creature deals 2 damage to each opponent. Draw a card.</t>
        </is>
      </c>
      <c r="E1619" s="13" t="inlineStr">
        <is>
          <t>{U}{R}</t>
        </is>
      </c>
      <c r="F1619" s="13" t="inlineStr">
        <is>
          <t>Vermelho, Azul</t>
        </is>
      </c>
      <c r="G1619" s="8" t="n">
        <v>0.05</v>
      </c>
      <c r="H1619" s="13" t="inlineStr">
        <is>
          <t>Duskmourn: House of Horror (DSK)</t>
        </is>
      </c>
      <c r="I1619" s="13" t="inlineStr">
        <is>
          <t>Não</t>
        </is>
      </c>
      <c r="J1619" s="13" t="n">
        <v>2024</v>
      </c>
      <c r="K1619" s="10" t="n">
        <v>46055</v>
      </c>
      <c r="L1619" s="13" t="n">
        <v>1</v>
      </c>
      <c r="M1619" s="8">
        <f>L1619*G1619</f>
        <v/>
      </c>
      <c r="P1619" s="9" t="n"/>
    </row>
    <row r="1620">
      <c r="A1620" s="13" t="inlineStr">
        <is>
          <t>Intrusive Packbeast / Besta de Carga Invasiva</t>
        </is>
      </c>
      <c r="B1620" s="13" t="inlineStr">
        <is>
          <t>Creature — Beast / Criatura — Besta</t>
        </is>
      </c>
      <c r="C1620" s="13" t="inlineStr">
        <is>
          <t>Common / Comum</t>
        </is>
      </c>
      <c r="D1620" s="13" t="inlineStr">
        <is>
          <t>Vigilance When this creature enters, tap up to two target creatures your opponents control. / Vigilância Quando Besta de Carga Invasiva entrar no campo de batalha, vire até duas criaturas alvo que seus oponentes controlam.</t>
        </is>
      </c>
      <c r="E1620" s="13" t="inlineStr">
        <is>
          <t>{4}{W}</t>
        </is>
      </c>
      <c r="F1620" s="13" t="inlineStr">
        <is>
          <t>Branco</t>
        </is>
      </c>
      <c r="G1620" s="8" t="n">
        <v>0.03</v>
      </c>
      <c r="H1620" s="13" t="inlineStr">
        <is>
          <t>Guilds of Ravnica (GRN)</t>
        </is>
      </c>
      <c r="I1620" s="13" t="inlineStr">
        <is>
          <t>Não</t>
        </is>
      </c>
      <c r="J1620" s="13" t="n">
        <v>2018</v>
      </c>
      <c r="K1620" s="10" t="n">
        <v>46084</v>
      </c>
      <c r="L1620" s="13" t="n">
        <v>1</v>
      </c>
      <c r="M1620" s="8">
        <f>L1620*G1620</f>
        <v/>
      </c>
      <c r="N1620" s="13" t="inlineStr">
        <is>
          <t>Bulk Shopee</t>
        </is>
      </c>
      <c r="P1620" s="9" t="n"/>
    </row>
    <row r="1621">
      <c r="A1621" s="13" t="inlineStr">
        <is>
          <t>Invasão de Eldraine / Invasion of Eldraine</t>
        </is>
      </c>
      <c r="B1621" s="13" t="inlineStr">
        <is>
          <t>Batalha - Cerco / Battle - Siege</t>
        </is>
      </c>
      <c r="C1621" s="13" t="inlineStr">
        <is>
          <t>Incomum / Uncommon</t>
        </is>
      </c>
      <c r="D1621" s="13"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1621" s="13" t="inlineStr">
        <is>
          <t>{3}{B}</t>
        </is>
      </c>
      <c r="F1621" s="13" t="inlineStr">
        <is>
          <t>Preto</t>
        </is>
      </c>
      <c r="G1621" s="8" t="n">
        <v>0.04</v>
      </c>
      <c r="H1621" s="13" t="inlineStr">
        <is>
          <t>March of the Machine (MOM)</t>
        </is>
      </c>
      <c r="I1621" s="13" t="inlineStr">
        <is>
          <t>Não</t>
        </is>
      </c>
      <c r="J1621" s="13" t="n">
        <v>2023</v>
      </c>
      <c r="K1621" s="13" t="inlineStr">
        <is>
          <t>4 (Defesa)</t>
        </is>
      </c>
      <c r="L1621" s="13" t="n">
        <v>1</v>
      </c>
      <c r="M1621" s="8">
        <f>L1621*G1621</f>
        <v/>
      </c>
      <c r="P1621" s="9" t="n"/>
    </row>
    <row r="1622">
      <c r="A1622" s="13" t="inlineStr">
        <is>
          <t>Invasão de Ulgrotha / Invasion of Ulgrotha</t>
        </is>
      </c>
      <c r="B1622" s="13" t="inlineStr">
        <is>
          <t>Batalha - Cerco / Battle - Siege</t>
        </is>
      </c>
      <c r="C1622" s="13" t="inlineStr">
        <is>
          <t>Incomum / Uncommon</t>
        </is>
      </c>
      <c r="D1622" s="13"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1622" s="13" t="inlineStr">
        <is>
          <t>{4}{B}</t>
        </is>
      </c>
      <c r="F1622" s="13" t="inlineStr">
        <is>
          <t>Preto</t>
        </is>
      </c>
      <c r="G1622" s="8" t="n">
        <v>0.04</v>
      </c>
      <c r="H1622" s="13" t="inlineStr">
        <is>
          <t>March of the Machine (MOM)</t>
        </is>
      </c>
      <c r="I1622" s="13" t="inlineStr">
        <is>
          <t>Não</t>
        </is>
      </c>
      <c r="J1622" s="13" t="n">
        <v>2023</v>
      </c>
      <c r="K1622" s="13" t="inlineStr">
        <is>
          <t>5 (Defesa)</t>
        </is>
      </c>
      <c r="L1622" s="13" t="n">
        <v>1</v>
      </c>
      <c r="M1622" s="8">
        <f>L1622*G1622</f>
        <v/>
      </c>
      <c r="P1622" s="9" t="n"/>
    </row>
    <row r="1623">
      <c r="A1623" s="13" t="inlineStr">
        <is>
          <t>Invasion of Muraganda / Invasão de Muraganda</t>
        </is>
      </c>
      <c r="B1623" s="13" t="inlineStr">
        <is>
          <t>Battle — Siege / Batalha — Cerco</t>
        </is>
      </c>
      <c r="C1623" s="13" t="inlineStr">
        <is>
          <t>Uncommon / Incomum</t>
        </is>
      </c>
      <c r="D1623" s="13"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1623" s="13" t="inlineStr">
        <is>
          <t>{4}{G}</t>
        </is>
      </c>
      <c r="F1623" s="13" t="inlineStr">
        <is>
          <t>Verde</t>
        </is>
      </c>
      <c r="G1623" s="8" t="n">
        <v>0.09</v>
      </c>
      <c r="H1623" s="13" t="inlineStr">
        <is>
          <t>March of the Machine (MOM)</t>
        </is>
      </c>
      <c r="I1623" s="13" t="inlineStr">
        <is>
          <t>Não</t>
        </is>
      </c>
      <c r="J1623" s="13" t="n">
        <v>2023</v>
      </c>
      <c r="L1623" s="13" t="n">
        <v>1</v>
      </c>
      <c r="M1623" s="8">
        <f>L1623*G1623</f>
        <v/>
      </c>
      <c r="P1623" s="9" t="n"/>
    </row>
    <row r="1624">
      <c r="A1624" s="13" t="inlineStr">
        <is>
          <t>Invasion of Pyrulea / Invasão de Pyrulea</t>
        </is>
      </c>
      <c r="B1624" s="13" t="inlineStr">
        <is>
          <t>Battle — Siege / Batalha — Cerco</t>
        </is>
      </c>
      <c r="C1624" s="13" t="inlineStr">
        <is>
          <t>Uncommon / Incomum</t>
        </is>
      </c>
      <c r="D1624" s="13"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1624" s="13" t="inlineStr">
        <is>
          <t>{G}{U}</t>
        </is>
      </c>
      <c r="F1624" s="13" t="inlineStr">
        <is>
          <t>Verde, Azul</t>
        </is>
      </c>
      <c r="G1624" s="8" t="n">
        <v>0.04</v>
      </c>
      <c r="H1624" s="13" t="inlineStr">
        <is>
          <t>March of the Machine (MOM)</t>
        </is>
      </c>
      <c r="I1624" s="13" t="inlineStr">
        <is>
          <t>Não</t>
        </is>
      </c>
      <c r="J1624" s="13" t="n">
        <v>2023</v>
      </c>
      <c r="L1624" s="13" t="n">
        <v>1</v>
      </c>
      <c r="M1624" s="8">
        <f>L1624*G1624</f>
        <v/>
      </c>
      <c r="P1624" s="9" t="n"/>
    </row>
    <row r="1625">
      <c r="A1625" s="13" t="inlineStr">
        <is>
          <t>Invasion of Xerex / Invasão de Xerex</t>
        </is>
      </c>
      <c r="B1625" s="13" t="inlineStr">
        <is>
          <t>Battle — Siege / Batalha — Cerco</t>
        </is>
      </c>
      <c r="C1625" s="13" t="inlineStr">
        <is>
          <t>Uncommon / Incomum</t>
        </is>
      </c>
      <c r="D1625" s="13"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1625" s="13" t="inlineStr">
        <is>
          <t>{2}{W}{U}</t>
        </is>
      </c>
      <c r="F1625" s="13" t="inlineStr">
        <is>
          <t>Azul, Branco</t>
        </is>
      </c>
      <c r="G1625" s="8" t="n">
        <v>0.04</v>
      </c>
      <c r="H1625" s="13" t="inlineStr">
        <is>
          <t>March of the Machine (MOM)</t>
        </is>
      </c>
      <c r="I1625" s="13" t="inlineStr">
        <is>
          <t>Não</t>
        </is>
      </c>
      <c r="J1625" s="13" t="n">
        <v>2023</v>
      </c>
      <c r="L1625" s="13" t="n">
        <v>1</v>
      </c>
      <c r="M1625" s="8">
        <f>L1625*G1625</f>
        <v/>
      </c>
      <c r="P1625" s="9" t="n"/>
    </row>
    <row r="1626">
      <c r="A1626" s="13" t="inlineStr">
        <is>
          <t>Invasion Reinforcements</t>
        </is>
      </c>
      <c r="B1626" s="13" t="inlineStr">
        <is>
          <t>Creature — Human Warrior Ally</t>
        </is>
      </c>
      <c r="C1626" s="13" t="inlineStr">
        <is>
          <t>Uncommon / Incomum</t>
        </is>
      </c>
      <c r="D1626" s="13" t="inlineStr">
        <is>
          <t>Flash When this creature enters, create a 1/1 white Ally creature token.</t>
        </is>
      </c>
      <c r="E1626" s="13" t="inlineStr">
        <is>
          <t>{1}{W}</t>
        </is>
      </c>
      <c r="F1626" s="13" t="inlineStr">
        <is>
          <t>Branco</t>
        </is>
      </c>
      <c r="G1626" s="8" t="n">
        <v>0.2</v>
      </c>
      <c r="H1626" s="13" t="inlineStr">
        <is>
          <t>Avatar: The Last Airbender (TLA)</t>
        </is>
      </c>
      <c r="I1626" s="13" t="inlineStr">
        <is>
          <t>Não</t>
        </is>
      </c>
      <c r="J1626" s="13" t="n">
        <v>2025</v>
      </c>
      <c r="K1626" s="10" t="n">
        <v>46023</v>
      </c>
      <c r="L1626" s="13" t="n">
        <v>1</v>
      </c>
      <c r="M1626" s="8">
        <f>L1626*G1626</f>
        <v/>
      </c>
      <c r="P1626" s="9" t="n"/>
    </row>
    <row r="1627">
      <c r="A1627" s="13" t="inlineStr">
        <is>
          <t>Invasive Maneuvers / Manobras Invasivas</t>
        </is>
      </c>
      <c r="B1627" s="13" t="inlineStr">
        <is>
          <t>Mágica Instantânea</t>
        </is>
      </c>
      <c r="C1627" s="13" t="inlineStr">
        <is>
          <t>Incomum</t>
        </is>
      </c>
      <c r="D1627" s="13" t="inlineStr">
        <is>
          <t>Invasive Maneuvers causa 3 pontos de dano à criatura alvo. Ele causa 5 pontos de dano em vez disso se você controlar uma Nave Espacial.</t>
        </is>
      </c>
      <c r="E1627" s="13" t="inlineStr">
        <is>
          <t>1{R}</t>
        </is>
      </c>
      <c r="F1627" s="13" t="inlineStr">
        <is>
          <t>Vermelho</t>
        </is>
      </c>
      <c r="G1627" s="8" t="n">
        <v>0.09</v>
      </c>
      <c r="H1627" s="13" t="inlineStr">
        <is>
          <t>Edge of Eternity</t>
        </is>
      </c>
      <c r="I1627" s="13" t="inlineStr">
        <is>
          <t>Não</t>
        </is>
      </c>
      <c r="J1627" s="13" t="n">
        <v>2025</v>
      </c>
      <c r="L1627" s="13" t="n">
        <v>1</v>
      </c>
      <c r="M1627" s="8">
        <f>L1627*G1627</f>
        <v/>
      </c>
      <c r="P1627" s="9" t="n"/>
    </row>
    <row r="1628">
      <c r="A1628" s="13" t="inlineStr">
        <is>
          <t>Invisible Woman, Sue Storm / Mulher Invisível, Sue Storm</t>
        </is>
      </c>
      <c r="B1628" s="13" t="inlineStr">
        <is>
          <t>Criatura Lendária — Humano Herói</t>
        </is>
      </c>
      <c r="C1628" s="13" t="inlineStr">
        <is>
          <t>Incomum</t>
        </is>
      </c>
      <c r="D1628" s="13" t="inlineStr">
        <is>
          <t>Vínculo com a vida. Sempre que você colocar um ou mais marcadores +1/+1 em um ou mais outros Heróis que você controla, você pode criar uma ficha de criatura Barreira incolor 0/4 com defensor.</t>
        </is>
      </c>
      <c r="E1628" s="13" t="inlineStr">
        <is>
          <t>4{W}</t>
        </is>
      </c>
      <c r="F1628" s="13" t="inlineStr">
        <is>
          <t>Branco</t>
        </is>
      </c>
      <c r="G1628" s="8" t="n">
        <v>0.99</v>
      </c>
      <c r="H1628" s="13" t="inlineStr">
        <is>
          <t>Marvel</t>
        </is>
      </c>
      <c r="I1628" s="13" t="inlineStr">
        <is>
          <t>Não</t>
        </is>
      </c>
      <c r="J1628" s="13" t="n">
        <v>2026</v>
      </c>
      <c r="K1628" s="10" t="n">
        <v>46144</v>
      </c>
      <c r="L1628" s="13" t="n">
        <v>1</v>
      </c>
      <c r="M1628" s="8">
        <f>L1628*G1628</f>
        <v/>
      </c>
      <c r="P1628" s="9" t="n"/>
    </row>
    <row r="1629">
      <c r="A1629" s="13" t="inlineStr">
        <is>
          <t>Ionizar / Ionize</t>
        </is>
      </c>
      <c r="B1629" s="13" t="inlineStr">
        <is>
          <t>Mágica Instantânea / Instant</t>
        </is>
      </c>
      <c r="C1629" s="13" t="inlineStr">
        <is>
          <t>Rara / Rare</t>
        </is>
      </c>
      <c r="D1629" s="13" t="inlineStr">
        <is>
          <t>Anule a mágica alvo. Ionizar causa 2 pontos de dano ao controlador daquela mágica. / Counter target spell. Ionize deals 2 damage to that spell's controller.</t>
        </is>
      </c>
      <c r="E1629" s="13" t="inlineStr">
        <is>
          <t>{1}{U}{R}</t>
        </is>
      </c>
      <c r="F1629" s="13" t="inlineStr">
        <is>
          <t>Azul e Vermelho / Blue and Red</t>
        </is>
      </c>
      <c r="G1629" s="8" t="n">
        <v>0.55</v>
      </c>
      <c r="H1629" s="13" t="inlineStr">
        <is>
          <t>Guilds of Ravnica (GRN)</t>
        </is>
      </c>
      <c r="I1629" s="13" t="inlineStr">
        <is>
          <t>Não</t>
        </is>
      </c>
      <c r="J1629" s="13" t="n">
        <v>2018</v>
      </c>
      <c r="L1629" s="13" t="n">
        <v>1</v>
      </c>
      <c r="M1629" s="8">
        <f>L1629*G1629</f>
        <v/>
      </c>
      <c r="P1629" s="9" t="n"/>
    </row>
    <row r="1630">
      <c r="A1630" s="13" t="inlineStr">
        <is>
          <t>Ioreth da Casa de Cura / Ioreth of the Healing House</t>
        </is>
      </c>
      <c r="B1630" s="13" t="inlineStr">
        <is>
          <t>Criatura Lendária — Humano Clérigo</t>
        </is>
      </c>
      <c r="C1630" s="13" t="inlineStr">
        <is>
          <t>Incomum</t>
        </is>
      </c>
      <c r="D1630" s="13" t="inlineStr">
        <is>
          <t>{T}: Desvire outra permanente alvo. {T}: Desvire duas outras criaturas lendárias alvo.</t>
        </is>
      </c>
      <c r="E1630" s="13" t="inlineStr">
        <is>
          <t>2{U}</t>
        </is>
      </c>
      <c r="F1630" s="13" t="inlineStr">
        <is>
          <t>Azul</t>
        </is>
      </c>
      <c r="G1630" s="8" t="n">
        <v>0.34</v>
      </c>
      <c r="H1630" s="13" t="inlineStr">
        <is>
          <t>The Lord of the Rings: Tales of Middle-earth (LTR)</t>
        </is>
      </c>
      <c r="I1630" s="13" t="inlineStr">
        <is>
          <t>Não</t>
        </is>
      </c>
      <c r="J1630" s="13" t="n">
        <v>2023</v>
      </c>
      <c r="K1630" s="10" t="n">
        <v>46113</v>
      </c>
      <c r="L1630" s="13" t="n">
        <v>2</v>
      </c>
      <c r="M1630" s="8">
        <f>L1630*G1630</f>
        <v/>
      </c>
      <c r="P1630" s="9" t="n"/>
    </row>
    <row r="1631">
      <c r="A1631" s="13" t="inlineStr">
        <is>
          <t>Iridescent Blademaster / Espadachim-mestre Iridescente</t>
        </is>
      </c>
      <c r="B1631" s="13" t="inlineStr">
        <is>
          <t>Creature — Elf Warrior / Criatura — Elfo Guerreiro</t>
        </is>
      </c>
      <c r="C1631" s="13" t="inlineStr">
        <is>
          <t>Common / Comum</t>
        </is>
      </c>
      <c r="D1631" s="13" t="inlineStr">
        <is>
          <t>{3}{G}: This creature gets +2/+2 until end of turn. / {3}{G}: Espadachim-mestre Iridescente recebe +2/+2 até o final do turno.</t>
        </is>
      </c>
      <c r="E1631" s="13" t="inlineStr">
        <is>
          <t>{1}{G}</t>
        </is>
      </c>
      <c r="F1631" s="13" t="inlineStr">
        <is>
          <t>Verde</t>
        </is>
      </c>
      <c r="G1631" s="8" t="n">
        <v>0.04</v>
      </c>
      <c r="H1631" s="13" t="inlineStr">
        <is>
          <t>March of the Machine (MOM)</t>
        </is>
      </c>
      <c r="I1631" s="13" t="inlineStr">
        <is>
          <t>Não</t>
        </is>
      </c>
      <c r="J1631" s="13" t="n">
        <v>2023</v>
      </c>
      <c r="K1631" s="10" t="n">
        <v>46055</v>
      </c>
      <c r="L1631" s="13" t="n">
        <v>1</v>
      </c>
      <c r="M1631" s="8">
        <f>L1631*G1631</f>
        <v/>
      </c>
      <c r="P1631" s="9" t="n"/>
    </row>
    <row r="1632">
      <c r="A1632" s="13" t="inlineStr">
        <is>
          <t>Iroh, Grand Lotus</t>
        </is>
      </c>
      <c r="B1632" s="13" t="inlineStr">
        <is>
          <t>Legendary Creature — Human Noble Ally</t>
        </is>
      </c>
      <c r="C1632" s="13" t="inlineStr">
        <is>
          <t>Rare / Rara</t>
        </is>
      </c>
      <c r="D1632" s="13"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632" s="13" t="inlineStr">
        <is>
          <t>{3}{G}{U}{R}</t>
        </is>
      </c>
      <c r="F1632" s="13" t="inlineStr">
        <is>
          <t>Verde, Vermelho, Azul</t>
        </is>
      </c>
      <c r="G1632" s="8" t="n">
        <v>1.19</v>
      </c>
      <c r="H1632" s="13" t="inlineStr">
        <is>
          <t>Avatar: The Last Airbender (TLA)</t>
        </is>
      </c>
      <c r="I1632" s="13" t="inlineStr">
        <is>
          <t>Não</t>
        </is>
      </c>
      <c r="J1632" s="13" t="n">
        <v>2025</v>
      </c>
      <c r="K1632" s="10" t="n">
        <v>46147</v>
      </c>
      <c r="L1632" s="13" t="n">
        <v>1</v>
      </c>
      <c r="M1632" s="8">
        <f>L1632*G1632</f>
        <v/>
      </c>
      <c r="P1632" s="9" t="n"/>
    </row>
    <row r="1633">
      <c r="A1633" s="13" t="inlineStr">
        <is>
          <t>Iron Bully / Valentão de Ferro</t>
        </is>
      </c>
      <c r="B1633" s="13" t="inlineStr">
        <is>
          <t>Artifact Creature — Golem / Criatura Artefato — Golem</t>
        </is>
      </c>
      <c r="C1633" s="13" t="inlineStr">
        <is>
          <t>Common / Comum</t>
        </is>
      </c>
      <c r="D1633" s="13" t="inlineStr">
        <is>
          <t>Menace. When Iron Bully enters the battlefield, put a +1/+1 counter on target creature. / Ameaçar. Quando Valentão de Ferro entra no campo de batalha, coloque um marcador +1/+1 na criatura alvo.</t>
        </is>
      </c>
      <c r="E1633" s="13" t="inlineStr">
        <is>
          <t>{3}</t>
        </is>
      </c>
      <c r="F1633" s="13" t="inlineStr">
        <is>
          <t>Incolor</t>
        </is>
      </c>
      <c r="G1633" s="8" t="n">
        <v>0.06</v>
      </c>
      <c r="H1633" s="13" t="inlineStr">
        <is>
          <t>Double Masters (2XM)</t>
        </is>
      </c>
      <c r="I1633" s="13" t="inlineStr">
        <is>
          <t>No</t>
        </is>
      </c>
      <c r="J1633" s="13" t="n">
        <v>2020</v>
      </c>
      <c r="K1633" s="10" t="n">
        <v>46023</v>
      </c>
      <c r="L1633" s="13" t="n">
        <v>1</v>
      </c>
      <c r="M1633" s="8">
        <f>L1633*G1633</f>
        <v/>
      </c>
      <c r="P1633" s="9" t="n"/>
    </row>
    <row r="1634">
      <c r="A1634" s="13" t="inlineStr">
        <is>
          <t>Iron Giant</t>
        </is>
      </c>
      <c r="B1634" s="13" t="inlineStr">
        <is>
          <t>Artifact Creature — Demon</t>
        </is>
      </c>
      <c r="C1634" s="13" t="inlineStr">
        <is>
          <t>Comum</t>
        </is>
      </c>
      <c r="D1634" s="13" t="inlineStr">
        <is>
          <t>Vigilance, reach, trample</t>
        </is>
      </c>
      <c r="E1634" s="13" t="n">
        <v>7</v>
      </c>
      <c r="F1634" s="13" t="inlineStr">
        <is>
          <t>Incolor</t>
        </is>
      </c>
      <c r="G1634" s="8" t="n">
        <v>0.05</v>
      </c>
      <c r="H1634" s="13" t="inlineStr">
        <is>
          <t>Final Fantasy (FFXV)</t>
        </is>
      </c>
      <c r="I1634" s="13" t="inlineStr">
        <is>
          <t>Não</t>
        </is>
      </c>
      <c r="J1634" s="13" t="n">
        <v>2025</v>
      </c>
      <c r="K1634" s="10" t="n">
        <v>46179</v>
      </c>
      <c r="L1634" s="13" t="n">
        <v>7</v>
      </c>
      <c r="M1634" s="8">
        <f>L1634*G1634</f>
        <v/>
      </c>
      <c r="P1634" s="9" t="n"/>
    </row>
    <row r="1635">
      <c r="A1635" s="13" t="inlineStr">
        <is>
          <t>Iron League Steed / Corcel da Liga de Ferro</t>
        </is>
      </c>
      <c r="B1635" s="13" t="inlineStr">
        <is>
          <t>Artifact Creature — Construct / Criatura Artefato — Constructo</t>
        </is>
      </c>
      <c r="C1635" s="13" t="inlineStr">
        <is>
          <t>Common / Comum</t>
        </is>
      </c>
      <c r="D1635" s="13"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1635" s="13" t="inlineStr">
        <is>
          <t>{4}</t>
        </is>
      </c>
      <c r="F1635" s="13" t="inlineStr">
        <is>
          <t>Incolor</t>
        </is>
      </c>
      <c r="G1635" s="8" t="n">
        <v>0.15</v>
      </c>
      <c r="H1635" s="13" t="inlineStr">
        <is>
          <t>Double Masters (2XM)</t>
        </is>
      </c>
      <c r="I1635" s="13" t="inlineStr">
        <is>
          <t>Sim</t>
        </is>
      </c>
      <c r="J1635" s="13" t="n">
        <v>2020</v>
      </c>
      <c r="K1635" s="10" t="n">
        <v>46055</v>
      </c>
      <c r="L1635" s="13" t="n">
        <v>1</v>
      </c>
      <c r="M1635" s="8">
        <f>L1635*G1635</f>
        <v/>
      </c>
      <c r="P1635" s="9" t="n"/>
    </row>
    <row r="1636">
      <c r="A1636" s="13" t="inlineStr">
        <is>
          <t>Iron Star / Estrela de Ferro</t>
        </is>
      </c>
      <c r="B1636" s="13" t="inlineStr">
        <is>
          <t>Artifact / Artefato</t>
        </is>
      </c>
      <c r="C1636" s="13" t="inlineStr">
        <is>
          <t>Uncommon / Incomum</t>
        </is>
      </c>
      <c r="D1636" s="13" t="inlineStr">
        <is>
          <t>Whenever a player casts a red spell, you may pay {1}. If you do, you gain 1 life. / Toda vez que um jogador jogar uma mágica vermelha, você pode pagar {1}. Se o fizer, você ganha 1 ponto de vida.</t>
        </is>
      </c>
      <c r="E1636" s="13" t="inlineStr">
        <is>
          <t>{1}</t>
        </is>
      </c>
      <c r="F1636" s="13" t="inlineStr">
        <is>
          <t>Incolor</t>
        </is>
      </c>
      <c r="G1636" s="8" t="n">
        <v>0.09</v>
      </c>
      <c r="H1636" s="13" t="inlineStr">
        <is>
          <t>Fourth Edition</t>
        </is>
      </c>
      <c r="I1636" s="13" t="inlineStr">
        <is>
          <t>Não</t>
        </is>
      </c>
      <c r="J1636" s="13" t="n">
        <v>1995</v>
      </c>
      <c r="L1636" s="13" t="n">
        <v>1</v>
      </c>
      <c r="M1636" s="8">
        <f>L1636*G1636</f>
        <v/>
      </c>
      <c r="P1636" s="9" t="n"/>
    </row>
    <row r="1637">
      <c r="A1637" s="13" t="inlineStr">
        <is>
          <t>Iron Star / Estrela de Ferro</t>
        </is>
      </c>
      <c r="B1637" s="13" t="inlineStr">
        <is>
          <t>Artifact / Artefato</t>
        </is>
      </c>
      <c r="C1637" s="13" t="inlineStr">
        <is>
          <t>Uncommon / Incomum</t>
        </is>
      </c>
      <c r="D1637" s="13" t="inlineStr">
        <is>
          <t>Whenever a player casts a red spell, you may pay {1}. If you do, you gain 1 life. / Toda vez que um jogador jogar uma mágica vermelha, você pode pagar {1}. Se o fizer, você ganha 1 ponto de vida.</t>
        </is>
      </c>
      <c r="E1637" s="13" t="inlineStr">
        <is>
          <t>{1}</t>
        </is>
      </c>
      <c r="F1637" s="13" t="inlineStr">
        <is>
          <t>Incolor</t>
        </is>
      </c>
      <c r="G1637" s="8" t="n">
        <v>0.21</v>
      </c>
      <c r="H1637" s="13" t="inlineStr">
        <is>
          <t>Fourth Edition (BB)</t>
        </is>
      </c>
      <c r="I1637" s="13" t="inlineStr">
        <is>
          <t>Não</t>
        </is>
      </c>
      <c r="J1637" s="13" t="n">
        <v>1995</v>
      </c>
      <c r="L1637" s="13" t="n">
        <v>2</v>
      </c>
      <c r="M1637" s="8">
        <f>L1637*G1637</f>
        <v/>
      </c>
      <c r="P1637" s="9" t="n"/>
    </row>
    <row r="1638">
      <c r="A1638" s="13" t="inlineStr">
        <is>
          <t>Iron Verdict / Veredito de Ferro</t>
        </is>
      </c>
      <c r="B1638" s="13" t="inlineStr">
        <is>
          <t>Instant / Mágica Instantânea</t>
        </is>
      </c>
      <c r="C1638" s="13" t="inlineStr">
        <is>
          <t>Common / Comum</t>
        </is>
      </c>
      <c r="D1638" s="13"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1638" s="13" t="inlineStr">
        <is>
          <t>{2}{W}</t>
        </is>
      </c>
      <c r="F1638" s="13" t="inlineStr">
        <is>
          <t>Branco</t>
        </is>
      </c>
      <c r="G1638" s="8" t="n">
        <v>0.06</v>
      </c>
      <c r="H1638" s="13" t="inlineStr">
        <is>
          <t>Kaldheim (KHM)</t>
        </is>
      </c>
      <c r="I1638" s="13" t="inlineStr">
        <is>
          <t>Não</t>
        </is>
      </c>
      <c r="J1638" s="13" t="n">
        <v>2021</v>
      </c>
      <c r="L1638" s="13" t="n">
        <v>1</v>
      </c>
      <c r="M1638" s="8">
        <f>L1638*G1638</f>
        <v/>
      </c>
      <c r="P1638" s="9" t="n"/>
    </row>
    <row r="1639">
      <c r="A1639" s="13" t="inlineStr">
        <is>
          <t>Ironclaw Orcs / Orcs da Garra de Ferro</t>
        </is>
      </c>
      <c r="B1639" s="13" t="inlineStr">
        <is>
          <t>Creature — Orc</t>
        </is>
      </c>
      <c r="C1639" s="13" t="inlineStr">
        <is>
          <t>Common / Comum</t>
        </is>
      </c>
      <c r="D1639" s="13" t="inlineStr">
        <is>
          <t>This creature can't block creatures with power 2 or greater.</t>
        </is>
      </c>
      <c r="E1639" s="13" t="inlineStr">
        <is>
          <t>{1}{R}</t>
        </is>
      </c>
      <c r="F1639" s="13" t="inlineStr">
        <is>
          <t>Vermelho</t>
        </is>
      </c>
      <c r="G1639" s="8" t="n">
        <v>0.05</v>
      </c>
      <c r="H1639" s="13" t="inlineStr">
        <is>
          <t>Fourth Edition</t>
        </is>
      </c>
      <c r="I1639" s="13" t="inlineStr">
        <is>
          <t>Não</t>
        </is>
      </c>
      <c r="J1639" s="13" t="n">
        <v>1995</v>
      </c>
      <c r="K1639" s="10" t="n">
        <v>46055</v>
      </c>
      <c r="L1639" s="13" t="n">
        <v>5</v>
      </c>
      <c r="M1639" s="8">
        <f>L1639*G1639</f>
        <v/>
      </c>
      <c r="P1639" s="9" t="n"/>
    </row>
    <row r="1640">
      <c r="A1640" s="13" t="inlineStr">
        <is>
          <t>Ironclaw Orcs / Orcs da Garra de Ferro</t>
        </is>
      </c>
      <c r="B1640" s="13" t="inlineStr">
        <is>
          <t>Creature — Orc</t>
        </is>
      </c>
      <c r="C1640" s="13" t="inlineStr">
        <is>
          <t>Common / Comum</t>
        </is>
      </c>
      <c r="D1640" s="13" t="inlineStr">
        <is>
          <t>This creature can't block creatures with power 2 or greater.</t>
        </is>
      </c>
      <c r="E1640" s="13" t="inlineStr">
        <is>
          <t>{1}{R}</t>
        </is>
      </c>
      <c r="F1640" s="13" t="inlineStr">
        <is>
          <t>Vermelho</t>
        </is>
      </c>
      <c r="G1640" s="8" t="n">
        <v>0.18</v>
      </c>
      <c r="H1640" s="13" t="inlineStr">
        <is>
          <t>Fourth Edition (BB)</t>
        </is>
      </c>
      <c r="I1640" s="13" t="inlineStr">
        <is>
          <t>Não</t>
        </is>
      </c>
      <c r="J1640" s="13" t="n">
        <v>1995</v>
      </c>
      <c r="K1640" s="10" t="n">
        <v>46055</v>
      </c>
      <c r="L1640" s="13" t="n">
        <v>6</v>
      </c>
      <c r="M1640" s="8">
        <f>L1640*G1640</f>
        <v/>
      </c>
      <c r="P1640" s="9" t="n"/>
    </row>
    <row r="1641">
      <c r="A1641" s="13" t="inlineStr">
        <is>
          <t>Ironhoof Boar / Javali Casco-de-ferro</t>
        </is>
      </c>
      <c r="B1641" s="13" t="inlineStr">
        <is>
          <t>Artifact Creature — Boar / Criatura Artefato — Javali</t>
        </is>
      </c>
      <c r="C1641" s="13" t="inlineStr">
        <is>
          <t>Common / Comum</t>
        </is>
      </c>
      <c r="D1641" s="13" t="inlineStr">
        <is>
          <t>Trample, haste Channel — {1}{R}, Discard this card: Target creature gets +3/+1 and gains trample until end of turn. / Atropelar, ímpeto Canalizar — {1}{R}, descarte Javali Casco-de-ferro: A criatura alvo recebe +3/+1 e ganha atropelar até o final do turno.</t>
        </is>
      </c>
      <c r="E1641" s="13" t="inlineStr">
        <is>
          <t>{5}{R}</t>
        </is>
      </c>
      <c r="F1641" s="13" t="inlineStr">
        <is>
          <t>Vermelho</t>
        </is>
      </c>
      <c r="G1641" s="8" t="n">
        <v>0.06</v>
      </c>
      <c r="H1641" s="13" t="inlineStr">
        <is>
          <t>Kamigawa: Neon Dynasty (NEO)</t>
        </is>
      </c>
      <c r="I1641" s="13" t="inlineStr">
        <is>
          <t>Não</t>
        </is>
      </c>
      <c r="J1641" s="13" t="n">
        <v>2022</v>
      </c>
      <c r="K1641" s="10" t="n">
        <v>46117</v>
      </c>
      <c r="L1641" s="13" t="n">
        <v>1</v>
      </c>
      <c r="M1641" s="8">
        <f>L1641*G1641</f>
        <v/>
      </c>
      <c r="P1641" s="9" t="n"/>
    </row>
    <row r="1642">
      <c r="A1642" s="13" t="inlineStr">
        <is>
          <t>Irreverent Gremlin</t>
        </is>
      </c>
      <c r="B1642" s="13" t="inlineStr">
        <is>
          <t>Creature — Gremlin</t>
        </is>
      </c>
      <c r="C1642" s="13" t="inlineStr">
        <is>
          <t>Uncommon / Incomum</t>
        </is>
      </c>
      <c r="D1642" s="13" t="inlineStr">
        <is>
          <t>Menace (This creature can't be blocked except by two or more creatures.) Whenever another creature you control with power 2 or less enters, you may discard a card. If you do, draw a card. Do this only once each turn.</t>
        </is>
      </c>
      <c r="E1642" s="13" t="inlineStr">
        <is>
          <t>{1}{R}</t>
        </is>
      </c>
      <c r="F1642" s="13" t="inlineStr">
        <is>
          <t>Vermelho</t>
        </is>
      </c>
      <c r="G1642" s="8" t="n">
        <v>0.23</v>
      </c>
      <c r="H1642" s="13" t="inlineStr">
        <is>
          <t>Duskmourn: House of Horror (DSK)</t>
        </is>
      </c>
      <c r="I1642" s="13" t="inlineStr">
        <is>
          <t>Sim</t>
        </is>
      </c>
      <c r="J1642" s="13" t="n">
        <v>2024</v>
      </c>
      <c r="K1642" s="10" t="n">
        <v>46055</v>
      </c>
      <c r="L1642" s="13" t="n">
        <v>1</v>
      </c>
      <c r="M1642" s="8">
        <f>L1642*G1642</f>
        <v/>
      </c>
      <c r="P1642" s="9" t="n"/>
    </row>
    <row r="1643">
      <c r="A1643" s="13" t="inlineStr">
        <is>
          <t>Isolamento em Orthanc / Isolation at Orthanc</t>
        </is>
      </c>
      <c r="B1643" s="13" t="inlineStr">
        <is>
          <t>Mágica Instantânea</t>
        </is>
      </c>
      <c r="C1643" s="13" t="inlineStr">
        <is>
          <t>Comum</t>
        </is>
      </c>
      <c r="D1643" s="13" t="inlineStr">
        <is>
          <t>Coloque a criatura alvo no topo do grimório do seu dono na segunda posição.</t>
        </is>
      </c>
      <c r="E1643" s="13" t="inlineStr">
        <is>
          <t>3{U}</t>
        </is>
      </c>
      <c r="F1643" s="13" t="inlineStr">
        <is>
          <t>Azul</t>
        </is>
      </c>
      <c r="G1643" s="8" t="n">
        <v>0.08</v>
      </c>
      <c r="H1643" s="13" t="inlineStr">
        <is>
          <t>The Lord of the Rings: Tales of Middle-earth (LTR)</t>
        </is>
      </c>
      <c r="I1643" s="13" t="inlineStr">
        <is>
          <t>Não</t>
        </is>
      </c>
      <c r="J1643" s="13" t="n">
        <v>2023</v>
      </c>
      <c r="L1643" s="13" t="n">
        <v>1</v>
      </c>
      <c r="M1643" s="8">
        <f>L1643*G1643</f>
        <v/>
      </c>
      <c r="P1643" s="9" t="n"/>
    </row>
    <row r="1644">
      <c r="A1644" s="13" t="inlineStr">
        <is>
          <t>It'll Quench Ya!</t>
        </is>
      </c>
      <c r="B1644" s="13" t="inlineStr">
        <is>
          <t>Instant — Lesson</t>
        </is>
      </c>
      <c r="C1644" s="13" t="inlineStr">
        <is>
          <t>Common / Comum</t>
        </is>
      </c>
      <c r="D1644" s="13" t="inlineStr">
        <is>
          <t>Counter target spell unless its controller pays {2}.</t>
        </is>
      </c>
      <c r="E1644" s="13" t="inlineStr">
        <is>
          <t>{1}{U}</t>
        </is>
      </c>
      <c r="F1644" s="13" t="inlineStr">
        <is>
          <t>Azul</t>
        </is>
      </c>
      <c r="G1644" s="8" t="n">
        <v>0.1</v>
      </c>
      <c r="H1644" s="13" t="inlineStr">
        <is>
          <t>Avatar: The Last Airbender (TLA)</t>
        </is>
      </c>
      <c r="I1644" s="13" t="inlineStr">
        <is>
          <t>Não</t>
        </is>
      </c>
      <c r="J1644" s="13" t="n">
        <v>2025</v>
      </c>
      <c r="L1644" s="13" t="n">
        <v>2</v>
      </c>
      <c r="M1644" s="8">
        <f>L1644*G1644</f>
        <v/>
      </c>
      <c r="P1644" s="9" t="n"/>
    </row>
    <row r="1645">
      <c r="A1645" s="13" t="inlineStr">
        <is>
          <t>Item Shopkeep / Balconista de Itens</t>
        </is>
      </c>
      <c r="B1645" s="13" t="inlineStr">
        <is>
          <t>Criatura — Humano Cidadão</t>
        </is>
      </c>
      <c r="C1645" s="13" t="inlineStr">
        <is>
          <t>Comum</t>
        </is>
      </c>
      <c r="D1645" s="13" t="inlineStr">
        <is>
          <t>Sempre que você atacar, a criatura equipada atacante alvo ganha ameaça até o final do turno. (Ela não pode ser bloqueada a não ser por duas ou mais criaturas.)</t>
        </is>
      </c>
      <c r="E1645" s="13" t="inlineStr">
        <is>
          <t>1R</t>
        </is>
      </c>
      <c r="F1645" s="13" t="inlineStr">
        <is>
          <t>Vermelho</t>
        </is>
      </c>
      <c r="G1645" s="8" t="n">
        <v>0.07000000000000001</v>
      </c>
      <c r="H1645" s="13" t="inlineStr">
        <is>
          <t>Final Fantasy</t>
        </is>
      </c>
      <c r="I1645" s="13" t="inlineStr">
        <is>
          <t>Não</t>
        </is>
      </c>
      <c r="J1645" s="13" t="n">
        <v>2025</v>
      </c>
      <c r="K1645" s="10" t="n">
        <v>46055</v>
      </c>
      <c r="L1645" s="13" t="n">
        <v>6</v>
      </c>
      <c r="M1645" s="8">
        <f>L1645*G1645</f>
        <v/>
      </c>
      <c r="P1645" s="9" t="n"/>
    </row>
    <row r="1646">
      <c r="A1646" s="13" t="inlineStr">
        <is>
          <t>Item Shopkeep / Balconista de Itens</t>
        </is>
      </c>
      <c r="B1646" s="13" t="inlineStr">
        <is>
          <t>Criatura — Humano Cidadão</t>
        </is>
      </c>
      <c r="C1646" s="13" t="inlineStr">
        <is>
          <t>Comum</t>
        </is>
      </c>
      <c r="D1646" s="13" t="inlineStr">
        <is>
          <t>Sempre que você atacar, a criatura equipada atacante alvo ganha ameaça até o final do turno. (Ela não pode ser bloqueada a não ser por duas ou mais criaturas.)</t>
        </is>
      </c>
      <c r="E1646" s="13" t="inlineStr">
        <is>
          <t>1R</t>
        </is>
      </c>
      <c r="F1646" s="13" t="inlineStr">
        <is>
          <t>Vermelho</t>
        </is>
      </c>
      <c r="G1646" s="8" t="n">
        <v>0.24</v>
      </c>
      <c r="H1646" s="13" t="inlineStr">
        <is>
          <t>Final Fantasy</t>
        </is>
      </c>
      <c r="I1646" s="13" t="inlineStr">
        <is>
          <t>Sim</t>
        </is>
      </c>
      <c r="J1646" s="13" t="n">
        <v>2025</v>
      </c>
      <c r="K1646" s="10" t="n">
        <v>46055</v>
      </c>
      <c r="L1646" s="13" t="n">
        <v>1</v>
      </c>
      <c r="M1646" s="8">
        <f>L1646*G1646</f>
        <v/>
      </c>
      <c r="P1646" s="9" t="n"/>
    </row>
    <row r="1647">
      <c r="A1647" s="13" t="inlineStr">
        <is>
          <t>Ivory Cup / Cálice de Marfim</t>
        </is>
      </c>
      <c r="B1647" s="13" t="inlineStr">
        <is>
          <t>Artifact / Artefato</t>
        </is>
      </c>
      <c r="C1647" s="13" t="inlineStr">
        <is>
          <t>Uncommon / Incomum</t>
        </is>
      </c>
      <c r="D1647" s="13" t="inlineStr">
        <is>
          <t>Whenever a player casts a white spell, you may pay {1}. If you do, you gain 1 life. / Toda vez que um jogador jogar uma mágica branca, você pode pagar {1}. Se o fizer, você ganha 1 ponto de vida.</t>
        </is>
      </c>
      <c r="E1647" s="13" t="inlineStr">
        <is>
          <t>{1}</t>
        </is>
      </c>
      <c r="F1647" s="13" t="inlineStr">
        <is>
          <t>Incolor</t>
        </is>
      </c>
      <c r="G1647" s="8" t="n">
        <v>0.09</v>
      </c>
      <c r="H1647" s="13" t="inlineStr">
        <is>
          <t>Fourth Edition</t>
        </is>
      </c>
      <c r="I1647" s="13" t="inlineStr">
        <is>
          <t>Não</t>
        </is>
      </c>
      <c r="J1647" s="13" t="n">
        <v>1995</v>
      </c>
      <c r="L1647" s="13" t="n">
        <v>3</v>
      </c>
      <c r="M1647" s="8">
        <f>L1647*G1647</f>
        <v/>
      </c>
      <c r="P1647" s="9" t="n"/>
    </row>
    <row r="1648">
      <c r="A1648" s="13" t="inlineStr">
        <is>
          <t>Ivory Cup / Cálice de Marfim</t>
        </is>
      </c>
      <c r="B1648" s="13" t="inlineStr">
        <is>
          <t>Artifact / Artefato</t>
        </is>
      </c>
      <c r="C1648" s="13" t="inlineStr">
        <is>
          <t>Uncommon / Incomum</t>
        </is>
      </c>
      <c r="D1648" s="13" t="inlineStr">
        <is>
          <t>Whenever a player casts a white spell, you may pay {1}. If you do, you gain 1 life. / Toda vez que um jogador jogar uma mágica branca, você pode pagar {1}. Se o fizer, você ganha 1 ponto de vida.</t>
        </is>
      </c>
      <c r="E1648" s="13" t="inlineStr">
        <is>
          <t>{1}</t>
        </is>
      </c>
      <c r="F1648" s="13" t="inlineStr">
        <is>
          <t>Incolor</t>
        </is>
      </c>
      <c r="G1648" s="8" t="n">
        <v>0.43</v>
      </c>
      <c r="H1648" s="13" t="inlineStr">
        <is>
          <t>Fourth Edition (BB)</t>
        </is>
      </c>
      <c r="I1648" s="13" t="inlineStr">
        <is>
          <t>Não</t>
        </is>
      </c>
      <c r="J1648" s="13" t="n">
        <v>1995</v>
      </c>
      <c r="L1648" s="13" t="n">
        <v>2</v>
      </c>
      <c r="M1648" s="8">
        <f>L1648*G1648</f>
        <v/>
      </c>
      <c r="P1648" s="9" t="n"/>
    </row>
    <row r="1649">
      <c r="A1649" s="13" t="inlineStr">
        <is>
          <t>Izzet Charm / Amuleto Izzet</t>
        </is>
      </c>
      <c r="B1649" s="13" t="inlineStr">
        <is>
          <t>Instant / Mágica Instantânea</t>
        </is>
      </c>
      <c r="C1649" s="13" t="inlineStr">
        <is>
          <t>Common / Comum</t>
        </is>
      </c>
      <c r="D1649" s="13"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1649" s="13" t="inlineStr">
        <is>
          <t>{U}{R}</t>
        </is>
      </c>
      <c r="F1649" s="13" t="inlineStr">
        <is>
          <t>Vermelho, Azul</t>
        </is>
      </c>
      <c r="G1649" s="8" t="n">
        <v>0.28</v>
      </c>
      <c r="H1649" s="13" t="inlineStr">
        <is>
          <t>Double Masters 2022 (2X2)</t>
        </is>
      </c>
      <c r="I1649" s="13" t="inlineStr">
        <is>
          <t>Não</t>
        </is>
      </c>
      <c r="J1649" s="13" t="n">
        <v>2022</v>
      </c>
      <c r="L1649" s="13" t="n">
        <v>1</v>
      </c>
      <c r="M1649" s="8">
        <f>L1649*G1649</f>
        <v/>
      </c>
      <c r="P1649" s="9" t="n"/>
    </row>
    <row r="1650">
      <c r="A1650" s="13" t="inlineStr">
        <is>
          <t>Izzet Chemister / Quimiomante Izzet</t>
        </is>
      </c>
      <c r="B1650" s="13" t="inlineStr">
        <is>
          <t>Creature — Goblin Wizard / Criatura — Goblin Mago</t>
        </is>
      </c>
      <c r="C1650" s="13" t="inlineStr">
        <is>
          <t>Rare / Rara</t>
        </is>
      </c>
      <c r="D1650" s="13"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650" s="13" t="inlineStr">
        <is>
          <t>{2}{R}</t>
        </is>
      </c>
      <c r="F1650" s="13" t="inlineStr">
        <is>
          <t>Vermelho</t>
        </is>
      </c>
      <c r="G1650" s="8" t="n">
        <v>0.32</v>
      </c>
      <c r="H1650" s="13" t="inlineStr">
        <is>
          <t>Masters 25 (A25)</t>
        </is>
      </c>
      <c r="I1650" s="13" t="inlineStr">
        <is>
          <t>Não</t>
        </is>
      </c>
      <c r="J1650" s="13" t="n">
        <v>2018</v>
      </c>
      <c r="K1650" s="10" t="n">
        <v>46082</v>
      </c>
      <c r="L1650" s="13" t="n">
        <v>1</v>
      </c>
      <c r="M1650" s="8">
        <f>L1650*G1650</f>
        <v/>
      </c>
      <c r="P1650" s="9" t="n"/>
    </row>
    <row r="1651">
      <c r="A1651" s="13" t="inlineStr">
        <is>
          <t>Jace, Vryn's Prodigy // Jace, Telepath Unbound / Jace, Prodígio de Vryn // Jace, Telepata Ilimitado</t>
        </is>
      </c>
      <c r="B1651" s="13" t="inlineStr">
        <is>
          <t>Legendary Creature — Human Wizard // Legendary Planeswalker — Jace / Criatura Lendária — Humano Mago</t>
        </is>
      </c>
      <c r="C1651" s="13" t="inlineStr">
        <is>
          <t>Mythic / Mítica</t>
        </is>
      </c>
      <c r="D1651" s="13"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51" s="13" t="inlineStr">
        <is>
          <t>{1}{U}</t>
        </is>
      </c>
      <c r="F1651" s="13" t="inlineStr">
        <is>
          <t>Azul</t>
        </is>
      </c>
      <c r="G1651" s="8" t="n">
        <v>0.99</v>
      </c>
      <c r="H1651" s="13" t="inlineStr">
        <is>
          <t>Magic Origins (ORI)</t>
        </is>
      </c>
      <c r="I1651" s="13" t="inlineStr">
        <is>
          <t>Não</t>
        </is>
      </c>
      <c r="J1651" s="13" t="n">
        <v>2015</v>
      </c>
      <c r="K1651" s="13" t="inlineStr">
        <is>
          <t>0/2</t>
        </is>
      </c>
      <c r="L1651" s="13" t="n">
        <v>1</v>
      </c>
      <c r="M1651" s="8">
        <f>L1651*G1651</f>
        <v/>
      </c>
      <c r="P1651" s="9" t="n"/>
    </row>
    <row r="1652">
      <c r="A1652" s="13" t="inlineStr">
        <is>
          <t>Jace's Defeat / Derrota de Jace</t>
        </is>
      </c>
      <c r="B1652" s="13" t="inlineStr">
        <is>
          <t>Instant / Mágica Instantânea</t>
        </is>
      </c>
      <c r="C1652" s="13" t="inlineStr">
        <is>
          <t>Uncommon / Incomum</t>
        </is>
      </c>
      <c r="D1652" s="13" t="inlineStr">
        <is>
          <t>Counter target blue spell. If it was a Jace planeswalker spell, scry 2. / Anule a mágica azul alvo. Se ela era uma mágica de planeswalker Jace, use vidência 2.</t>
        </is>
      </c>
      <c r="E1652" s="13" t="inlineStr">
        <is>
          <t>{1}{U}</t>
        </is>
      </c>
      <c r="F1652" s="13" t="inlineStr">
        <is>
          <t>Azul</t>
        </is>
      </c>
      <c r="G1652" s="8" t="n">
        <v>0.06</v>
      </c>
      <c r="H1652" s="13" t="inlineStr">
        <is>
          <t>Hour of Devastation (HOU)</t>
        </is>
      </c>
      <c r="I1652" s="13" t="inlineStr">
        <is>
          <t>Não</t>
        </is>
      </c>
      <c r="J1652" s="13" t="n">
        <v>2017</v>
      </c>
      <c r="L1652" s="13" t="n">
        <v>1</v>
      </c>
      <c r="M1652" s="8">
        <f>L1652*G1652</f>
        <v/>
      </c>
      <c r="N1652" s="13" t="inlineStr">
        <is>
          <t>Bulk Shopee</t>
        </is>
      </c>
      <c r="P1652" s="9" t="n"/>
    </row>
    <row r="1653">
      <c r="A1653" s="13" t="inlineStr">
        <is>
          <t>Jace's Mindseeker / Caça-mentes de Jace</t>
        </is>
      </c>
      <c r="B1653" s="13" t="inlineStr">
        <is>
          <t>Creature — Fish Illusion / Criatura — Peixe Ilusão</t>
        </is>
      </c>
      <c r="C1653" s="13" t="inlineStr">
        <is>
          <t>Rare / Rara</t>
        </is>
      </c>
      <c r="D1653" s="13"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53" s="13" t="inlineStr">
        <is>
          <t>{4}{U}{U}</t>
        </is>
      </c>
      <c r="F1653" s="13" t="inlineStr">
        <is>
          <t>Azul</t>
        </is>
      </c>
      <c r="G1653" s="8" t="n">
        <v>0.25</v>
      </c>
      <c r="H1653" s="13" t="inlineStr">
        <is>
          <t>Magic 2014 (M14)</t>
        </is>
      </c>
      <c r="I1653" s="13" t="inlineStr">
        <is>
          <t>Não</t>
        </is>
      </c>
      <c r="J1653" s="13" t="n">
        <v>2013</v>
      </c>
      <c r="K1653" s="10" t="n">
        <v>46116</v>
      </c>
      <c r="L1653" s="13" t="n">
        <v>1</v>
      </c>
      <c r="M1653" s="8">
        <f>L1653*G1653</f>
        <v/>
      </c>
      <c r="P1653" s="9" t="n"/>
    </row>
    <row r="1654">
      <c r="A1654" s="13" t="inlineStr">
        <is>
          <t>Jace's Triumph / Triunfo de Jace</t>
        </is>
      </c>
      <c r="B1654" s="13" t="inlineStr">
        <is>
          <t>Sorcery / Feitiço</t>
        </is>
      </c>
      <c r="C1654" s="13" t="inlineStr">
        <is>
          <t>Uncommon / Incomum</t>
        </is>
      </c>
      <c r="D1654" s="13" t="inlineStr">
        <is>
          <t>Draw two cards. If you control a Jace planeswalker, draw three cards instead. / Compre dois cards. Se você controlar um planeswalker Jace, em vez disso, compre três cards.</t>
        </is>
      </c>
      <c r="E1654" s="13" t="inlineStr">
        <is>
          <t>{2}{U}</t>
        </is>
      </c>
      <c r="F1654" s="13" t="inlineStr">
        <is>
          <t>Azul</t>
        </is>
      </c>
      <c r="G1654" s="8" t="n">
        <v>0.06</v>
      </c>
      <c r="H1654" s="13" t="inlineStr">
        <is>
          <t>War of the Spark (WAR)</t>
        </is>
      </c>
      <c r="I1654" s="13" t="inlineStr">
        <is>
          <t>Não</t>
        </is>
      </c>
      <c r="J1654" s="13" t="n">
        <v>2019</v>
      </c>
      <c r="L1654" s="13" t="n">
        <v>6</v>
      </c>
      <c r="M1654" s="8">
        <f>L1654*G1654</f>
        <v/>
      </c>
      <c r="P1654" s="9" t="n"/>
    </row>
    <row r="1655">
      <c r="A1655" s="13" t="inlineStr">
        <is>
          <t>Jaddi Offshoot</t>
        </is>
      </c>
      <c r="B1655" s="13" t="inlineStr">
        <is>
          <t>Creature — Plant</t>
        </is>
      </c>
      <c r="C1655" s="13" t="inlineStr">
        <is>
          <t>Common</t>
        </is>
      </c>
      <c r="D1655" s="13" t="inlineStr">
        <is>
          <t>Defender. Landfall — Whenever a land enters the battlefield under your control, you gain 1 life.</t>
        </is>
      </c>
      <c r="E1655" s="13" t="inlineStr">
        <is>
          <t>{G}</t>
        </is>
      </c>
      <c r="F1655" s="13" t="inlineStr">
        <is>
          <t>Verde</t>
        </is>
      </c>
      <c r="G1655" s="8" t="n">
        <v>0.1</v>
      </c>
      <c r="H1655" s="8" t="inlineStr">
        <is>
          <t>Iconic Masters (IMA)</t>
        </is>
      </c>
      <c r="I1655" s="13" t="inlineStr">
        <is>
          <t>Não</t>
        </is>
      </c>
      <c r="J1655" s="13" t="n">
        <v>2017</v>
      </c>
      <c r="K1655" s="13" t="inlineStr">
        <is>
          <t>0/3</t>
        </is>
      </c>
      <c r="L1655" s="13" t="n">
        <v>1</v>
      </c>
      <c r="M1655" s="8">
        <f>L1655*G1655</f>
        <v/>
      </c>
      <c r="P1655" s="9" t="n"/>
    </row>
    <row r="1656">
      <c r="A1656" s="13" t="inlineStr">
        <is>
          <t>Jade Mage / Mago Jade</t>
        </is>
      </c>
      <c r="B1656" s="13" t="inlineStr">
        <is>
          <t>Creature — Human Shaman / Criatura — Humano Xamã</t>
        </is>
      </c>
      <c r="C1656" s="13" t="inlineStr">
        <is>
          <t>Uncommon / Incomum</t>
        </is>
      </c>
      <c r="D1656" s="13" t="inlineStr">
        <is>
          <t>{2}{G}: Create a 1/1 green Saproling creature token. / {2}{G}: Coloque no campo de batalha uma ficha de criatura verde 1/1 do tipo Saprófita.</t>
        </is>
      </c>
      <c r="E1656" s="13" t="inlineStr">
        <is>
          <t>{1}{G}</t>
        </is>
      </c>
      <c r="F1656" s="13" t="inlineStr">
        <is>
          <t>Verde</t>
        </is>
      </c>
      <c r="G1656" s="8" t="n">
        <v>0.24</v>
      </c>
      <c r="H1656" s="13" t="inlineStr">
        <is>
          <t>Commander Masters (CMM)</t>
        </is>
      </c>
      <c r="I1656" s="13" t="inlineStr">
        <is>
          <t>Não</t>
        </is>
      </c>
      <c r="J1656" s="13" t="n">
        <v>2023</v>
      </c>
      <c r="K1656" s="10" t="n">
        <v>46024</v>
      </c>
      <c r="L1656" s="13" t="n">
        <v>1</v>
      </c>
      <c r="M1656" s="8">
        <f>L1656*G1656</f>
        <v/>
      </c>
      <c r="P1656" s="9" t="n"/>
    </row>
    <row r="1657">
      <c r="A1657" s="13" t="inlineStr">
        <is>
          <t>Jadecraft Artisan / Artesão Jadeiro</t>
        </is>
      </c>
      <c r="B1657" s="13" t="inlineStr">
        <is>
          <t>Creature — Merfolk Shaman / Criatura — Tritão Xamã</t>
        </is>
      </c>
      <c r="C1657" s="13" t="inlineStr">
        <is>
          <t>Common / Comum</t>
        </is>
      </c>
      <c r="D1657" s="13" t="inlineStr">
        <is>
          <t>When this creature enters, target creature gets +2/+2 until end of turn. / Quando Artesão Jadeiro entra no campo de batalha, a criatura alvo recebe +2/+2 até o final do turno.</t>
        </is>
      </c>
      <c r="E1657" s="13" t="inlineStr">
        <is>
          <t>{3}{G}</t>
        </is>
      </c>
      <c r="F1657" s="13" t="inlineStr">
        <is>
          <t>Verde</t>
        </is>
      </c>
      <c r="G1657" s="8" t="n">
        <v>0.03</v>
      </c>
      <c r="H1657" s="13" t="inlineStr">
        <is>
          <t>Rivals of Ixalan (RIX)</t>
        </is>
      </c>
      <c r="I1657" s="13" t="inlineStr">
        <is>
          <t>Não</t>
        </is>
      </c>
      <c r="J1657" s="13" t="n">
        <v>2018</v>
      </c>
      <c r="K1657" s="10" t="n">
        <v>46084</v>
      </c>
      <c r="L1657" s="13" t="n">
        <v>2</v>
      </c>
      <c r="M1657" s="8">
        <f>L1657*G1657</f>
        <v/>
      </c>
      <c r="P1657" s="9" t="n"/>
    </row>
    <row r="1658">
      <c r="A1658" s="13" t="inlineStr">
        <is>
          <t>Jalum Tome</t>
        </is>
      </c>
      <c r="B1658" s="13" t="inlineStr">
        <is>
          <t>Artifact / Artefato</t>
        </is>
      </c>
      <c r="C1658" s="13" t="inlineStr">
        <is>
          <t>Incomum / Uncommon</t>
        </is>
      </c>
      <c r="D1658" s="13" t="inlineStr">
        <is>
          <t>{2}, {T}: Draw a card; then, choose and discard a card from your hand.</t>
        </is>
      </c>
      <c r="E1658" s="13" t="inlineStr">
        <is>
          <t>{3}</t>
        </is>
      </c>
      <c r="F1658" s="13" t="inlineStr">
        <is>
          <t>Incolor</t>
        </is>
      </c>
      <c r="G1658" s="8" t="n">
        <v>0.35</v>
      </c>
      <c r="H1658" s="13" t="inlineStr">
        <is>
          <t>Chronicles (CHR)</t>
        </is>
      </c>
      <c r="I1658" s="13" t="inlineStr">
        <is>
          <t>Não</t>
        </is>
      </c>
      <c r="J1658" s="13" t="n">
        <v>1995</v>
      </c>
      <c r="L1658" s="13" t="n">
        <v>1</v>
      </c>
      <c r="M1658" s="8">
        <f>L1658*G1658</f>
        <v/>
      </c>
      <c r="P1658" s="9" t="n"/>
    </row>
    <row r="1659">
      <c r="A1659" s="13" t="inlineStr">
        <is>
          <t>Jandor's Saddlebags / Alforjes de Jandor</t>
        </is>
      </c>
      <c r="B1659" s="13" t="inlineStr">
        <is>
          <t>Artifact</t>
        </is>
      </c>
      <c r="C1659" s="13" t="inlineStr">
        <is>
          <t>Rare / Rara</t>
        </is>
      </c>
      <c r="D1659" s="13" t="inlineStr">
        <is>
          <t>{3}, {T}: Untap target creature.</t>
        </is>
      </c>
      <c r="E1659" s="13" t="inlineStr">
        <is>
          <t>{2}</t>
        </is>
      </c>
      <c r="F1659" s="13" t="inlineStr">
        <is>
          <t>Incolor</t>
        </is>
      </c>
      <c r="G1659" s="8" t="n">
        <v>2.5</v>
      </c>
      <c r="H1659" s="13" t="inlineStr">
        <is>
          <t>Fourth Edition</t>
        </is>
      </c>
      <c r="I1659" s="13" t="inlineStr">
        <is>
          <t>Não</t>
        </is>
      </c>
      <c r="J1659" s="13" t="n">
        <v>1995</v>
      </c>
      <c r="L1659" s="13" t="n">
        <v>2</v>
      </c>
      <c r="M1659" s="8">
        <f>L1659*G1659</f>
        <v/>
      </c>
      <c r="N1659" s="13" t="inlineStr">
        <is>
          <t>Pasta</t>
        </is>
      </c>
      <c r="P1659" s="9" t="n"/>
    </row>
    <row r="1660">
      <c r="A1660" s="13" t="inlineStr">
        <is>
          <t>Javali Presa de Navalha</t>
        </is>
      </c>
      <c r="B1660" s="13" t="inlineStr">
        <is>
          <t>Criatura — Javali</t>
        </is>
      </c>
      <c r="C1660" s="13" t="inlineStr">
        <is>
          <t>Comum</t>
        </is>
      </c>
      <c r="D1660" s="13" t="inlineStr">
        <is>
          <t>Intimidar (Esta criatura só pode ser bloqueada por criaturas artefato e/ou criaturas que compartilhem uma cor com ela.)</t>
        </is>
      </c>
      <c r="E1660" s="13" t="inlineStr">
        <is>
          <t>3R</t>
        </is>
      </c>
      <c r="F1660" s="13" t="inlineStr">
        <is>
          <t>Vermelha</t>
        </is>
      </c>
      <c r="G1660" s="8" t="n">
        <v>0.03</v>
      </c>
      <c r="H1660" s="13" t="inlineStr">
        <is>
          <t>Journey into Nyx</t>
        </is>
      </c>
      <c r="I1660" s="13" t="inlineStr">
        <is>
          <t>Não</t>
        </is>
      </c>
      <c r="J1660" s="13" t="n">
        <v>2014</v>
      </c>
      <c r="K1660" s="10" t="n">
        <v>46056</v>
      </c>
      <c r="L1660" s="13" t="n">
        <v>4</v>
      </c>
      <c r="M1660" s="8">
        <f>L1660*G1660</f>
        <v/>
      </c>
      <c r="P1660" s="9" t="n"/>
    </row>
    <row r="1661">
      <c r="A1661" s="13" t="inlineStr">
        <is>
          <t>Jaya's Immolating Inferno / Inferno Imolante de Jaya</t>
        </is>
      </c>
      <c r="B1661" s="13" t="inlineStr">
        <is>
          <t>Legendary Sorcery / Feitiço Lendário</t>
        </is>
      </c>
      <c r="C1661" s="13" t="inlineStr">
        <is>
          <t>Rare / Rara</t>
        </is>
      </c>
      <c r="D1661" s="13"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1661" s="13" t="inlineStr">
        <is>
          <t>{X}{R}{R}</t>
        </is>
      </c>
      <c r="F1661" s="13" t="inlineStr">
        <is>
          <t>Vermelho</t>
        </is>
      </c>
      <c r="G1661" s="8" t="n">
        <v>0.68</v>
      </c>
      <c r="H1661" s="13" t="inlineStr">
        <is>
          <t>Dominaria (DOM)</t>
        </is>
      </c>
      <c r="I1661" s="13" t="inlineStr">
        <is>
          <t>Não</t>
        </is>
      </c>
      <c r="J1661" s="13" t="n">
        <v>2018</v>
      </c>
      <c r="L1661" s="13" t="n">
        <v>1</v>
      </c>
      <c r="M1661" s="8">
        <f>L1661*G1661</f>
        <v/>
      </c>
      <c r="P1661" s="9" t="n"/>
    </row>
    <row r="1662">
      <c r="A1662" s="13" t="inlineStr">
        <is>
          <t>Jennika, Bad Apple Big Sister</t>
        </is>
      </c>
      <c r="B1662" s="13" t="inlineStr">
        <is>
          <t>Legendary Creature — Mutant Ninja Turtle</t>
        </is>
      </c>
      <c r="C1662" s="13" t="inlineStr">
        <is>
          <t>Common / Comum</t>
        </is>
      </c>
      <c r="D1662" s="13" t="inlineStr">
        <is>
          <t>When Jennika enters, create a 2/2 red Mutant creature token. Plainscycling {2} ({2}, Discard this card: Search your library for a Plains card, reveal it, put it into your hand, then shuffle.)</t>
        </is>
      </c>
      <c r="E1662" s="13" t="inlineStr">
        <is>
          <t>{4}{W}</t>
        </is>
      </c>
      <c r="F1662" s="13" t="inlineStr">
        <is>
          <t>Branco</t>
        </is>
      </c>
      <c r="G1662" s="8" t="n">
        <v>0.1</v>
      </c>
      <c r="H1662" s="13" t="inlineStr">
        <is>
          <t>Teenage Mutant Ninja Turtles (TMT)</t>
        </is>
      </c>
      <c r="I1662" s="13" t="inlineStr">
        <is>
          <t>Não</t>
        </is>
      </c>
      <c r="J1662" s="13" t="n">
        <v>2026</v>
      </c>
      <c r="K1662" s="10" t="n">
        <v>46084</v>
      </c>
      <c r="L1662" s="13" t="n">
        <v>3</v>
      </c>
      <c r="M1662" s="8">
        <f>L1662*G1662</f>
        <v/>
      </c>
      <c r="P1662" s="9" t="n"/>
    </row>
    <row r="1663">
      <c r="A1663" s="13" t="inlineStr">
        <is>
          <t>Jennika, Bad Apple Big Sister</t>
        </is>
      </c>
      <c r="B1663" s="13" t="inlineStr">
        <is>
          <t>Legendary Creature — Mutant Ninja Turtle</t>
        </is>
      </c>
      <c r="C1663" s="13" t="inlineStr">
        <is>
          <t>Common / Comum</t>
        </is>
      </c>
      <c r="D1663" s="13" t="inlineStr">
        <is>
          <t>When Jennika enters, create a 2/2 red Mutant creature token. Plainscycling {2} ({2}, Discard this card: Search your library for a Plains card, reveal it, put it into your hand, then shuffle.)</t>
        </is>
      </c>
      <c r="E1663" s="13" t="inlineStr">
        <is>
          <t>{4}{W}</t>
        </is>
      </c>
      <c r="F1663" s="13" t="inlineStr">
        <is>
          <t>Branco</t>
        </is>
      </c>
      <c r="G1663" s="8" t="n">
        <v>0.15</v>
      </c>
      <c r="H1663" s="13" t="inlineStr">
        <is>
          <t>Teenage Mutant Ninja Turtles (TMT)</t>
        </is>
      </c>
      <c r="I1663" s="13" t="inlineStr">
        <is>
          <t>Sim</t>
        </is>
      </c>
      <c r="J1663" s="13" t="n">
        <v>2026</v>
      </c>
      <c r="K1663" s="10" t="n">
        <v>46084</v>
      </c>
      <c r="L1663" s="13" t="n">
        <v>1</v>
      </c>
      <c r="M1663" s="8">
        <f>L1663*G1663</f>
        <v/>
      </c>
      <c r="P1663" s="9" t="n"/>
    </row>
    <row r="1664">
      <c r="A1664" s="13" t="inlineStr">
        <is>
          <t>Jennika, Bad Apple Big Sister</t>
        </is>
      </c>
      <c r="B1664" s="13" t="inlineStr">
        <is>
          <t>Legendary Creature — Mutant Ninja Turtle</t>
        </is>
      </c>
      <c r="C1664" s="13" t="inlineStr">
        <is>
          <t>Common / Comum</t>
        </is>
      </c>
      <c r="D1664" s="13" t="inlineStr">
        <is>
          <t>When Jennika enters, create a 2/2 red Mutant creature token. Plainscycling {2} ({2}, Discard this card: Search your library for a Plains card, reveal it, put it into your hand, then shuffle.)</t>
        </is>
      </c>
      <c r="E1664" s="13" t="inlineStr">
        <is>
          <t>{4}{W}</t>
        </is>
      </c>
      <c r="F1664" s="13" t="inlineStr">
        <is>
          <t>Branco</t>
        </is>
      </c>
      <c r="G1664" s="8" t="n">
        <v>0.1</v>
      </c>
      <c r="H1664" s="13" t="inlineStr">
        <is>
          <t>Teenage Mutant Ninja Turtles (TMT)</t>
        </is>
      </c>
      <c r="I1664" s="13" t="inlineStr">
        <is>
          <t>Não</t>
        </is>
      </c>
      <c r="J1664" s="13" t="n">
        <v>2026</v>
      </c>
      <c r="K1664" s="10" t="n">
        <v>46084</v>
      </c>
      <c r="L1664" s="13" t="n">
        <v>1</v>
      </c>
      <c r="M1664" s="8">
        <f>L1664*G1664</f>
        <v/>
      </c>
      <c r="P1664" s="9" t="n"/>
    </row>
    <row r="1665">
      <c r="A1665" s="13" t="inlineStr">
        <is>
          <t>Jennika's Technique</t>
        </is>
      </c>
      <c r="B1665" s="13" t="inlineStr">
        <is>
          <t>Instant</t>
        </is>
      </c>
      <c r="C1665" s="13" t="inlineStr">
        <is>
          <t>Uncommon / Incomum</t>
        </is>
      </c>
      <c r="D1665" s="13" t="inlineStr">
        <is>
          <t>Sneak {R} (You may cast this spell for {R} if you also return an unblocked attacker you control to hand during the declare blockers step.) Jennika's Technique deals 2 damage to each creature.</t>
        </is>
      </c>
      <c r="E1665" s="13" t="inlineStr">
        <is>
          <t>{2}{R}</t>
        </is>
      </c>
      <c r="F1665" s="13" t="inlineStr">
        <is>
          <t>Vermelho</t>
        </is>
      </c>
      <c r="G1665" s="8" t="n">
        <v>0.23</v>
      </c>
      <c r="H1665" s="13" t="inlineStr">
        <is>
          <t>Teenage Mutant Ninja Turtles (TMT)</t>
        </is>
      </c>
      <c r="I1665" s="13" t="inlineStr">
        <is>
          <t>Não</t>
        </is>
      </c>
      <c r="J1665" s="13" t="n">
        <v>2026</v>
      </c>
      <c r="L1665" s="13" t="n">
        <v>1</v>
      </c>
      <c r="M1665" s="8">
        <f>L1665*G1665</f>
        <v/>
      </c>
      <c r="P1665" s="9" t="n"/>
    </row>
    <row r="1666">
      <c r="A1666" s="13" t="inlineStr">
        <is>
          <t>Jeong Jeong's Deserters</t>
        </is>
      </c>
      <c r="B1666" s="13" t="inlineStr">
        <is>
          <t>Creature — Human Rebel Ally</t>
        </is>
      </c>
      <c r="C1666" s="13" t="inlineStr">
        <is>
          <t>Common / Comum</t>
        </is>
      </c>
      <c r="D1666" s="13" t="inlineStr">
        <is>
          <t>When this creature enters, put a +1/+1 counter on target creature.</t>
        </is>
      </c>
      <c r="E1666" s="13" t="inlineStr">
        <is>
          <t>{1}{W}</t>
        </is>
      </c>
      <c r="F1666" s="13" t="inlineStr">
        <is>
          <t>Branco</t>
        </is>
      </c>
      <c r="G1666" s="8" t="n">
        <v>0.07000000000000001</v>
      </c>
      <c r="H1666" s="13" t="inlineStr">
        <is>
          <t>Avatar: The Last Airbender (TLA)</t>
        </is>
      </c>
      <c r="I1666" s="13" t="inlineStr">
        <is>
          <t>Não</t>
        </is>
      </c>
      <c r="J1666" s="13" t="n">
        <v>2025</v>
      </c>
      <c r="K1666" s="10" t="n">
        <v>46054</v>
      </c>
      <c r="L1666" s="13" t="n">
        <v>2</v>
      </c>
      <c r="M1666" s="8">
        <f>L1666*G1666</f>
        <v/>
      </c>
      <c r="P1666" s="9" t="n"/>
    </row>
    <row r="1667">
      <c r="A1667" s="13" t="inlineStr">
        <is>
          <t>Jeong Jeong's Deserters</t>
        </is>
      </c>
      <c r="B1667" s="13" t="inlineStr">
        <is>
          <t>Creature — Human Rebel Ally</t>
        </is>
      </c>
      <c r="C1667" s="13" t="inlineStr">
        <is>
          <t>Common / Comum</t>
        </is>
      </c>
      <c r="D1667" s="13" t="inlineStr">
        <is>
          <t>When this creature enters, put a +1/+1 counter on target creature.</t>
        </is>
      </c>
      <c r="E1667" s="13" t="inlineStr">
        <is>
          <t>{1}{W}</t>
        </is>
      </c>
      <c r="F1667" s="13" t="inlineStr">
        <is>
          <t>Branco</t>
        </is>
      </c>
      <c r="G1667" s="8" t="n">
        <v>0.07000000000000001</v>
      </c>
      <c r="H1667" s="13" t="inlineStr">
        <is>
          <t>Avatar: The Last Airbender (TLA)</t>
        </is>
      </c>
      <c r="I1667" s="13" t="inlineStr">
        <is>
          <t>Não</t>
        </is>
      </c>
      <c r="J1667" s="13" t="n">
        <v>2025</v>
      </c>
      <c r="K1667" s="10" t="n">
        <v>46054</v>
      </c>
      <c r="L1667" s="13" t="n">
        <v>3</v>
      </c>
      <c r="M1667" s="8">
        <f>L1667*G1667</f>
        <v/>
      </c>
      <c r="P1667" s="9" t="n"/>
    </row>
    <row r="1668">
      <c r="A1668" s="13" t="inlineStr">
        <is>
          <t>Jeskai Elder / Ancião Jeskai</t>
        </is>
      </c>
      <c r="B1668" s="13" t="inlineStr">
        <is>
          <t>Criatura — Humano Monge</t>
        </is>
      </c>
      <c r="C1668" s="13" t="inlineStr">
        <is>
          <t>Incomum</t>
        </is>
      </c>
      <c r="D1668" s="13" t="inlineStr">
        <is>
          <t>Destreza (Sempre que você conjurar uma mágica que não seja de criatura, esta criatura receberá +1/+1 até o final do turno.) Sempre que Ancião Jeskai causar dano de combate a um jogador, você poderá comprar um card. Se fizer isso, descarte um card.</t>
        </is>
      </c>
      <c r="E1668" s="13" t="inlineStr">
        <is>
          <t>1U</t>
        </is>
      </c>
      <c r="F1668" s="13" t="inlineStr">
        <is>
          <t>Azul</t>
        </is>
      </c>
      <c r="G1668" s="8" t="n">
        <v>0.09</v>
      </c>
      <c r="H1668" s="13" t="inlineStr">
        <is>
          <t>Duel Decks: Speed vs. Cunning</t>
        </is>
      </c>
      <c r="I1668" s="13" t="inlineStr">
        <is>
          <t>Não</t>
        </is>
      </c>
      <c r="J1668" s="13" t="n">
        <v>2014</v>
      </c>
      <c r="K1668" s="10" t="n">
        <v>46054</v>
      </c>
      <c r="L1668" s="13" t="n">
        <v>1</v>
      </c>
      <c r="M1668" s="8">
        <f>L1668*G1668</f>
        <v/>
      </c>
      <c r="P1668" s="9" t="n"/>
    </row>
    <row r="1669">
      <c r="A1669" s="13" t="inlineStr">
        <is>
          <t>Jeskai Infiltrator / Infiltradora Jeskai</t>
        </is>
      </c>
      <c r="B1669" s="13" t="inlineStr">
        <is>
          <t>Creature — Human Monk / Criatura — Humano Monge</t>
        </is>
      </c>
      <c r="C1669" s="13" t="inlineStr">
        <is>
          <t>Rare / Rara</t>
        </is>
      </c>
      <c r="D1669" s="13"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669" s="13" t="inlineStr">
        <is>
          <t>{2}{U}</t>
        </is>
      </c>
      <c r="F1669" s="13" t="inlineStr">
        <is>
          <t>Azul</t>
        </is>
      </c>
      <c r="G1669" s="8" t="n">
        <v>0.15</v>
      </c>
      <c r="H1669" s="13" t="inlineStr">
        <is>
          <t>Fate Reforged (FRF)</t>
        </is>
      </c>
      <c r="I1669" s="13" t="inlineStr">
        <is>
          <t>Não</t>
        </is>
      </c>
      <c r="J1669" s="13" t="n">
        <v>2015</v>
      </c>
      <c r="K1669" s="10" t="n">
        <v>46083</v>
      </c>
      <c r="L1669" s="13" t="n">
        <v>1</v>
      </c>
      <c r="M1669" s="8">
        <f>L1669*G1669</f>
        <v/>
      </c>
      <c r="P1669" s="9" t="n"/>
    </row>
    <row r="1670">
      <c r="A1670" s="13" t="inlineStr">
        <is>
          <t>Jet, Freedom Fighter</t>
        </is>
      </c>
      <c r="B1670" s="13" t="inlineStr">
        <is>
          <t>Legendary Creature — Human Rebel Ally</t>
        </is>
      </c>
      <c r="C1670" s="13" t="inlineStr">
        <is>
          <t>Uncommon / Incomum</t>
        </is>
      </c>
      <c r="D1670" s="13" t="inlineStr">
        <is>
          <t>When Jet enters, he deals damage equal to the number of creatures you control to target creature an opponent controls. When Jet dies, put a +1/+1 counter on each of up to two target creatures.</t>
        </is>
      </c>
      <c r="E1670" s="13" t="inlineStr">
        <is>
          <t>{2}{R/W}{R/W}{R/W}</t>
        </is>
      </c>
      <c r="F1670" s="13" t="inlineStr">
        <is>
          <t>Vermelho, Branco</t>
        </is>
      </c>
      <c r="G1670" s="8" t="n">
        <v>0.15</v>
      </c>
      <c r="H1670" s="13" t="inlineStr">
        <is>
          <t>Avatar: The Last Airbender (TLA)</t>
        </is>
      </c>
      <c r="I1670" s="13" t="inlineStr">
        <is>
          <t>Não</t>
        </is>
      </c>
      <c r="J1670" s="13" t="n">
        <v>2025</v>
      </c>
      <c r="K1670" s="10" t="n">
        <v>46025</v>
      </c>
      <c r="L1670" s="13" t="n">
        <v>1</v>
      </c>
      <c r="M1670" s="8">
        <f>L1670*G1670</f>
        <v/>
      </c>
      <c r="P1670" s="9" t="n"/>
    </row>
    <row r="1671">
      <c r="A1671" s="13" t="inlineStr">
        <is>
          <t>Jet's Brainwashing</t>
        </is>
      </c>
      <c r="B1671" s="13" t="inlineStr">
        <is>
          <t>Sorcery</t>
        </is>
      </c>
      <c r="C1671" s="13" t="inlineStr">
        <is>
          <t>Uncommon / Incomum</t>
        </is>
      </c>
      <c r="D1671" s="13"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1671" s="13" t="inlineStr">
        <is>
          <t>{R}</t>
        </is>
      </c>
      <c r="F1671" s="13" t="inlineStr">
        <is>
          <t>Vermelho</t>
        </is>
      </c>
      <c r="G1671" s="8" t="n">
        <v>0.15</v>
      </c>
      <c r="H1671" s="13" t="inlineStr">
        <is>
          <t>Avatar: The Last Airbender (TLA)</t>
        </is>
      </c>
      <c r="I1671" s="13" t="inlineStr">
        <is>
          <t>Não</t>
        </is>
      </c>
      <c r="J1671" s="13" t="n">
        <v>2025</v>
      </c>
      <c r="L1671" s="13" t="n">
        <v>1</v>
      </c>
      <c r="M1671" s="8">
        <f>L1671*G1671</f>
        <v/>
      </c>
      <c r="P1671" s="9" t="n"/>
    </row>
    <row r="1672">
      <c r="A1672" s="13" t="inlineStr">
        <is>
          <t>Jiwari, the Earth Aflame / Jiwari, a Terra em Chamas</t>
        </is>
      </c>
      <c r="B1672" s="13" t="inlineStr">
        <is>
          <t>Legendary Creature — Spirit / Criatura Lendária - Espírito</t>
        </is>
      </c>
      <c r="C1672" s="13" t="inlineStr">
        <is>
          <t>Rare / Rara</t>
        </is>
      </c>
      <c r="D1672" s="13"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672" s="13" t="inlineStr">
        <is>
          <t>{3}{R}{R}</t>
        </is>
      </c>
      <c r="F1672" s="13" t="inlineStr">
        <is>
          <t>Vermelho</t>
        </is>
      </c>
      <c r="G1672" s="8" t="n">
        <v>0.25</v>
      </c>
      <c r="H1672" s="13" t="inlineStr">
        <is>
          <t>Saviors of Kamigawa (SOK)</t>
        </is>
      </c>
      <c r="I1672" s="13" t="inlineStr">
        <is>
          <t>Não</t>
        </is>
      </c>
      <c r="J1672" s="13" t="n">
        <v>2005</v>
      </c>
      <c r="K1672" s="10" t="n">
        <v>46084</v>
      </c>
      <c r="L1672" s="13" t="n">
        <v>1</v>
      </c>
      <c r="M1672" s="8">
        <f>L1672*G1672</f>
        <v/>
      </c>
      <c r="P1672" s="9" t="n"/>
    </row>
    <row r="1673">
      <c r="A1673" s="13" t="inlineStr">
        <is>
          <t>Johann's Stopgap / Gambiarra de Johann</t>
        </is>
      </c>
      <c r="B1673" s="13" t="inlineStr">
        <is>
          <t>Sorcery / Feitiço</t>
        </is>
      </c>
      <c r="C1673" s="13" t="inlineStr">
        <is>
          <t>Common / Comum</t>
        </is>
      </c>
      <c r="D1673" s="13"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1673" s="13" t="inlineStr">
        <is>
          <t>{3}{U}</t>
        </is>
      </c>
      <c r="F1673" s="13" t="inlineStr">
        <is>
          <t>Azul</t>
        </is>
      </c>
      <c r="G1673" s="8" t="n">
        <v>0.04</v>
      </c>
      <c r="H1673" s="13" t="inlineStr">
        <is>
          <t>Wilds of Eldraine (WOE)</t>
        </is>
      </c>
      <c r="I1673" s="13" t="inlineStr">
        <is>
          <t>Não</t>
        </is>
      </c>
      <c r="J1673" s="13" t="n">
        <v>2023</v>
      </c>
      <c r="L1673" s="13" t="n">
        <v>1</v>
      </c>
      <c r="M1673" s="8">
        <f>L1673*G1673</f>
        <v/>
      </c>
      <c r="P1673" s="9" t="n"/>
    </row>
    <row r="1674">
      <c r="A1674" s="13" t="inlineStr">
        <is>
          <t>Join the Ranks / Junte-se aos Bons</t>
        </is>
      </c>
      <c r="B1674" s="13" t="inlineStr">
        <is>
          <t>Instant / Mágica Instantânea</t>
        </is>
      </c>
      <c r="C1674" s="13" t="inlineStr">
        <is>
          <t>Common / Comum</t>
        </is>
      </c>
      <c r="D1674" s="13" t="inlineStr">
        <is>
          <t>Create two 1/1 white Soldier Ally creature tokens. / Coloque no campo de batalha duas fichas de criatura brancas 1/1 do tipo Soldado Aliado.</t>
        </is>
      </c>
      <c r="E1674" s="13" t="inlineStr">
        <is>
          <t>{3}{W}</t>
        </is>
      </c>
      <c r="F1674" s="13" t="inlineStr">
        <is>
          <t>Branco</t>
        </is>
      </c>
      <c r="G1674" s="8" t="n">
        <v>0.06</v>
      </c>
      <c r="H1674" s="13" t="inlineStr">
        <is>
          <t>Worldwake (WWK)</t>
        </is>
      </c>
      <c r="I1674" s="13" t="inlineStr">
        <is>
          <t>Não</t>
        </is>
      </c>
      <c r="J1674" s="13" t="n">
        <v>2010</v>
      </c>
      <c r="L1674" s="13" t="n">
        <v>4</v>
      </c>
      <c r="M1674" s="8">
        <f>L1674*G1674</f>
        <v/>
      </c>
      <c r="P1674" s="9" t="n"/>
    </row>
    <row r="1675">
      <c r="A1675" s="13" t="inlineStr">
        <is>
          <t>Jolene, Plundering Pugilist / Jolene, Pugilista Saqueadora</t>
        </is>
      </c>
      <c r="B1675" s="13" t="inlineStr">
        <is>
          <t>Legendary Creature — Human Mercenary / Criatura Lendária — Humano Mercenário</t>
        </is>
      </c>
      <c r="C1675" s="13" t="inlineStr">
        <is>
          <t>Uncommon / Incomum</t>
        </is>
      </c>
      <c r="D1675" s="13"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1675" s="13" t="inlineStr">
        <is>
          <t>{1}{R}{G}</t>
        </is>
      </c>
      <c r="F1675" s="13" t="inlineStr">
        <is>
          <t>Verde, Vermelho</t>
        </is>
      </c>
      <c r="G1675" s="8" t="n">
        <v>0.09</v>
      </c>
      <c r="H1675" s="13" t="inlineStr">
        <is>
          <t>Outlaws of Thunder Junction (OTJ)</t>
        </is>
      </c>
      <c r="I1675" s="13" t="inlineStr">
        <is>
          <t>Não</t>
        </is>
      </c>
      <c r="J1675" s="13" t="n">
        <v>2024</v>
      </c>
      <c r="K1675" s="10" t="n">
        <v>46057</v>
      </c>
      <c r="L1675" s="13" t="n">
        <v>1</v>
      </c>
      <c r="M1675" s="8">
        <f>L1675*G1675</f>
        <v/>
      </c>
      <c r="P1675" s="9" t="n"/>
    </row>
    <row r="1676">
      <c r="A1676" s="13" t="inlineStr">
        <is>
          <t>Jolly Gerbils</t>
        </is>
      </c>
      <c r="B1676" s="13" t="inlineStr">
        <is>
          <t>Creature — Hamster Citizen</t>
        </is>
      </c>
      <c r="C1676" s="13" t="inlineStr">
        <is>
          <t>Uncommon / Incomum</t>
        </is>
      </c>
      <c r="D1676" s="13" t="inlineStr">
        <is>
          <t>Whenever you give a gift, draw a card.</t>
        </is>
      </c>
      <c r="E1676" s="13" t="inlineStr">
        <is>
          <t>{1}{W}</t>
        </is>
      </c>
      <c r="F1676" s="13" t="inlineStr">
        <is>
          <t>Branco</t>
        </is>
      </c>
      <c r="G1676" s="8" t="n">
        <v>0.1</v>
      </c>
      <c r="H1676" s="13" t="inlineStr">
        <is>
          <t>Bloomburrow (BLB)</t>
        </is>
      </c>
      <c r="I1676" s="13" t="inlineStr">
        <is>
          <t>Não</t>
        </is>
      </c>
      <c r="J1676" s="13" t="n">
        <v>2024</v>
      </c>
      <c r="K1676" s="10" t="n">
        <v>46083</v>
      </c>
      <c r="L1676" s="13" t="n">
        <v>1</v>
      </c>
      <c r="M1676" s="8">
        <f>L1676*G1676</f>
        <v/>
      </c>
      <c r="P1676" s="9" t="n"/>
    </row>
    <row r="1677">
      <c r="A1677" s="13" t="inlineStr">
        <is>
          <t>Jolted Awake / Despertar Sacudido</t>
        </is>
      </c>
      <c r="B1677" s="13" t="inlineStr">
        <is>
          <t>Sorcery / Feitiço</t>
        </is>
      </c>
      <c r="C1677" s="13" t="inlineStr">
        <is>
          <t>Common / Comum</t>
        </is>
      </c>
      <c r="D1677" s="13"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1677" s="13" t="inlineStr">
        <is>
          <t>{W}</t>
        </is>
      </c>
      <c r="F1677" s="13" t="inlineStr">
        <is>
          <t>Branco</t>
        </is>
      </c>
      <c r="G1677" s="8" t="n">
        <v>0.14</v>
      </c>
      <c r="H1677" s="13" t="inlineStr">
        <is>
          <t>Modern Horizons 3 (MH3)</t>
        </is>
      </c>
      <c r="I1677" s="13" t="inlineStr">
        <is>
          <t>Sim</t>
        </is>
      </c>
      <c r="J1677" s="13" t="n">
        <v>2024</v>
      </c>
      <c r="L1677" s="13" t="n">
        <v>2</v>
      </c>
      <c r="M1677" s="8">
        <f>L1677*G1677</f>
        <v/>
      </c>
      <c r="P1677" s="9" t="n"/>
    </row>
    <row r="1678">
      <c r="A1678" s="13" t="inlineStr">
        <is>
          <t>Joo Dee, One of Many</t>
        </is>
      </c>
      <c r="B1678" s="13" t="inlineStr">
        <is>
          <t>Creature — Human Advisor</t>
        </is>
      </c>
      <c r="C1678" s="13" t="inlineStr">
        <is>
          <t>Uncommon / Incomum</t>
        </is>
      </c>
      <c r="D1678" s="13" t="inlineStr">
        <is>
          <t>{B}, {T}: Surveil 1. Create a token that's a copy of this creature, then sacrifice an artifact or creature. Activate only as a sorcery. (To surveil 1, look at the top card of your library. You may put it into your graveyard.)</t>
        </is>
      </c>
      <c r="E1678" s="13" t="inlineStr">
        <is>
          <t>{1}{B}</t>
        </is>
      </c>
      <c r="F1678" s="13" t="inlineStr">
        <is>
          <t>Preto</t>
        </is>
      </c>
      <c r="G1678" s="8" t="n">
        <v>0.09</v>
      </c>
      <c r="H1678" s="13" t="inlineStr">
        <is>
          <t>Avatar: The Last Airbender (TLA)</t>
        </is>
      </c>
      <c r="I1678" s="13" t="inlineStr">
        <is>
          <t>Não</t>
        </is>
      </c>
      <c r="J1678" s="13" t="n">
        <v>2025</v>
      </c>
      <c r="K1678" s="10" t="n">
        <v>46055</v>
      </c>
      <c r="L1678" s="13" t="n">
        <v>1</v>
      </c>
      <c r="M1678" s="8">
        <f>L1678*G1678</f>
        <v/>
      </c>
      <c r="P1678" s="9" t="n"/>
    </row>
    <row r="1679">
      <c r="A1679" s="13" t="inlineStr">
        <is>
          <t>Joven</t>
        </is>
      </c>
      <c r="B1679" s="13" t="inlineStr">
        <is>
          <t>Summon Legend</t>
        </is>
      </c>
      <c r="C1679" s="13" t="inlineStr">
        <is>
          <t>Uncommon</t>
        </is>
      </c>
      <c r="D1679" s="13" t="inlineStr">
        <is>
          <t>{R}{R}{R}, {T}: Destroy target non-creature artifact.</t>
        </is>
      </c>
      <c r="E1679" s="13" t="inlineStr">
        <is>
          <t>{3}{R}{R}</t>
        </is>
      </c>
      <c r="F1679" s="13" t="inlineStr">
        <is>
          <t>Vermelho</t>
        </is>
      </c>
      <c r="G1679" s="8" t="n">
        <v>0.2</v>
      </c>
      <c r="H1679" s="13" t="inlineStr">
        <is>
          <t>Homelands (HML)</t>
        </is>
      </c>
      <c r="I1679" s="13" t="inlineStr">
        <is>
          <t>Não</t>
        </is>
      </c>
      <c r="J1679" s="13" t="n">
        <v>1995</v>
      </c>
      <c r="K1679" s="10" t="n">
        <v>46084</v>
      </c>
      <c r="L1679" s="13" t="n">
        <v>1</v>
      </c>
      <c r="M1679" s="8">
        <f>L1679*G1679</f>
        <v/>
      </c>
      <c r="P1679" s="9" t="n"/>
    </row>
    <row r="1680">
      <c r="A1680" s="13" t="inlineStr">
        <is>
          <t>Joven's Tools / Ferramentas de Joven</t>
        </is>
      </c>
      <c r="B1680" s="13" t="inlineStr">
        <is>
          <t>Artifact / Artefato</t>
        </is>
      </c>
      <c r="C1680" s="13" t="inlineStr">
        <is>
          <t>Uncommon / Incomum</t>
        </is>
      </c>
      <c r="D1680" s="13" t="inlineStr">
        <is>
          <t>{4}, {T}: Target creature cannot be blocked this turn except by Walls. / {4}, {T}: A criatura alvo não pode ser bloqueada neste turno, exceto por Paredes.</t>
        </is>
      </c>
      <c r="E1680" s="13" t="inlineStr">
        <is>
          <t>{6}</t>
        </is>
      </c>
      <c r="F1680" s="13" t="inlineStr">
        <is>
          <t>Incolor</t>
        </is>
      </c>
      <c r="G1680" s="8" t="n">
        <v>0.14</v>
      </c>
      <c r="H1680" s="13" t="inlineStr">
        <is>
          <t>Homelands (HML)</t>
        </is>
      </c>
      <c r="I1680" s="13" t="inlineStr">
        <is>
          <t>No</t>
        </is>
      </c>
      <c r="J1680" s="13" t="n">
        <v>1995</v>
      </c>
      <c r="L1680" s="13" t="n">
        <v>1</v>
      </c>
      <c r="M1680" s="8">
        <f>L1680*G1680</f>
        <v/>
      </c>
      <c r="P1680" s="9" t="n"/>
    </row>
    <row r="1681">
      <c r="A1681" s="13" t="inlineStr">
        <is>
          <t>Joyful Stormsculptor / Escultora de Tempestade Alegre</t>
        </is>
      </c>
      <c r="B1681" s="13" t="inlineStr">
        <is>
          <t>Creature — Human Shaman / Criatura — Humano Xamã</t>
        </is>
      </c>
      <c r="C1681" s="13" t="inlineStr">
        <is>
          <t>Uncommon / Incomum</t>
        </is>
      </c>
      <c r="D1681" s="13"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1681" s="13" t="inlineStr">
        <is>
          <t>{3}{U}{R}</t>
        </is>
      </c>
      <c r="F1681" s="13" t="inlineStr">
        <is>
          <t>Vermelho, Azul</t>
        </is>
      </c>
      <c r="G1681" s="8" t="n">
        <v>0.04</v>
      </c>
      <c r="H1681" s="13" t="inlineStr">
        <is>
          <t>March of the Machine (MOM)</t>
        </is>
      </c>
      <c r="I1681" s="13" t="inlineStr">
        <is>
          <t>Não</t>
        </is>
      </c>
      <c r="J1681" s="13" t="n">
        <v>2023</v>
      </c>
      <c r="K1681" s="10" t="n">
        <v>46083</v>
      </c>
      <c r="L1681" s="13" t="n">
        <v>1</v>
      </c>
      <c r="M1681" s="8">
        <f>L1681*G1681</f>
        <v/>
      </c>
      <c r="P1681" s="9" t="n"/>
    </row>
    <row r="1682">
      <c r="A1682" s="13" t="inlineStr">
        <is>
          <t>Joyous Respite / Adiamento Jubiloso</t>
        </is>
      </c>
      <c r="B1682" s="13" t="inlineStr">
        <is>
          <t>Sorcery — Arcane / Feitiço - Arcana</t>
        </is>
      </c>
      <c r="C1682" s="13" t="inlineStr">
        <is>
          <t>Common / Comum</t>
        </is>
      </c>
      <c r="D1682" s="13" t="inlineStr">
        <is>
          <t>You gain 1 life for each land you control. / Você ganha 1 ponto de vida para cada terreno que controla.</t>
        </is>
      </c>
      <c r="E1682" s="13" t="inlineStr">
        <is>
          <t>{3}{G}</t>
        </is>
      </c>
      <c r="F1682" s="13" t="inlineStr">
        <is>
          <t>Verde</t>
        </is>
      </c>
      <c r="G1682" s="8" t="n">
        <v>0.09</v>
      </c>
      <c r="H1682" s="13" t="inlineStr">
        <is>
          <t>Champions of Kamigawa (CHK)</t>
        </is>
      </c>
      <c r="I1682" s="13" t="inlineStr">
        <is>
          <t>Não</t>
        </is>
      </c>
      <c r="J1682" s="13" t="n">
        <v>2004</v>
      </c>
      <c r="L1682" s="13" t="n">
        <v>1</v>
      </c>
      <c r="M1682" s="8">
        <f>L1682*G1682</f>
        <v/>
      </c>
      <c r="P1682" s="9" t="n"/>
    </row>
    <row r="1683">
      <c r="A1683" s="13" t="inlineStr">
        <is>
          <t>Judge Magister Gabranth / Juiz Magistrado Gabranth</t>
        </is>
      </c>
      <c r="B1683" s="13" t="inlineStr">
        <is>
          <t>Criatura Lendária — Humano Conselheiro Cavaleiro</t>
        </is>
      </c>
      <c r="C1683" s="13" t="inlineStr">
        <is>
          <t>Incomum</t>
        </is>
      </c>
      <c r="D1683" s="13" t="inlineStr">
        <is>
          <t>Ameaçar (Esta criatura só pode ser bloqueada por duas ou mais criaturas.) Sempre que outra criatura ou artefato que você controla morrer, coloque um marcador +1/+1 em Judge Magister Gabranth.</t>
        </is>
      </c>
      <c r="E1683" s="13" t="inlineStr">
        <is>
          <t>{W}{B}</t>
        </is>
      </c>
      <c r="F1683" s="13" t="inlineStr">
        <is>
          <t>Multicolorido (Branco/Preto)</t>
        </is>
      </c>
      <c r="G1683" s="8" t="n">
        <v>0.25</v>
      </c>
      <c r="H1683" s="13" t="inlineStr">
        <is>
          <t>Final Fantasy</t>
        </is>
      </c>
      <c r="I1683" s="13" t="inlineStr">
        <is>
          <t>Não</t>
        </is>
      </c>
      <c r="J1683" s="13" t="n">
        <v>2025</v>
      </c>
      <c r="K1683" s="10" t="n">
        <v>46055</v>
      </c>
      <c r="L1683" s="13" t="n">
        <v>1</v>
      </c>
      <c r="M1683" s="8">
        <f>L1683*G1683</f>
        <v/>
      </c>
      <c r="P1683" s="9" t="n"/>
    </row>
    <row r="1684">
      <c r="A1684" s="13" t="inlineStr">
        <is>
          <t>Judge's Familiar / Familiar do Juiz</t>
        </is>
      </c>
      <c r="B1684" s="13" t="inlineStr">
        <is>
          <t>Creature — Bird / Criatura — Ave</t>
        </is>
      </c>
      <c r="C1684" s="13" t="inlineStr">
        <is>
          <t>Uncommon / Incomum</t>
        </is>
      </c>
      <c r="D1684" s="13" t="inlineStr">
        <is>
          <t>Flying Sacrifice this creature: Counter target instant or sorcery spell unless its controller pays {1}. / Voar Sacrifique Familiar do Juiz: Anule a mágica instantânea ou feitiço alvo a menos que seu controlador pague {1}.</t>
        </is>
      </c>
      <c r="E1684" s="13" t="inlineStr">
        <is>
          <t>{W/U}</t>
        </is>
      </c>
      <c r="F1684" s="13" t="inlineStr">
        <is>
          <t>Azul, Branco</t>
        </is>
      </c>
      <c r="G1684" s="8" t="n">
        <v>0.41</v>
      </c>
      <c r="H1684" s="13" t="inlineStr">
        <is>
          <t>Return to Ravnica (RTR)</t>
        </is>
      </c>
      <c r="I1684" s="13" t="inlineStr">
        <is>
          <t>Não</t>
        </is>
      </c>
      <c r="J1684" s="13" t="n">
        <v>2012</v>
      </c>
      <c r="K1684" s="10" t="n">
        <v>46023</v>
      </c>
      <c r="L1684" s="13" t="n">
        <v>2</v>
      </c>
      <c r="M1684" s="8">
        <f>L1684*G1684</f>
        <v/>
      </c>
      <c r="P1684" s="9" t="n"/>
    </row>
    <row r="1685">
      <c r="A1685" s="13" t="inlineStr">
        <is>
          <t>Juggernaut</t>
        </is>
      </c>
      <c r="B1685" s="13" t="inlineStr">
        <is>
          <t>Criatura Artefato / Artifact Creature</t>
        </is>
      </c>
      <c r="C1685" s="13" t="inlineStr">
        <is>
          <t>Incomum / Uncommon</t>
        </is>
      </c>
      <c r="D1685" s="13" t="inlineStr">
        <is>
          <t>Must attack each turn if possible. Can't be blocked by walls.</t>
        </is>
      </c>
      <c r="E1685" s="13" t="inlineStr">
        <is>
          <t>{4}</t>
        </is>
      </c>
      <c r="F1685" s="13" t="inlineStr">
        <is>
          <t>Incolor</t>
        </is>
      </c>
      <c r="G1685" s="8" t="n">
        <v>1.34</v>
      </c>
      <c r="H1685" s="13" t="inlineStr">
        <is>
          <t>Revised Edition</t>
        </is>
      </c>
      <c r="I1685" s="13" t="inlineStr">
        <is>
          <t>Não</t>
        </is>
      </c>
      <c r="J1685" s="13" t="n">
        <v>1994</v>
      </c>
      <c r="K1685" s="10" t="n">
        <v>46086</v>
      </c>
      <c r="L1685" s="13" t="n">
        <v>1</v>
      </c>
      <c r="M1685" s="8">
        <f>L1685*G1685</f>
        <v/>
      </c>
      <c r="N1685" s="13" t="inlineStr">
        <is>
          <t>Pasta</t>
        </is>
      </c>
      <c r="P1685" s="9" t="n"/>
    </row>
    <row r="1686">
      <c r="A1686" s="13" t="inlineStr">
        <is>
          <t>Jukai Preserver / Preservadora Jukai</t>
        </is>
      </c>
      <c r="B1686" s="13" t="inlineStr">
        <is>
          <t>Enchantment Creature — Human Druid / Criatura Encantamento — Humano Druida</t>
        </is>
      </c>
      <c r="C1686" s="13" t="inlineStr">
        <is>
          <t>Common / Comum</t>
        </is>
      </c>
      <c r="D1686" s="13"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1686" s="13" t="inlineStr">
        <is>
          <t>{3}{G}</t>
        </is>
      </c>
      <c r="F1686" s="13" t="inlineStr">
        <is>
          <t>Verde</t>
        </is>
      </c>
      <c r="G1686" s="8" t="n">
        <v>0.06</v>
      </c>
      <c r="H1686" s="13" t="inlineStr">
        <is>
          <t>Kamigawa: Neon Dynasty (NEO)</t>
        </is>
      </c>
      <c r="I1686" s="13" t="inlineStr">
        <is>
          <t>Não</t>
        </is>
      </c>
      <c r="J1686" s="13" t="n">
        <v>2022</v>
      </c>
      <c r="K1686" s="10" t="n">
        <v>46084</v>
      </c>
      <c r="L1686" s="13" t="n">
        <v>1</v>
      </c>
      <c r="M1686" s="8">
        <f>L1686*G1686</f>
        <v/>
      </c>
      <c r="P1686" s="9" t="n"/>
    </row>
    <row r="1687">
      <c r="A1687" s="13" t="inlineStr">
        <is>
          <t>Jukai Trainee / Aprendiz Jukai</t>
        </is>
      </c>
      <c r="B1687" s="13" t="inlineStr">
        <is>
          <t>Creature — Human Samurai / Criatura — Humano Samurai</t>
        </is>
      </c>
      <c r="C1687" s="13" t="inlineStr">
        <is>
          <t>Common / Comum</t>
        </is>
      </c>
      <c r="D1687" s="13" t="inlineStr">
        <is>
          <t>Whenever this creature blocks or becomes blocked, it gets +1/+1 until end of turn. / Toda vez que Aprendiz Jukai bloqueia ou se torna bloqueada, ela recebe +1/+1 até o final do turno.</t>
        </is>
      </c>
      <c r="E1687" s="13" t="inlineStr">
        <is>
          <t>{1}{G}</t>
        </is>
      </c>
      <c r="F1687" s="13" t="inlineStr">
        <is>
          <t>Verde</t>
        </is>
      </c>
      <c r="G1687" s="8" t="n">
        <v>0.06</v>
      </c>
      <c r="H1687" s="13" t="inlineStr">
        <is>
          <t>Kamigawa: Neon Dynasty (NEO)</t>
        </is>
      </c>
      <c r="I1687" s="13" t="inlineStr">
        <is>
          <t>Não</t>
        </is>
      </c>
      <c r="J1687" s="13" t="n">
        <v>2022</v>
      </c>
      <c r="K1687" s="10" t="n">
        <v>46055</v>
      </c>
      <c r="L1687" s="13" t="n">
        <v>1</v>
      </c>
      <c r="M1687" s="8">
        <f>L1687*G1687</f>
        <v/>
      </c>
      <c r="P1687" s="9" t="n"/>
    </row>
    <row r="1688">
      <c r="A1688" s="13" t="inlineStr">
        <is>
          <t>Jump Scare</t>
        </is>
      </c>
      <c r="B1688" s="13" t="inlineStr">
        <is>
          <t>Instant</t>
        </is>
      </c>
      <c r="C1688" s="13" t="inlineStr">
        <is>
          <t>Common / Comum</t>
        </is>
      </c>
      <c r="D1688" s="13" t="inlineStr">
        <is>
          <t>Until end of turn, target creature gets +2/+2, gains flying, and becomes a Horror enchantment creature in addition to its other types.</t>
        </is>
      </c>
      <c r="E1688" s="13" t="inlineStr">
        <is>
          <t>{W}</t>
        </is>
      </c>
      <c r="F1688" s="13" t="inlineStr">
        <is>
          <t>Branco</t>
        </is>
      </c>
      <c r="G1688" s="8" t="n">
        <v>0.19</v>
      </c>
      <c r="H1688" s="13" t="inlineStr">
        <is>
          <t>Duskmourn: House of Horror (DSK)</t>
        </is>
      </c>
      <c r="I1688" s="13" t="inlineStr">
        <is>
          <t>Sim</t>
        </is>
      </c>
      <c r="J1688" s="13" t="n">
        <v>2024</v>
      </c>
      <c r="L1688" s="13" t="n">
        <v>2</v>
      </c>
      <c r="M1688" s="8">
        <f>L1688*G1688</f>
        <v/>
      </c>
      <c r="P1688" s="9" t="n"/>
    </row>
    <row r="1689">
      <c r="A1689" s="13" t="inlineStr">
        <is>
          <t>Jund Hackblade / Lâmina Golpeadora de Jund</t>
        </is>
      </c>
      <c r="B1689" s="13" t="inlineStr">
        <is>
          <t>Creature — Goblin Berserker / Criatura — Goblin Amoque</t>
        </is>
      </c>
      <c r="C1689" s="13" t="inlineStr">
        <is>
          <t>Common / Comum</t>
        </is>
      </c>
      <c r="D1689" s="13" t="inlineStr">
        <is>
          <t>As long as you control another multicolored permanent, this creature gets +1/+1 and has haste. / Enquanto você controlar outra permanente multicolorida, Lâmina Golpeadora de Jund receberá +1/+1 e terá ímpeto.</t>
        </is>
      </c>
      <c r="E1689" s="13" t="inlineStr">
        <is>
          <t>{B/G}{R}</t>
        </is>
      </c>
      <c r="F1689" s="13" t="inlineStr">
        <is>
          <t>Preto, Verde, Vermelho</t>
        </is>
      </c>
      <c r="G1689" s="8" t="n">
        <v>0.2</v>
      </c>
      <c r="H1689" s="13" t="inlineStr">
        <is>
          <t>Alara Reborn (ARB)</t>
        </is>
      </c>
      <c r="I1689" s="13" t="inlineStr">
        <is>
          <t>Não</t>
        </is>
      </c>
      <c r="J1689" s="13" t="n">
        <v>2009</v>
      </c>
      <c r="K1689" s="10" t="n">
        <v>46024</v>
      </c>
      <c r="L1689" s="13" t="n">
        <v>1</v>
      </c>
      <c r="M1689" s="8">
        <f>L1689*G1689</f>
        <v/>
      </c>
      <c r="P1689" s="9" t="n"/>
    </row>
    <row r="1690">
      <c r="A1690" s="13" t="inlineStr">
        <is>
          <t>June, Bounty Hunter</t>
        </is>
      </c>
      <c r="B1690" s="13" t="inlineStr">
        <is>
          <t>Legendary Creature — Human Mercenary</t>
        </is>
      </c>
      <c r="C1690" s="13" t="inlineStr">
        <is>
          <t>Uncommon / Incomum</t>
        </is>
      </c>
      <c r="D1690" s="13" t="inlineStr">
        <is>
          <t>June can't be blocked as long as you've drawn two or more cards this turn. {1}, Sacrifice another creature: Create a Clue token. Activate only during your turn. (It's an artifact with "{2}, Sacrifice this token: Draw a card.")</t>
        </is>
      </c>
      <c r="E1690" s="13" t="inlineStr">
        <is>
          <t>{1}{B}</t>
        </is>
      </c>
      <c r="F1690" s="13" t="inlineStr">
        <is>
          <t>Preto</t>
        </is>
      </c>
      <c r="G1690" s="8" t="n">
        <v>0.09</v>
      </c>
      <c r="H1690" s="13" t="inlineStr">
        <is>
          <t>Avatar: The Last Airbender (TLA)</t>
        </is>
      </c>
      <c r="I1690" s="13" t="inlineStr">
        <is>
          <t>Não</t>
        </is>
      </c>
      <c r="J1690" s="13" t="n">
        <v>2025</v>
      </c>
      <c r="K1690" s="10" t="n">
        <v>46055</v>
      </c>
      <c r="L1690" s="13" t="n">
        <v>2</v>
      </c>
      <c r="M1690" s="8">
        <f>L1690*G1690</f>
        <v/>
      </c>
      <c r="P1690" s="9" t="n"/>
    </row>
    <row r="1691">
      <c r="A1691" s="13" t="inlineStr">
        <is>
          <t>Junkblade Bruiser</t>
        </is>
      </c>
      <c r="B1691" s="13" t="inlineStr">
        <is>
          <t>Creature — Raccoon Berserker</t>
        </is>
      </c>
      <c r="C1691" s="13" t="inlineStr">
        <is>
          <t>Common / Comum</t>
        </is>
      </c>
      <c r="D1691" s="13" t="inlineStr">
        <is>
          <t>Trample Whenever you expend 4, this creature gets +2/+1 until end of turn. (You expend 4 as you spend your fourth total mana to cast spells during a turn.)</t>
        </is>
      </c>
      <c r="E1691" s="13" t="inlineStr">
        <is>
          <t>{3}{R/G}{R/G}</t>
        </is>
      </c>
      <c r="F1691" s="13" t="inlineStr">
        <is>
          <t>Verde, Vermelho</t>
        </is>
      </c>
      <c r="G1691" s="8" t="n">
        <v>0.1</v>
      </c>
      <c r="H1691" s="13" t="inlineStr">
        <is>
          <t>Bloomburrow (BLB)</t>
        </is>
      </c>
      <c r="I1691" s="13" t="inlineStr">
        <is>
          <t>Não</t>
        </is>
      </c>
      <c r="J1691" s="13" t="n">
        <v>2024</v>
      </c>
      <c r="K1691" s="10" t="n">
        <v>46146</v>
      </c>
      <c r="L1691" s="13" t="n">
        <v>2</v>
      </c>
      <c r="M1691" s="8">
        <f>L1691*G1691</f>
        <v/>
      </c>
      <c r="P1691" s="9" t="n"/>
    </row>
    <row r="1692">
      <c r="A1692" s="13" t="inlineStr">
        <is>
          <t>Junún Efreet / Efrite Junún</t>
        </is>
      </c>
      <c r="B1692" s="13" t="inlineStr">
        <is>
          <t>Creature — Efreet</t>
        </is>
      </c>
      <c r="C1692" s="13" t="inlineStr">
        <is>
          <t>Rare / Rara</t>
        </is>
      </c>
      <c r="D1692" s="13" t="inlineStr">
        <is>
          <t>Flying At the beginning of your upkeep, sacrifice this creature unless you pay {B}{B}.</t>
        </is>
      </c>
      <c r="E1692" s="13" t="inlineStr">
        <is>
          <t>{1}{B}{B}</t>
        </is>
      </c>
      <c r="F1692" s="13" t="inlineStr">
        <is>
          <t>Preto</t>
        </is>
      </c>
      <c r="G1692" s="8" t="n">
        <v>0.2</v>
      </c>
      <c r="H1692" s="13" t="inlineStr">
        <is>
          <t>Quarta Edição</t>
        </is>
      </c>
      <c r="I1692" s="13" t="inlineStr">
        <is>
          <t>Não</t>
        </is>
      </c>
      <c r="J1692" s="13" t="n">
        <v>1995</v>
      </c>
      <c r="K1692" s="10" t="n">
        <v>46084</v>
      </c>
      <c r="L1692" s="13" t="n">
        <v>2</v>
      </c>
      <c r="M1692" s="8">
        <f>L1692*G1692</f>
        <v/>
      </c>
      <c r="P1692" s="9" t="n"/>
    </row>
    <row r="1693">
      <c r="A1693" s="13" t="inlineStr">
        <is>
          <t>Junún Efreet / Efrite Junún</t>
        </is>
      </c>
      <c r="B1693" s="13" t="inlineStr">
        <is>
          <t>Creature — Efreet</t>
        </is>
      </c>
      <c r="C1693" s="13" t="inlineStr">
        <is>
          <t>Rare / Rara</t>
        </is>
      </c>
      <c r="D1693" s="13" t="inlineStr">
        <is>
          <t>Flying At the beginning of your upkeep, sacrifice this creature unless you pay {B}{B}.</t>
        </is>
      </c>
      <c r="E1693" s="13" t="inlineStr">
        <is>
          <t>{1}{B}{B}</t>
        </is>
      </c>
      <c r="F1693" s="13" t="inlineStr">
        <is>
          <t>Preto</t>
        </is>
      </c>
      <c r="G1693" s="8" t="n">
        <v>0.5</v>
      </c>
      <c r="H1693" s="13" t="inlineStr">
        <is>
          <t>Quarta Edição (BB)</t>
        </is>
      </c>
      <c r="I1693" s="13" t="inlineStr">
        <is>
          <t>Não</t>
        </is>
      </c>
      <c r="J1693" s="13" t="n">
        <v>1995</v>
      </c>
      <c r="K1693" s="10" t="n">
        <v>46084</v>
      </c>
      <c r="L1693" s="13" t="n">
        <v>1</v>
      </c>
      <c r="M1693" s="8">
        <f>L1693*G1693</f>
        <v/>
      </c>
      <c r="P1693" s="9" t="n"/>
    </row>
    <row r="1694">
      <c r="A1694" s="13" t="inlineStr">
        <is>
          <t>Juramento da Hoste Cinzenta / Oath of the Grey Host</t>
        </is>
      </c>
      <c r="B1694" s="13" t="inlineStr">
        <is>
          <t>Encantamento — Saga</t>
        </is>
      </c>
      <c r="C1694" s="13" t="inlineStr">
        <is>
          <t>Incomum</t>
        </is>
      </c>
      <c r="D1694" s="13"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1694" s="13" t="inlineStr">
        <is>
          <t>3{B}</t>
        </is>
      </c>
      <c r="F1694" s="13" t="inlineStr">
        <is>
          <t>Preto</t>
        </is>
      </c>
      <c r="G1694" s="8" t="n">
        <v>0.15</v>
      </c>
      <c r="H1694" s="13" t="inlineStr">
        <is>
          <t>The Lord of the Rings: Tales of Middle-earth (LTR)</t>
        </is>
      </c>
      <c r="I1694" s="13" t="inlineStr">
        <is>
          <t>Não</t>
        </is>
      </c>
      <c r="J1694" s="13" t="n">
        <v>2023</v>
      </c>
      <c r="L1694" s="13" t="n">
        <v>3</v>
      </c>
      <c r="M1694" s="8">
        <f>L1694*G1694</f>
        <v/>
      </c>
      <c r="P1694" s="9" t="n"/>
    </row>
    <row r="1695">
      <c r="A1695" s="13" t="inlineStr">
        <is>
          <t>Justice</t>
        </is>
      </c>
      <c r="B1695" s="13" t="inlineStr">
        <is>
          <t>Encantamento / Enchantment</t>
        </is>
      </c>
      <c r="C1695" s="13" t="inlineStr">
        <is>
          <t>Rara / Rare</t>
        </is>
      </c>
      <c r="D1695" s="13"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1695" s="13" t="inlineStr">
        <is>
          <t>{2}{W}{W}</t>
        </is>
      </c>
      <c r="F1695" s="13" t="inlineStr">
        <is>
          <t>Branco</t>
        </is>
      </c>
      <c r="G1695" s="8" t="n">
        <v>0.25</v>
      </c>
      <c r="H1695" s="13" t="inlineStr">
        <is>
          <t>Ice Age (ICE)</t>
        </is>
      </c>
      <c r="I1695" s="13" t="inlineStr">
        <is>
          <t>Não</t>
        </is>
      </c>
      <c r="J1695" s="13" t="n">
        <v>1995</v>
      </c>
      <c r="L1695" s="13" t="n">
        <v>1</v>
      </c>
      <c r="M1695" s="8">
        <f>L1695*G1695</f>
        <v/>
      </c>
      <c r="P1695" s="9" t="n"/>
    </row>
    <row r="1696">
      <c r="A1696" s="13" t="inlineStr">
        <is>
          <t>Kaervek's Torch / Tocha de Kaervek</t>
        </is>
      </c>
      <c r="B1696" s="13" t="inlineStr">
        <is>
          <t>Sorcery</t>
        </is>
      </c>
      <c r="C1696" s="13" t="inlineStr">
        <is>
          <t>Common / Comum</t>
        </is>
      </c>
      <c r="D1696" s="13" t="inlineStr">
        <is>
          <t>As long as Kaervek's Torch is on the stack, spells that target it cost {2} more to cast. Kaervek's Torch deals X damage to any target.</t>
        </is>
      </c>
      <c r="E1696" s="13" t="inlineStr">
        <is>
          <t>{X}{R}</t>
        </is>
      </c>
      <c r="F1696" s="13" t="inlineStr">
        <is>
          <t>Vermelho</t>
        </is>
      </c>
      <c r="G1696" s="8" t="n">
        <v>0.8</v>
      </c>
      <c r="H1696" s="13" t="inlineStr">
        <is>
          <t>Mirage (MIR)</t>
        </is>
      </c>
      <c r="I1696" s="13" t="inlineStr">
        <is>
          <t>Não</t>
        </is>
      </c>
      <c r="J1696" s="13" t="n">
        <v>1996</v>
      </c>
      <c r="L1696" s="13" t="n">
        <v>1</v>
      </c>
      <c r="M1696" s="8">
        <f>L1696*G1696</f>
        <v/>
      </c>
      <c r="P1696" s="9" t="n"/>
    </row>
    <row r="1697">
      <c r="A1697" s="13" t="inlineStr">
        <is>
          <t>Kaho, Minamo Historian / Kaho, Historiadora de Minamo</t>
        </is>
      </c>
      <c r="B1697" s="13" t="inlineStr">
        <is>
          <t>Legendary Creature — Human Wizard / Criatura Lendária - Mago Humano</t>
        </is>
      </c>
      <c r="C1697" s="13" t="inlineStr">
        <is>
          <t>Uncommon / Incomum</t>
        </is>
      </c>
      <c r="D1697" s="13"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1697" s="13" t="inlineStr">
        <is>
          <t>{2}{U}{U}</t>
        </is>
      </c>
      <c r="F1697" s="13" t="inlineStr">
        <is>
          <t>Azul</t>
        </is>
      </c>
      <c r="G1697" s="8" t="n">
        <v>0.25</v>
      </c>
      <c r="H1697" s="13" t="inlineStr">
        <is>
          <t>Commander Masters (CMM)</t>
        </is>
      </c>
      <c r="I1697" s="13" t="inlineStr">
        <is>
          <t>Não</t>
        </is>
      </c>
      <c r="J1697" s="13" t="n">
        <v>2023</v>
      </c>
      <c r="K1697" s="10" t="n">
        <v>46055</v>
      </c>
      <c r="L1697" s="13" t="n">
        <v>1</v>
      </c>
      <c r="M1697" s="8">
        <f>L1697*G1697</f>
        <v/>
      </c>
      <c r="P1697" s="9" t="n"/>
    </row>
    <row r="1698">
      <c r="A1698" s="13" t="inlineStr">
        <is>
          <t>Kain, Traitorous Dragoon / Kain, Dragão Traidor</t>
        </is>
      </c>
      <c r="B1698" s="13" t="inlineStr">
        <is>
          <t>Criatura Lendária — Humano Cavaleiro</t>
        </is>
      </c>
      <c r="C1698" s="13" t="inlineStr">
        <is>
          <t>Rara</t>
        </is>
      </c>
      <c r="D1698" s="13"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1698" s="13" t="inlineStr">
        <is>
          <t>2{B}</t>
        </is>
      </c>
      <c r="F1698" s="13" t="inlineStr">
        <is>
          <t>Preto</t>
        </is>
      </c>
      <c r="G1698" s="8" t="n">
        <v>1.42</v>
      </c>
      <c r="H1698" s="13" t="inlineStr">
        <is>
          <t>Final Fantasy</t>
        </is>
      </c>
      <c r="I1698" s="13" t="inlineStr">
        <is>
          <t>Não</t>
        </is>
      </c>
      <c r="J1698" s="13" t="n">
        <v>2025</v>
      </c>
      <c r="K1698" s="10" t="n">
        <v>46114</v>
      </c>
      <c r="L1698" s="13" t="n">
        <v>1</v>
      </c>
      <c r="M1698" s="8">
        <f>L1698*G1698</f>
        <v/>
      </c>
      <c r="P1698" s="9" t="n"/>
    </row>
    <row r="1699">
      <c r="A1699" s="13" t="inlineStr">
        <is>
          <t>Kaito's Pursuit / Perseguição de Kaito</t>
        </is>
      </c>
      <c r="B1699" s="13" t="inlineStr">
        <is>
          <t>Sorcery / Feitiço</t>
        </is>
      </c>
      <c r="C1699" s="13" t="inlineStr">
        <is>
          <t>Common / Comum</t>
        </is>
      </c>
      <c r="D1699" s="13"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699" s="13" t="inlineStr">
        <is>
          <t>{2}{B}</t>
        </is>
      </c>
      <c r="F1699" s="13" t="inlineStr">
        <is>
          <t>Preto</t>
        </is>
      </c>
      <c r="G1699" s="8" t="n">
        <v>0.06</v>
      </c>
      <c r="H1699" s="13" t="inlineStr">
        <is>
          <t>Kamigawa: Neon Dynasty (NEO)</t>
        </is>
      </c>
      <c r="I1699" s="13" t="inlineStr">
        <is>
          <t>Não</t>
        </is>
      </c>
      <c r="J1699" s="13" t="n">
        <v>2022</v>
      </c>
      <c r="L1699" s="13" t="n">
        <v>1</v>
      </c>
      <c r="M1699" s="8">
        <f>L1699*G1699</f>
        <v/>
      </c>
      <c r="P1699" s="9" t="n"/>
    </row>
    <row r="1700">
      <c r="A1700" s="13" t="inlineStr">
        <is>
          <t>Kami of Industry / Kami da Diligência</t>
        </is>
      </c>
      <c r="B1700" s="13" t="inlineStr">
        <is>
          <t>Creature — Spirit / Criatura — Espírito</t>
        </is>
      </c>
      <c r="C1700" s="13" t="inlineStr">
        <is>
          <t>Common / Comum</t>
        </is>
      </c>
      <c r="D1700" s="13"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1700" s="13" t="inlineStr">
        <is>
          <t>{4}{R}</t>
        </is>
      </c>
      <c r="F1700" s="13" t="inlineStr">
        <is>
          <t>Vermelho</t>
        </is>
      </c>
      <c r="G1700" s="8" t="n">
        <v>0.06</v>
      </c>
      <c r="H1700" s="13" t="inlineStr">
        <is>
          <t>Kamigawa: Neon Dynasty (NEO)</t>
        </is>
      </c>
      <c r="I1700" s="13" t="inlineStr">
        <is>
          <t>Não</t>
        </is>
      </c>
      <c r="J1700" s="13" t="n">
        <v>2022</v>
      </c>
      <c r="K1700" s="10" t="n">
        <v>46176</v>
      </c>
      <c r="L1700" s="13" t="n">
        <v>1</v>
      </c>
      <c r="M1700" s="8">
        <f>L1700*G1700</f>
        <v/>
      </c>
      <c r="P1700" s="9" t="n"/>
    </row>
    <row r="1701">
      <c r="A1701" s="13" t="inlineStr">
        <is>
          <t>Kami of Restless Shadows / Kami das Sombras Inquietas</t>
        </is>
      </c>
      <c r="B1701" s="13" t="inlineStr">
        <is>
          <t>Creature — Spirit / Criatura — Espírito</t>
        </is>
      </c>
      <c r="C1701" s="13" t="inlineStr">
        <is>
          <t>Common / Comum</t>
        </is>
      </c>
      <c r="D1701" s="13"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1701" s="13" t="inlineStr">
        <is>
          <t>{4}{B}</t>
        </is>
      </c>
      <c r="F1701" s="13" t="inlineStr">
        <is>
          <t>Preto</t>
        </is>
      </c>
      <c r="G1701" s="8" t="n">
        <v>0.05</v>
      </c>
      <c r="H1701" s="13" t="inlineStr">
        <is>
          <t>Kamigawa: Neon Dynasty (NEO)</t>
        </is>
      </c>
      <c r="I1701" s="13" t="inlineStr">
        <is>
          <t>Não</t>
        </is>
      </c>
      <c r="J1701" s="13" t="n">
        <v>2022</v>
      </c>
      <c r="K1701" s="10" t="n">
        <v>46084</v>
      </c>
      <c r="L1701" s="13" t="n">
        <v>1</v>
      </c>
      <c r="M1701" s="8">
        <f>L1701*G1701</f>
        <v/>
      </c>
      <c r="P1701" s="9" t="n"/>
    </row>
    <row r="1702">
      <c r="A1702" s="13" t="inlineStr">
        <is>
          <t>Kami of Terrible Secrets / Kami dos Segredos Terríveis</t>
        </is>
      </c>
      <c r="B1702" s="13" t="inlineStr">
        <is>
          <t>Creature — Spirit / Criatura — Espírito</t>
        </is>
      </c>
      <c r="C1702" s="13" t="inlineStr">
        <is>
          <t>Common / Comum</t>
        </is>
      </c>
      <c r="D1702" s="13"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702" s="13" t="inlineStr">
        <is>
          <t>{3}{B}</t>
        </is>
      </c>
      <c r="F1702" s="13" t="inlineStr">
        <is>
          <t>Preto</t>
        </is>
      </c>
      <c r="G1702" s="8" t="n">
        <v>0.06</v>
      </c>
      <c r="H1702" s="13" t="inlineStr">
        <is>
          <t>Kamigawa: Neon Dynasty (NEO)</t>
        </is>
      </c>
      <c r="I1702" s="13" t="inlineStr">
        <is>
          <t>Não</t>
        </is>
      </c>
      <c r="J1702" s="13" t="n">
        <v>2022</v>
      </c>
      <c r="K1702" s="10" t="n">
        <v>46115</v>
      </c>
      <c r="L1702" s="13" t="n">
        <v>1</v>
      </c>
      <c r="M1702" s="8">
        <f>L1702*G1702</f>
        <v/>
      </c>
      <c r="P1702" s="9" t="n"/>
    </row>
    <row r="1703">
      <c r="A1703" s="13" t="inlineStr">
        <is>
          <t>Kami's Flare / Labareda do Kami</t>
        </is>
      </c>
      <c r="B1703" s="13" t="inlineStr">
        <is>
          <t>Instant / Mágica Instantânea</t>
        </is>
      </c>
      <c r="C1703" s="13" t="inlineStr">
        <is>
          <t>Common / Comum</t>
        </is>
      </c>
      <c r="D1703" s="13"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703" s="13" t="inlineStr">
        <is>
          <t>{1}{R}</t>
        </is>
      </c>
      <c r="F1703" s="13" t="inlineStr">
        <is>
          <t>Vermelho</t>
        </is>
      </c>
      <c r="G1703" s="8" t="n">
        <v>0.05</v>
      </c>
      <c r="H1703" s="13" t="inlineStr">
        <is>
          <t>Kamigawa: Neon Dynasty (NEO)</t>
        </is>
      </c>
      <c r="I1703" s="13" t="inlineStr">
        <is>
          <t>Não</t>
        </is>
      </c>
      <c r="J1703" s="13" t="n">
        <v>2022</v>
      </c>
      <c r="L1703" s="13" t="n">
        <v>1</v>
      </c>
      <c r="M1703" s="8">
        <f>L1703*G1703</f>
        <v/>
      </c>
      <c r="P1703" s="9" t="n"/>
    </row>
    <row r="1704">
      <c r="A1704" s="13" t="inlineStr">
        <is>
          <t>Karai's Technique</t>
        </is>
      </c>
      <c r="B1704" s="13" t="inlineStr">
        <is>
          <t>Sorcery</t>
        </is>
      </c>
      <c r="C1704" s="13" t="inlineStr">
        <is>
          <t>Uncommon / Incomum</t>
        </is>
      </c>
      <c r="D1704" s="13" t="inlineStr">
        <is>
          <t>Sneak {W}{B} (You may cast this spell for {W}{B} if you also return an unblocked attacker you control to hand during the declare blockers step.) Choose one or both — • Target creature gets +3/+3 until end of turn. • Target creature gets -3/-3 until end of turn.</t>
        </is>
      </c>
      <c r="E1704" s="13" t="inlineStr">
        <is>
          <t>{1}{W}{B}</t>
        </is>
      </c>
      <c r="F1704" s="13" t="inlineStr">
        <is>
          <t>Preto, Branco</t>
        </is>
      </c>
      <c r="G1704" s="8" t="n">
        <v>0.19</v>
      </c>
      <c r="H1704" s="13" t="inlineStr">
        <is>
          <t>Teenage Mutant Ninja Turtles (TMT)</t>
        </is>
      </c>
      <c r="I1704" s="13" t="inlineStr">
        <is>
          <t>Não</t>
        </is>
      </c>
      <c r="J1704" s="13" t="n">
        <v>2026</v>
      </c>
      <c r="L1704" s="13" t="n">
        <v>1</v>
      </c>
      <c r="M1704" s="8">
        <f>L1704*G1704</f>
        <v/>
      </c>
      <c r="P1704" s="9" t="n"/>
    </row>
    <row r="1705">
      <c r="A1705" s="13" t="inlineStr">
        <is>
          <t>Karametra's Blessing / Bênção de Carametra</t>
        </is>
      </c>
      <c r="B1705" s="13" t="inlineStr">
        <is>
          <t>Instant / Mágica Instantânea</t>
        </is>
      </c>
      <c r="C1705" s="13" t="inlineStr">
        <is>
          <t>Common / Comum</t>
        </is>
      </c>
      <c r="D1705" s="13"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05" s="13" t="inlineStr">
        <is>
          <t>{W}</t>
        </is>
      </c>
      <c r="F1705" s="13" t="inlineStr">
        <is>
          <t>Branco</t>
        </is>
      </c>
      <c r="G1705" s="8" t="n">
        <v>0.03</v>
      </c>
      <c r="H1705" s="13" t="inlineStr">
        <is>
          <t>Theros Beyond Death (THB)</t>
        </is>
      </c>
      <c r="I1705" s="13" t="inlineStr">
        <is>
          <t>Não</t>
        </is>
      </c>
      <c r="J1705" s="13" t="n">
        <v>2020</v>
      </c>
      <c r="L1705" s="13" t="n">
        <v>4</v>
      </c>
      <c r="M1705" s="8">
        <f>L1705*G1705</f>
        <v/>
      </c>
      <c r="P1705" s="9" t="n"/>
    </row>
    <row r="1706">
      <c r="A1706" s="13" t="inlineStr">
        <is>
          <t>Karplusan Forest</t>
        </is>
      </c>
      <c r="B1706" s="13" t="inlineStr">
        <is>
          <t>Land</t>
        </is>
      </c>
      <c r="C1706" s="13" t="inlineStr">
        <is>
          <t>Rare</t>
        </is>
      </c>
      <c r="D1706" s="13" t="inlineStr">
        <is>
          <t>{T}: Add one colorless mana to your mana pool. {T}: Add {R} or {G} to your mana pool. Karplusan Forest deals 1 damage to you.</t>
        </is>
      </c>
      <c r="E1706" s="13" t="inlineStr">
        <is>
          <t>None</t>
        </is>
      </c>
      <c r="F1706" s="13" t="inlineStr">
        <is>
          <t>Red/Green</t>
        </is>
      </c>
      <c r="G1706" s="8" t="n">
        <v>26.78</v>
      </c>
      <c r="H1706" s="13" t="inlineStr">
        <is>
          <t>Classic Sixth Edition (6ED)</t>
        </is>
      </c>
      <c r="I1706" s="13" t="inlineStr">
        <is>
          <t>No</t>
        </is>
      </c>
      <c r="J1706" s="13" t="n">
        <v>1999</v>
      </c>
      <c r="L1706" s="13" t="n">
        <v>1</v>
      </c>
      <c r="M1706" s="8">
        <f>L1706*G1706</f>
        <v/>
      </c>
      <c r="P1706" s="9" t="n"/>
    </row>
    <row r="1707">
      <c r="A1707" s="13" t="inlineStr">
        <is>
          <t>Karplusan Giant / Gigante Karplusano</t>
        </is>
      </c>
      <c r="B1707" s="13" t="inlineStr">
        <is>
          <t>Creature — Giant</t>
        </is>
      </c>
      <c r="C1707" s="13" t="inlineStr">
        <is>
          <t>Uncommon / Incomum</t>
        </is>
      </c>
      <c r="D1707" s="13" t="inlineStr">
        <is>
          <t>Tap an untapped snow land you control: This creature gets +1/+1 until end of turn.</t>
        </is>
      </c>
      <c r="E1707" s="13" t="inlineStr">
        <is>
          <t>{6}{R}</t>
        </is>
      </c>
      <c r="F1707" s="13" t="inlineStr">
        <is>
          <t>Vermelho</t>
        </is>
      </c>
      <c r="G1707" s="8" t="n">
        <v>0.1</v>
      </c>
      <c r="H1707" s="13" t="inlineStr">
        <is>
          <t>Ice Age (ICE)</t>
        </is>
      </c>
      <c r="I1707" s="13" t="inlineStr">
        <is>
          <t>Não</t>
        </is>
      </c>
      <c r="J1707" s="13" t="n">
        <v>1995</v>
      </c>
      <c r="K1707" s="10" t="n">
        <v>46084</v>
      </c>
      <c r="L1707" s="13" t="n">
        <v>1</v>
      </c>
      <c r="M1707" s="8">
        <f>L1707*G1707</f>
        <v/>
      </c>
      <c r="P1707" s="9" t="n"/>
    </row>
    <row r="1708">
      <c r="A1708" s="13" t="inlineStr">
        <is>
          <t>Kaslem's Stonetree / Árvore Pétrea de Kaslem</t>
        </is>
      </c>
      <c r="B1708" s="13" t="inlineStr">
        <is>
          <t>Artifact / Artefato</t>
        </is>
      </c>
      <c r="C1708" s="13" t="inlineStr">
        <is>
          <t>Common / Comum</t>
        </is>
      </c>
      <c r="D1708" s="13"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1708" s="13" t="inlineStr">
        <is>
          <t>{2}{G}</t>
        </is>
      </c>
      <c r="F1708" s="13" t="inlineStr">
        <is>
          <t>Verde</t>
        </is>
      </c>
      <c r="G1708" s="8" t="n">
        <v>0.06</v>
      </c>
      <c r="H1708" s="13" t="inlineStr">
        <is>
          <t>The Lost Caverns of Ixalan (LCI)</t>
        </is>
      </c>
      <c r="I1708" s="13" t="inlineStr">
        <is>
          <t>Não</t>
        </is>
      </c>
      <c r="J1708" s="13" t="n">
        <v>2023</v>
      </c>
      <c r="L1708" s="13" t="n">
        <v>1</v>
      </c>
      <c r="M1708" s="8">
        <f>L1708*G1708</f>
        <v/>
      </c>
      <c r="P1708" s="9" t="n"/>
    </row>
    <row r="1709">
      <c r="A1709" s="13" t="inlineStr">
        <is>
          <t>Katara, Bending Prodigy</t>
        </is>
      </c>
      <c r="B1709" s="13" t="inlineStr">
        <is>
          <t>Legendary Creature — Human Warrior Ally</t>
        </is>
      </c>
      <c r="C1709" s="13" t="inlineStr">
        <is>
          <t>Uncommon / Incomum</t>
        </is>
      </c>
      <c r="D1709" s="13" t="inlineStr">
        <is>
          <t>At the beginning of your end step, if Katara is tapped, put a +1/+1 counter on her. Waterbend {6}: Draw a card. (While paying a waterbend cost, you can tap your artifacts and creatures to help. Each one pays for {1}.)</t>
        </is>
      </c>
      <c r="E1709" s="13" t="inlineStr">
        <is>
          <t>{2}{U}</t>
        </is>
      </c>
      <c r="F1709" s="13" t="inlineStr">
        <is>
          <t>Azul</t>
        </is>
      </c>
      <c r="G1709" s="8" t="n">
        <v>0.2</v>
      </c>
      <c r="H1709" s="13" t="inlineStr">
        <is>
          <t>Avatar: The Last Airbender (TLA)</t>
        </is>
      </c>
      <c r="I1709" s="13" t="inlineStr">
        <is>
          <t>Não</t>
        </is>
      </c>
      <c r="J1709" s="13" t="n">
        <v>2025</v>
      </c>
      <c r="K1709" s="10" t="n">
        <v>46083</v>
      </c>
      <c r="L1709" s="13" t="n">
        <v>1</v>
      </c>
      <c r="M1709" s="8">
        <f>L1709*G1709</f>
        <v/>
      </c>
      <c r="P1709" s="9" t="n"/>
    </row>
    <row r="1710">
      <c r="A1710" s="13" t="inlineStr">
        <is>
          <t>Katara, the Fearless</t>
        </is>
      </c>
      <c r="B1710" s="13" t="inlineStr">
        <is>
          <t>Legendary Creature — Human Warrior Ally</t>
        </is>
      </c>
      <c r="C1710" s="13" t="inlineStr">
        <is>
          <t>Rare / Rara</t>
        </is>
      </c>
      <c r="D1710" s="13" t="inlineStr">
        <is>
          <t>If a triggered ability of an Ally you control triggers, that ability triggers an additional time.</t>
        </is>
      </c>
      <c r="E1710" s="13" t="inlineStr">
        <is>
          <t>{G}{W}{U}</t>
        </is>
      </c>
      <c r="F1710" s="13" t="inlineStr">
        <is>
          <t>Verde, Azul, Branco</t>
        </is>
      </c>
      <c r="G1710" s="8" t="n">
        <v>2.38</v>
      </c>
      <c r="H1710" s="13" t="inlineStr">
        <is>
          <t>Avatar: The Last Airbender (TLA)</t>
        </is>
      </c>
      <c r="I1710" s="13" t="inlineStr">
        <is>
          <t>Não</t>
        </is>
      </c>
      <c r="J1710" s="13" t="n">
        <v>2025</v>
      </c>
      <c r="K1710" s="10" t="n">
        <v>46084</v>
      </c>
      <c r="L1710" s="13" t="n">
        <v>1</v>
      </c>
      <c r="M1710" s="8">
        <f>L1710*G1710</f>
        <v/>
      </c>
      <c r="P1710" s="9" t="n"/>
    </row>
    <row r="1711">
      <c r="A1711" s="13" t="inlineStr">
        <is>
          <t>Kavaron Harrier / Predador de Kavaron</t>
        </is>
      </c>
      <c r="B1711" s="13" t="inlineStr">
        <is>
          <t>Criatura Artefato — Robô Soldado</t>
        </is>
      </c>
      <c r="C1711" s="13" t="inlineStr">
        <is>
          <t>Incomum</t>
        </is>
      </c>
      <c r="D1711" s="13" t="inlineStr">
        <is>
          <t>Sempre que esta criatura atacar, você pode pagar {2}. Se fizer isso, crie uma ficha de criatura artefato Robô incolor 2/2 virada e atacando. Sacrifique aquela ficha no final do combate.</t>
        </is>
      </c>
      <c r="E1711" s="13" t="inlineStr">
        <is>
          <t>{R}</t>
        </is>
      </c>
      <c r="F1711" s="13" t="inlineStr">
        <is>
          <t>Vermelho</t>
        </is>
      </c>
      <c r="G1711" s="8" t="n">
        <v>0.2</v>
      </c>
      <c r="H1711" s="13" t="inlineStr">
        <is>
          <t>Edge of Eternity</t>
        </is>
      </c>
      <c r="I1711" s="13" t="inlineStr">
        <is>
          <t>Não</t>
        </is>
      </c>
      <c r="J1711" s="13" t="n">
        <v>2025</v>
      </c>
      <c r="K1711" s="10" t="n">
        <v>46024</v>
      </c>
      <c r="L1711" s="13" t="n">
        <v>1</v>
      </c>
      <c r="M1711" s="8">
        <f>L1711*G1711</f>
        <v/>
      </c>
      <c r="P1711" s="9" t="n"/>
    </row>
    <row r="1712">
      <c r="A1712" s="13" t="inlineStr">
        <is>
          <t>Kavaron Skywarden / Guarda dos Céus de Kavaron</t>
        </is>
      </c>
      <c r="B1712" s="13" t="inlineStr">
        <is>
          <t>Criatura — Kavu Soldado</t>
        </is>
      </c>
      <c r="C1712" s="13" t="inlineStr">
        <is>
          <t>Comum</t>
        </is>
      </c>
      <c r="D1712" s="13" t="inlineStr">
        <is>
          <t>Alcance. Vazio — No início de sua etapa final, se uma permanente não de terreno tiver deixado o campo de batalha neste turno ou se uma mágica tiver sido dobrada neste turno, coloque um marcador +1/+1 nesta criatura.</t>
        </is>
      </c>
      <c r="E1712" s="13" t="inlineStr">
        <is>
          <t>4{R}</t>
        </is>
      </c>
      <c r="F1712" s="13" t="inlineStr">
        <is>
          <t>Vermelho</t>
        </is>
      </c>
      <c r="G1712" s="8" t="n">
        <v>0.05</v>
      </c>
      <c r="H1712" s="13" t="inlineStr">
        <is>
          <t>Edge of Eternity</t>
        </is>
      </c>
      <c r="I1712" s="13" t="inlineStr">
        <is>
          <t>Não</t>
        </is>
      </c>
      <c r="J1712" s="13" t="n">
        <v>2025</v>
      </c>
      <c r="K1712" s="10" t="n">
        <v>46146</v>
      </c>
      <c r="L1712" s="13" t="n">
        <v>1</v>
      </c>
      <c r="M1712" s="8">
        <f>L1712*G1712</f>
        <v/>
      </c>
      <c r="P1712" s="9" t="n"/>
    </row>
    <row r="1713">
      <c r="A1713" s="13" t="inlineStr">
        <is>
          <t>Kaya's Wrath / Ira de Kaya</t>
        </is>
      </c>
      <c r="B1713" s="13" t="inlineStr">
        <is>
          <t>Sorcery / Feitiço</t>
        </is>
      </c>
      <c r="C1713" s="13" t="inlineStr">
        <is>
          <t>Rare / Rara</t>
        </is>
      </c>
      <c r="D1713" s="13"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713" s="13" t="inlineStr">
        <is>
          <t>{W}{W}{B}{B}</t>
        </is>
      </c>
      <c r="F1713" s="13" t="inlineStr">
        <is>
          <t>Preto, Branco</t>
        </is>
      </c>
      <c r="G1713" s="8" t="n">
        <v>0.79</v>
      </c>
      <c r="H1713" s="13" t="inlineStr">
        <is>
          <t>Ravnica Allegiance (RNA)</t>
        </is>
      </c>
      <c r="I1713" s="13" t="inlineStr">
        <is>
          <t>Não</t>
        </is>
      </c>
      <c r="J1713" s="13" t="n">
        <v>2019</v>
      </c>
      <c r="L1713" s="13" t="n">
        <v>1</v>
      </c>
      <c r="M1713" s="8">
        <f>L1713*G1713</f>
        <v/>
      </c>
      <c r="P1713" s="9" t="n"/>
    </row>
    <row r="1714">
      <c r="A1714" s="13" t="inlineStr">
        <is>
          <t>Kazandu Blademaster / Espadachim-Mestre de Kazandu</t>
        </is>
      </c>
      <c r="B1714" s="13" t="inlineStr">
        <is>
          <t>Creature — Human Soldier Ally / Criatura — Humano Soldado Aliado</t>
        </is>
      </c>
      <c r="C1714" s="13" t="inlineStr">
        <is>
          <t>Uncommon / Incomum</t>
        </is>
      </c>
      <c r="D1714" s="13"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714" s="13" t="inlineStr">
        <is>
          <t>{W}{W}</t>
        </is>
      </c>
      <c r="F1714" s="13" t="inlineStr">
        <is>
          <t>Branco</t>
        </is>
      </c>
      <c r="G1714" s="8" t="n">
        <v>0.43</v>
      </c>
      <c r="H1714" s="13" t="inlineStr">
        <is>
          <t>Zendikar (ZEN)</t>
        </is>
      </c>
      <c r="I1714" s="13" t="inlineStr">
        <is>
          <t>Não</t>
        </is>
      </c>
      <c r="J1714" s="13" t="n">
        <v>2009</v>
      </c>
      <c r="K1714" s="10" t="n">
        <v>46023</v>
      </c>
      <c r="L1714" s="13" t="n">
        <v>3</v>
      </c>
      <c r="M1714" s="8">
        <f>L1714*G1714</f>
        <v/>
      </c>
      <c r="P1714" s="9" t="n"/>
    </row>
    <row r="1715">
      <c r="A1715" s="13" t="inlineStr">
        <is>
          <t>Kazandu Refuge / Refúgio de Kazandu</t>
        </is>
      </c>
      <c r="B1715" s="13" t="inlineStr">
        <is>
          <t>Land / Terreno</t>
        </is>
      </c>
      <c r="C1715" s="13" t="inlineStr">
        <is>
          <t>Uncommon / Incomum</t>
        </is>
      </c>
      <c r="D1715" s="13"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715" s="13" t="inlineStr">
        <is>
          <t>Incolor</t>
        </is>
      </c>
      <c r="G1715" s="8" t="n">
        <v>0.3</v>
      </c>
      <c r="H1715" s="13" t="inlineStr">
        <is>
          <t>Commander 2011 (CMD)</t>
        </is>
      </c>
      <c r="I1715" s="13" t="inlineStr">
        <is>
          <t>Não</t>
        </is>
      </c>
      <c r="J1715" s="13" t="n">
        <v>2011</v>
      </c>
      <c r="L1715" s="13" t="n">
        <v>4</v>
      </c>
      <c r="M1715" s="8">
        <f>L1715*G1715</f>
        <v/>
      </c>
      <c r="P1715" s="9" t="n"/>
    </row>
    <row r="1716">
      <c r="A1716" s="13" t="inlineStr">
        <is>
          <t>Kazuul Warlord / Comandante Kazuul</t>
        </is>
      </c>
      <c r="B1716" s="13" t="inlineStr">
        <is>
          <t>Creature — Minotaur Warrior Ally / Criatura — Minotauro Guerreiro Aliado</t>
        </is>
      </c>
      <c r="C1716" s="13" t="inlineStr">
        <is>
          <t>Rare / Rara</t>
        </is>
      </c>
      <c r="D1716" s="13"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716" s="13" t="inlineStr">
        <is>
          <t>{4}{R}</t>
        </is>
      </c>
      <c r="F1716" s="13" t="inlineStr">
        <is>
          <t>Vermelho</t>
        </is>
      </c>
      <c r="G1716" s="8" t="n">
        <v>1.79</v>
      </c>
      <c r="H1716" s="13" t="inlineStr">
        <is>
          <t>Zendikar (ZEN)</t>
        </is>
      </c>
      <c r="I1716" s="13" t="inlineStr">
        <is>
          <t>Não</t>
        </is>
      </c>
      <c r="J1716" s="13" t="n">
        <v>2009</v>
      </c>
      <c r="K1716" s="10" t="n">
        <v>46084</v>
      </c>
      <c r="L1716" s="13" t="n">
        <v>3</v>
      </c>
      <c r="M1716" s="8">
        <f>L1716*G1716</f>
        <v/>
      </c>
      <c r="P1716" s="9" t="n"/>
    </row>
    <row r="1717">
      <c r="A1717" s="13" t="inlineStr">
        <is>
          <t>Kazuul Warlord / Comandante Kazuul</t>
        </is>
      </c>
      <c r="B1717" s="13" t="inlineStr">
        <is>
          <t>Creature — Minotaur Warrior Ally / Criatura — Minotauro Guerreiro Aliado</t>
        </is>
      </c>
      <c r="C1717" s="13" t="inlineStr">
        <is>
          <t>Rare / Rara</t>
        </is>
      </c>
      <c r="D1717" s="13"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717" s="13" t="inlineStr">
        <is>
          <t>{4}{R}</t>
        </is>
      </c>
      <c r="F1717" s="13" t="inlineStr">
        <is>
          <t>Vermelho</t>
        </is>
      </c>
      <c r="G1717" s="8" t="n">
        <v>1.79</v>
      </c>
      <c r="H1717" s="13" t="inlineStr">
        <is>
          <t>Zendikar (ZEN)</t>
        </is>
      </c>
      <c r="I1717" s="13" t="inlineStr">
        <is>
          <t>Não</t>
        </is>
      </c>
      <c r="J1717" s="13" t="n">
        <v>2009</v>
      </c>
      <c r="K1717" s="10" t="n">
        <v>46084</v>
      </c>
      <c r="L1717" s="13" t="n">
        <v>1</v>
      </c>
      <c r="M1717" s="8">
        <f>L1717*G1717</f>
        <v/>
      </c>
      <c r="P1717" s="9" t="n"/>
    </row>
    <row r="1718">
      <c r="A1718" s="13" t="inlineStr">
        <is>
          <t>Kazuul, Tyrant of the Cliffs / Kazuul, Tirano dos Penhascos</t>
        </is>
      </c>
      <c r="B1718" s="13" t="inlineStr">
        <is>
          <t>Legendary Creature — Ogre Warrior / Criatura Lendária — Ogro Guerreiro</t>
        </is>
      </c>
      <c r="C1718" s="13" t="inlineStr">
        <is>
          <t>Uncommon / Incomum</t>
        </is>
      </c>
      <c r="D1718" s="13"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1718" s="13" t="inlineStr">
        <is>
          <t>{3}{R}{R}</t>
        </is>
      </c>
      <c r="F1718" s="13" t="inlineStr">
        <is>
          <t>Vermelho</t>
        </is>
      </c>
      <c r="G1718" s="8" t="n">
        <v>0.5</v>
      </c>
      <c r="H1718" s="13" t="inlineStr">
        <is>
          <t>Commander Masters (CMM)</t>
        </is>
      </c>
      <c r="I1718" s="13" t="inlineStr">
        <is>
          <t>Não</t>
        </is>
      </c>
      <c r="J1718" s="13" t="n">
        <v>2023</v>
      </c>
      <c r="K1718" s="10" t="n">
        <v>46117</v>
      </c>
      <c r="L1718" s="13" t="n">
        <v>1</v>
      </c>
      <c r="M1718" s="8">
        <f>L1718*G1718</f>
        <v/>
      </c>
      <c r="P1718" s="9" t="n"/>
    </row>
    <row r="1719">
      <c r="A1719" s="13" t="inlineStr">
        <is>
          <t>Keep Out</t>
        </is>
      </c>
      <c r="B1719" s="13" t="inlineStr">
        <is>
          <t>Instant</t>
        </is>
      </c>
      <c r="C1719" s="13" t="inlineStr">
        <is>
          <t>Common / Comum</t>
        </is>
      </c>
      <c r="D1719" s="13" t="inlineStr">
        <is>
          <t>Choose one — • Keep Out deals 4 damage to target tapped creature. • Destroy target enchantment.</t>
        </is>
      </c>
      <c r="E1719" s="13" t="inlineStr">
        <is>
          <t>{1}{W}</t>
        </is>
      </c>
      <c r="F1719" s="13" t="inlineStr">
        <is>
          <t>Branco</t>
        </is>
      </c>
      <c r="G1719" s="8" t="n"/>
      <c r="H1719" s="13" t="inlineStr">
        <is>
          <t>Lorwyn Eclipsed (ECL)</t>
        </is>
      </c>
      <c r="I1719" s="13" t="inlineStr">
        <is>
          <t>Sim</t>
        </is>
      </c>
      <c r="J1719" s="13" t="n">
        <v>2026</v>
      </c>
      <c r="L1719" s="13" t="n">
        <v>1</v>
      </c>
      <c r="M1719" s="8">
        <f>L1719*G1719</f>
        <v/>
      </c>
      <c r="P1719" s="9" t="n"/>
    </row>
    <row r="1720">
      <c r="A1720" s="13" t="inlineStr">
        <is>
          <t>Keepers of the Faith / Guardiões da Fé</t>
        </is>
      </c>
      <c r="B1720" s="13" t="inlineStr">
        <is>
          <t>Summon Keepers / Invocação (Guardiões)</t>
        </is>
      </c>
      <c r="C1720" s="13" t="inlineStr">
        <is>
          <t>Common / Comum</t>
        </is>
      </c>
      <c r="D1720" s="13" t="inlineStr">
        <is>
          <t>None</t>
        </is>
      </c>
      <c r="E1720" s="13" t="inlineStr">
        <is>
          <t>{1}{W}{W}</t>
        </is>
      </c>
      <c r="F1720" s="13" t="inlineStr">
        <is>
          <t>Branco</t>
        </is>
      </c>
      <c r="G1720" s="8" t="n">
        <v>1.45</v>
      </c>
      <c r="H1720" s="13" t="inlineStr">
        <is>
          <t>Legends (LEG)</t>
        </is>
      </c>
      <c r="I1720" s="13" t="inlineStr">
        <is>
          <t>No</t>
        </is>
      </c>
      <c r="J1720" s="13" t="n">
        <v>1994</v>
      </c>
      <c r="K1720" s="10" t="n">
        <v>46083</v>
      </c>
      <c r="L1720" s="13" t="n">
        <v>1</v>
      </c>
      <c r="M1720" s="8">
        <f>L1720*G1720</f>
        <v/>
      </c>
      <c r="P1720" s="9" t="n"/>
    </row>
    <row r="1721">
      <c r="A1721" s="13" t="inlineStr">
        <is>
          <t>Kei Takahashi</t>
        </is>
      </c>
      <c r="B1721" s="13" t="inlineStr">
        <is>
          <t>Summon Legend</t>
        </is>
      </c>
      <c r="C1721" s="13" t="inlineStr">
        <is>
          <t>Rara / Rare</t>
        </is>
      </c>
      <c r="D1721" s="13" t="inlineStr">
        <is>
          <t>{T}: Prevent up to 2 damage to any creature.</t>
        </is>
      </c>
      <c r="E1721" s="13" t="inlineStr">
        <is>
          <t>{2}{W}{G}</t>
        </is>
      </c>
      <c r="F1721" s="13" t="inlineStr">
        <is>
          <t>Branco e Verde / White and Green</t>
        </is>
      </c>
      <c r="G1721" s="8" t="n">
        <v>0.21</v>
      </c>
      <c r="H1721" s="13" t="inlineStr">
        <is>
          <t>Chronicles (CHR)</t>
        </is>
      </c>
      <c r="I1721" s="13" t="inlineStr">
        <is>
          <t>Não</t>
        </is>
      </c>
      <c r="J1721" s="13" t="n">
        <v>1995</v>
      </c>
      <c r="K1721" s="10" t="n">
        <v>46055</v>
      </c>
      <c r="L1721" s="13" t="n">
        <v>1</v>
      </c>
      <c r="M1721" s="8">
        <f>L1721*G1721</f>
        <v/>
      </c>
      <c r="P1721" s="9" t="n"/>
    </row>
    <row r="1722">
      <c r="A1722" s="13" t="inlineStr">
        <is>
          <t>Keldon Halberdier / Alabardeiro Keldoniano</t>
        </is>
      </c>
      <c r="B1722" s="13" t="inlineStr">
        <is>
          <t>Creature — Human Warrior / Criatura — Humano Guerreiro</t>
        </is>
      </c>
      <c r="C1722" s="13" t="inlineStr">
        <is>
          <t>Common / Comum</t>
        </is>
      </c>
      <c r="D1722" s="13"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722" s="13" t="inlineStr">
        <is>
          <t>{4}{R}</t>
        </is>
      </c>
      <c r="F1722" s="13" t="inlineStr">
        <is>
          <t>Vermelho</t>
        </is>
      </c>
      <c r="G1722" s="8" t="n">
        <v>0.08</v>
      </c>
      <c r="H1722" s="13" t="inlineStr">
        <is>
          <t>Time Spiral Remastered (TSR)</t>
        </is>
      </c>
      <c r="I1722" s="13" t="inlineStr">
        <is>
          <t>Não</t>
        </is>
      </c>
      <c r="J1722" s="13" t="n">
        <v>2021</v>
      </c>
      <c r="K1722" s="10" t="n">
        <v>46026</v>
      </c>
      <c r="L1722" s="13" t="n">
        <v>1</v>
      </c>
      <c r="M1722" s="8">
        <f>L1722*G1722</f>
        <v/>
      </c>
      <c r="N1722" s="13" t="inlineStr">
        <is>
          <t>Bulk Shopee</t>
        </is>
      </c>
      <c r="P1722" s="9" t="n"/>
    </row>
    <row r="1723">
      <c r="A1723" s="13" t="inlineStr">
        <is>
          <t>Keldon Raider / Saqueadora Keldoniana</t>
        </is>
      </c>
      <c r="B1723" s="13" t="inlineStr">
        <is>
          <t>Creature — Human Warrior / Criatura — Humano Guerreiro</t>
        </is>
      </c>
      <c r="C1723" s="13" t="inlineStr">
        <is>
          <t>Common / Comum</t>
        </is>
      </c>
      <c r="D1723" s="13" t="inlineStr">
        <is>
          <t>When this creature enters, you may discard a card. If you do, draw a card. / Quando Saqueadora Keldoniana entra no campo de batalha, você pode descartar um card. Se fizer isso, compre um card.</t>
        </is>
      </c>
      <c r="E1723" s="13" t="inlineStr">
        <is>
          <t>{2}{R}{R}</t>
        </is>
      </c>
      <c r="F1723" s="13" t="inlineStr">
        <is>
          <t>Vermelho</t>
        </is>
      </c>
      <c r="G1723" s="8" t="n">
        <v>0.03</v>
      </c>
      <c r="H1723" s="13" t="inlineStr">
        <is>
          <t>Core Set 2020 (M20)</t>
        </is>
      </c>
      <c r="I1723" s="13" t="inlineStr">
        <is>
          <t>Não</t>
        </is>
      </c>
      <c r="J1723" s="13" t="n">
        <v>2019</v>
      </c>
      <c r="K1723" s="10" t="n">
        <v>46085</v>
      </c>
      <c r="L1723" s="13" t="n">
        <v>1</v>
      </c>
      <c r="M1723" s="8">
        <f>L1723*G1723</f>
        <v/>
      </c>
      <c r="P1723" s="9" t="n"/>
    </row>
    <row r="1724">
      <c r="A1724" s="13" t="inlineStr">
        <is>
          <t>Keldon Warlord / Senhor da Guerra de Keldon</t>
        </is>
      </c>
      <c r="B1724" s="13" t="inlineStr">
        <is>
          <t>Creature — Human Barbarian</t>
        </is>
      </c>
      <c r="C1724" s="13" t="inlineStr">
        <is>
          <t>Uncommon / Incomum</t>
        </is>
      </c>
      <c r="D1724" s="13" t="inlineStr">
        <is>
          <t>Keldon Warlord's power and toughness are each equal to the number of non-Wall creatures you control.</t>
        </is>
      </c>
      <c r="E1724" s="13" t="inlineStr">
        <is>
          <t>{2}{R}{R}</t>
        </is>
      </c>
      <c r="F1724" s="13" t="inlineStr">
        <is>
          <t>Vermelho</t>
        </is>
      </c>
      <c r="G1724" s="8" t="n">
        <v>0.15</v>
      </c>
      <c r="H1724" s="13" t="inlineStr">
        <is>
          <t>Fourth Edition</t>
        </is>
      </c>
      <c r="I1724" s="13" t="inlineStr">
        <is>
          <t>Não</t>
        </is>
      </c>
      <c r="J1724" s="13" t="n">
        <v>1995</v>
      </c>
      <c r="K1724" s="13" t="inlineStr">
        <is>
          <t>*/*</t>
        </is>
      </c>
      <c r="L1724" s="13" t="n">
        <v>1</v>
      </c>
      <c r="M1724" s="8">
        <f>L1724*G1724</f>
        <v/>
      </c>
      <c r="P1724" s="9" t="n"/>
    </row>
    <row r="1725">
      <c r="A1725" s="13" t="inlineStr">
        <is>
          <t>Kessig Flamebreather / Sopra-fogo de Kessig</t>
        </is>
      </c>
      <c r="B1725" s="13" t="inlineStr">
        <is>
          <t>Creature — Human Shaman / Criatura — Humano Xamã</t>
        </is>
      </c>
      <c r="C1725" s="13" t="inlineStr">
        <is>
          <t>Common / Comum</t>
        </is>
      </c>
      <c r="D1725" s="13" t="inlineStr">
        <is>
          <t>Whenever you cast a noncreature spell, this creature deals 1 damage to each opponent. / Toda vez que você conjura uma mágica não de criatura, Sopra-fogo de Kessig causa 1 ponto de dano a cada oponente.</t>
        </is>
      </c>
      <c r="E1725" s="13" t="inlineStr">
        <is>
          <t>{1}{R}</t>
        </is>
      </c>
      <c r="F1725" s="13" t="inlineStr">
        <is>
          <t>Vermelho</t>
        </is>
      </c>
      <c r="G1725" s="8" t="n">
        <v>18.98</v>
      </c>
      <c r="H1725" s="13" t="inlineStr">
        <is>
          <t>Innistrad: Crimson Vow (VOW)</t>
        </is>
      </c>
      <c r="I1725" s="13" t="inlineStr">
        <is>
          <t>Não</t>
        </is>
      </c>
      <c r="J1725" s="13" t="n">
        <v>2021</v>
      </c>
      <c r="K1725" s="10" t="n">
        <v>46082</v>
      </c>
      <c r="L1725" s="13" t="n">
        <v>1</v>
      </c>
      <c r="M1725" s="8">
        <f>L1725*G1725</f>
        <v/>
      </c>
      <c r="N1725" s="13" t="inlineStr">
        <is>
          <t>Pasta</t>
        </is>
      </c>
      <c r="P1725" s="9" t="n"/>
    </row>
    <row r="1726">
      <c r="A1726" s="13" t="inlineStr">
        <is>
          <t>Keys to the House</t>
        </is>
      </c>
      <c r="B1726" s="13" t="inlineStr">
        <is>
          <t>Artifact</t>
        </is>
      </c>
      <c r="C1726" s="13" t="inlineStr">
        <is>
          <t>Uncommon / Incomum</t>
        </is>
      </c>
      <c r="D1726" s="13" t="inlineStr">
        <is>
          <t>{1}, {T}, Sacrifice this artifact: Search your library for a basic land card, reveal it, put it into your hand, then shuffle. {3}, {T}, Sacrifice this artifact: Lock or unlock a door of target Room you control. Activate only as a sorcery.</t>
        </is>
      </c>
      <c r="E1726" s="13" t="inlineStr">
        <is>
          <t>{1}</t>
        </is>
      </c>
      <c r="F1726" s="13" t="inlineStr">
        <is>
          <t>Incolor</t>
        </is>
      </c>
      <c r="G1726" s="8" t="n">
        <v>0.05</v>
      </c>
      <c r="H1726" s="13" t="inlineStr">
        <is>
          <t>Duskmourn: House of Horror (DSK)</t>
        </is>
      </c>
      <c r="I1726" s="13" t="inlineStr">
        <is>
          <t>Não</t>
        </is>
      </c>
      <c r="J1726" s="13" t="n">
        <v>2024</v>
      </c>
      <c r="L1726" s="13" t="n">
        <v>1</v>
      </c>
      <c r="M1726" s="8">
        <f>L1726*G1726</f>
        <v/>
      </c>
      <c r="P1726" s="9" t="n"/>
    </row>
    <row r="1727">
      <c r="A1727" s="13" t="inlineStr">
        <is>
          <t>Kill Shot / Tiro Mortal</t>
        </is>
      </c>
      <c r="B1727" s="13" t="inlineStr">
        <is>
          <t>Instant / Mágica Instantânea</t>
        </is>
      </c>
      <c r="C1727" s="13" t="inlineStr">
        <is>
          <t>Common / Comum</t>
        </is>
      </c>
      <c r="D1727" s="13" t="inlineStr">
        <is>
          <t>Destroy target attacking creature. / Destrua a criatura atacante alvo.</t>
        </is>
      </c>
      <c r="E1727" s="13" t="inlineStr">
        <is>
          <t>{2}{W}</t>
        </is>
      </c>
      <c r="F1727" s="13" t="inlineStr">
        <is>
          <t>Branco</t>
        </is>
      </c>
      <c r="G1727" s="8" t="n">
        <v>0.06</v>
      </c>
      <c r="H1727" s="13" t="inlineStr">
        <is>
          <t>Streets of New Capenna (SNC)</t>
        </is>
      </c>
      <c r="I1727" s="13" t="inlineStr">
        <is>
          <t>Não</t>
        </is>
      </c>
      <c r="J1727" s="13" t="n">
        <v>2022</v>
      </c>
      <c r="L1727" s="13" t="n">
        <v>2</v>
      </c>
      <c r="M1727" s="8">
        <f>L1727*G1727</f>
        <v/>
      </c>
      <c r="P1727" s="9" t="n"/>
    </row>
    <row r="1728">
      <c r="A1728" s="13" t="inlineStr">
        <is>
          <t>Kill Shot / Tiro Mortal</t>
        </is>
      </c>
      <c r="B1728" s="13" t="inlineStr">
        <is>
          <t>Instant / Mágica Instantânea</t>
        </is>
      </c>
      <c r="C1728" s="13" t="inlineStr">
        <is>
          <t>Common / Comum</t>
        </is>
      </c>
      <c r="D1728" s="13" t="inlineStr">
        <is>
          <t>Destroy target attacking creature. / Destrua a criatura atacante alvo.</t>
        </is>
      </c>
      <c r="E1728" s="13" t="inlineStr">
        <is>
          <t>{2}{W}</t>
        </is>
      </c>
      <c r="F1728" s="13" t="inlineStr">
        <is>
          <t>Branco</t>
        </is>
      </c>
      <c r="G1728" s="8" t="n">
        <v>0.05</v>
      </c>
      <c r="H1728" s="13" t="inlineStr">
        <is>
          <t>Tarkir Khans</t>
        </is>
      </c>
      <c r="I1728" s="13" t="inlineStr">
        <is>
          <t>Não</t>
        </is>
      </c>
      <c r="J1728" s="13" t="n">
        <v>2014</v>
      </c>
      <c r="L1728" s="13" t="n">
        <v>4</v>
      </c>
      <c r="M1728" s="8">
        <f>L1728*G1728</f>
        <v/>
      </c>
      <c r="P1728" s="9" t="n"/>
    </row>
    <row r="1729">
      <c r="A1729" s="13" t="inlineStr">
        <is>
          <t>Kill Switch</t>
        </is>
      </c>
      <c r="B1729" s="13" t="inlineStr">
        <is>
          <t>Artifact</t>
        </is>
      </c>
      <c r="C1729" s="13" t="inlineStr">
        <is>
          <t>Rare</t>
        </is>
      </c>
      <c r="D1729" s="13" t="inlineStr">
        <is>
          <t>{2}, {T}: Tap all other artifacts. They don't untap during their controllers' untap steps as long as Kill Switch remains tapped.</t>
        </is>
      </c>
      <c r="E1729" s="13" t="inlineStr">
        <is>
          <t>{3}</t>
        </is>
      </c>
      <c r="F1729" s="13" t="inlineStr">
        <is>
          <t>Colorless</t>
        </is>
      </c>
      <c r="G1729" s="8" t="n">
        <v>13.32</v>
      </c>
      <c r="H1729" s="13" t="inlineStr">
        <is>
          <t>Nemesis (NMS)</t>
        </is>
      </c>
      <c r="I1729" s="13" t="inlineStr">
        <is>
          <t>No</t>
        </is>
      </c>
      <c r="J1729" s="13" t="n">
        <v>2000</v>
      </c>
      <c r="L1729" s="13" t="n">
        <v>1</v>
      </c>
      <c r="M1729" s="8">
        <f>L1729*G1729</f>
        <v/>
      </c>
      <c r="P1729" s="9" t="n"/>
    </row>
    <row r="1730">
      <c r="A1730" s="13" t="inlineStr">
        <is>
          <t>Killian, Ink Duelist / Killian, Duelista do Nanquim</t>
        </is>
      </c>
      <c r="B1730" s="13" t="inlineStr">
        <is>
          <t>Legendary Creature — Human Warlock / Criatura Lendária — Humano Bruxo</t>
        </is>
      </c>
      <c r="C1730" s="13" t="inlineStr">
        <is>
          <t>Uncommon / Incomum</t>
        </is>
      </c>
      <c r="D1730" s="13"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1730" s="13" t="inlineStr">
        <is>
          <t>{W}{B}</t>
        </is>
      </c>
      <c r="F1730" s="13" t="inlineStr">
        <is>
          <t>Preto, Branco</t>
        </is>
      </c>
      <c r="G1730" s="8" t="n">
        <v>0.2</v>
      </c>
      <c r="H1730" s="13" t="inlineStr">
        <is>
          <t>Strixhaven: School of Mages (STX)</t>
        </is>
      </c>
      <c r="I1730" s="13" t="inlineStr">
        <is>
          <t>Não</t>
        </is>
      </c>
      <c r="J1730" s="13" t="n">
        <v>2021</v>
      </c>
      <c r="K1730" s="10" t="n">
        <v>46055</v>
      </c>
      <c r="L1730" s="13" t="n">
        <v>1</v>
      </c>
      <c r="M1730" s="8">
        <f>L1730*G1730</f>
        <v/>
      </c>
      <c r="P1730" s="9" t="n"/>
    </row>
    <row r="1731">
      <c r="A1731" s="13" t="inlineStr">
        <is>
          <t>Killian's Confidence / Confiança de Killian</t>
        </is>
      </c>
      <c r="B1731" s="13" t="inlineStr">
        <is>
          <t>Feitiço</t>
        </is>
      </c>
      <c r="C1731" s="13" t="inlineStr">
        <is>
          <t>Incomum</t>
        </is>
      </c>
      <c r="D1731" s="13" t="inlineStr">
        <is>
          <t>A criatura alvo recebe +1/+1 até o final do turno. Compre um card. Sempre que uma ou mais criaturas que você controla causarem dano de combate a um jogador, você pode pagar {W/B}. Se fizer isso, devolva este card de seu cemitério para sua mão.</t>
        </is>
      </c>
      <c r="E1731" s="13" t="inlineStr">
        <is>
          <t>{W}{B}</t>
        </is>
      </c>
      <c r="F1731" s="13" t="inlineStr">
        <is>
          <t>Multicolorido</t>
        </is>
      </c>
      <c r="G1731" s="8" t="n">
        <v>0.3</v>
      </c>
      <c r="H1731" s="13" t="inlineStr">
        <is>
          <t>Strixhaven: School of Mages (SOS)</t>
        </is>
      </c>
      <c r="I1731" s="13" t="inlineStr">
        <is>
          <t>Não</t>
        </is>
      </c>
      <c r="J1731" s="13" t="n">
        <v>2026</v>
      </c>
      <c r="L1731" s="13" t="n">
        <v>1</v>
      </c>
      <c r="M1731" s="8">
        <f>L1731*G1731</f>
        <v/>
      </c>
      <c r="P1731" s="9" t="n"/>
    </row>
    <row r="1732">
      <c r="A1732" s="13" t="inlineStr">
        <is>
          <t>Kin-Tree Invocation / Invocação da Árvore de Família</t>
        </is>
      </c>
      <c r="B1732" s="13" t="inlineStr">
        <is>
          <t>Sorcery / Feitiço</t>
        </is>
      </c>
      <c r="C1732" s="13" t="inlineStr">
        <is>
          <t>Uncommon / Incomum</t>
        </is>
      </c>
      <c r="D1732" s="13"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1732" s="13" t="inlineStr">
        <is>
          <t>{B}{G}</t>
        </is>
      </c>
      <c r="F1732" s="13" t="inlineStr">
        <is>
          <t>Preto, Verde</t>
        </is>
      </c>
      <c r="G1732" s="8" t="n">
        <v>0.08</v>
      </c>
      <c r="H1732" s="13" t="inlineStr">
        <is>
          <t>Khans of Tarkir (KTK)</t>
        </is>
      </c>
      <c r="I1732" s="13" t="inlineStr">
        <is>
          <t>Não</t>
        </is>
      </c>
      <c r="J1732" s="13" t="n">
        <v>2014</v>
      </c>
      <c r="L1732" s="13" t="n">
        <v>1</v>
      </c>
      <c r="M1732" s="8">
        <f>L1732*G1732</f>
        <v/>
      </c>
      <c r="P1732" s="9" t="n"/>
    </row>
    <row r="1733">
      <c r="A1733" s="13" t="inlineStr">
        <is>
          <t>King Macar, the Gold-Cursed / Macar, Rei do Toque Maldito</t>
        </is>
      </c>
      <c r="B1733" s="13" t="inlineStr">
        <is>
          <t>Legendary Creature — Human Noble / Criatura Lendária — Humano</t>
        </is>
      </c>
      <c r="C1733" s="13" t="inlineStr">
        <is>
          <t>Rare / Rara</t>
        </is>
      </c>
      <c r="D1733" s="13"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733" s="13" t="inlineStr">
        <is>
          <t>{2}{B}{B}</t>
        </is>
      </c>
      <c r="F1733" s="13" t="inlineStr">
        <is>
          <t>Preto</t>
        </is>
      </c>
      <c r="G1733" s="8" t="n">
        <v>0.45</v>
      </c>
      <c r="H1733" s="13" t="inlineStr">
        <is>
          <t>Journey into Nyx (JOU)</t>
        </is>
      </c>
      <c r="I1733" s="13" t="inlineStr">
        <is>
          <t>Não</t>
        </is>
      </c>
      <c r="J1733" s="13" t="n">
        <v>2014</v>
      </c>
      <c r="K1733" s="10" t="n">
        <v>46083</v>
      </c>
      <c r="L1733" s="13" t="n">
        <v>2</v>
      </c>
      <c r="M1733" s="8">
        <f>L1733*G1733</f>
        <v/>
      </c>
      <c r="P1733" s="9" t="n"/>
    </row>
    <row r="1734">
      <c r="A1734" s="13" t="inlineStr">
        <is>
          <t>Kinsbaile Aspirant</t>
        </is>
      </c>
      <c r="B1734" s="13" t="inlineStr">
        <is>
          <t>Creature — Kithkin Citizen</t>
        </is>
      </c>
      <c r="C1734" s="13" t="inlineStr">
        <is>
          <t>Uncommon / Incomum</t>
        </is>
      </c>
      <c r="D1734" s="13" t="inlineStr">
        <is>
          <t>As an additional cost to cast this spell, behold a Kithkin or pay {2}. (To behold a Kithkin, choose a Kithkin you control or reveal a Kithkin card from your hand.) Whenever another creature you control enters, this creature gets +1/+1 until end of turn.</t>
        </is>
      </c>
      <c r="E1734" s="13" t="inlineStr">
        <is>
          <t>{W}</t>
        </is>
      </c>
      <c r="F1734" s="13" t="inlineStr">
        <is>
          <t>Branco</t>
        </is>
      </c>
      <c r="G1734" s="8" t="n">
        <v>0.2</v>
      </c>
      <c r="H1734" s="13" t="inlineStr">
        <is>
          <t>Lorwyn Eclipsed (ECL)</t>
        </is>
      </c>
      <c r="I1734" s="13" t="inlineStr">
        <is>
          <t>Não</t>
        </is>
      </c>
      <c r="J1734" s="13" t="n">
        <v>2026</v>
      </c>
      <c r="K1734" s="10" t="n">
        <v>46024</v>
      </c>
      <c r="L1734" s="13" t="n">
        <v>1</v>
      </c>
      <c r="M1734" s="8">
        <f>L1734*G1734</f>
        <v/>
      </c>
      <c r="P1734" s="9" t="n"/>
    </row>
    <row r="1735">
      <c r="A1735" s="13" t="inlineStr">
        <is>
          <t>Kiora's Dismissal / Exoneração de Kiora</t>
        </is>
      </c>
      <c r="B1735" s="13" t="inlineStr">
        <is>
          <t>Mágica Instantânea</t>
        </is>
      </c>
      <c r="C1735" s="13" t="inlineStr">
        <is>
          <t>Incomum</t>
        </is>
      </c>
      <c r="D1735" s="13" t="inlineStr">
        <is>
          <t>Esforço — Exoneração de Kiora custa U a mais para ser conjurado para cada alvo além do primeiro. Devolva qualquer número de encantamentos alvo para as mãos de seus donos.</t>
        </is>
      </c>
      <c r="E1735" s="13" t="inlineStr">
        <is>
          <t>U</t>
        </is>
      </c>
      <c r="F1735" s="13" t="inlineStr">
        <is>
          <t>Azul</t>
        </is>
      </c>
      <c r="G1735" s="8" t="n">
        <v>0.05</v>
      </c>
      <c r="H1735" s="13" t="inlineStr">
        <is>
          <t>Journey into Nyx</t>
        </is>
      </c>
      <c r="I1735" s="13" t="inlineStr">
        <is>
          <t>Não</t>
        </is>
      </c>
      <c r="J1735" s="13" t="n">
        <v>2014</v>
      </c>
      <c r="L1735" s="13" t="n">
        <v>1</v>
      </c>
      <c r="M1735" s="8">
        <f>L1735*G1735</f>
        <v/>
      </c>
      <c r="P1735" s="9" t="n"/>
    </row>
    <row r="1736">
      <c r="A1736" s="13" t="inlineStr">
        <is>
          <t>Kirtar's Wrath / Ira de Kirtar</t>
        </is>
      </c>
      <c r="B1736" s="13" t="inlineStr">
        <is>
          <t>Sorcery / Feitiço</t>
        </is>
      </c>
      <c r="C1736" s="13" t="inlineStr">
        <is>
          <t>Rare / Rara</t>
        </is>
      </c>
      <c r="D1736" s="13"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1736" s="13" t="inlineStr">
        <is>
          <t>{4}{W}{W}</t>
        </is>
      </c>
      <c r="F1736" s="13" t="inlineStr">
        <is>
          <t>Branco</t>
        </is>
      </c>
      <c r="G1736" s="8" t="n">
        <v>0.5</v>
      </c>
      <c r="H1736" s="13" t="inlineStr">
        <is>
          <t>Crimson Vow Commander (VOC)</t>
        </is>
      </c>
      <c r="I1736" s="13" t="inlineStr">
        <is>
          <t>Não</t>
        </is>
      </c>
      <c r="J1736" s="13" t="n">
        <v>2021</v>
      </c>
      <c r="L1736" s="13" t="n">
        <v>1</v>
      </c>
      <c r="M1736" s="8">
        <f>L1736*G1736</f>
        <v/>
      </c>
      <c r="P1736" s="9" t="n"/>
    </row>
    <row r="1737">
      <c r="A1737" s="13" t="inlineStr">
        <is>
          <t>Kismet</t>
        </is>
      </c>
      <c r="B1737" s="13" t="inlineStr">
        <is>
          <t>Encantamento / Enchantment</t>
        </is>
      </c>
      <c r="C1737" s="13" t="inlineStr">
        <is>
          <t>Incomum / Uncommon</t>
        </is>
      </c>
      <c r="D1737" s="13" t="inlineStr">
        <is>
          <t>All of target player's creatures, lands, and artifacts come into play tapped.</t>
        </is>
      </c>
      <c r="E1737" s="13" t="inlineStr">
        <is>
          <t>{3}{W}</t>
        </is>
      </c>
      <c r="F1737" s="13" t="inlineStr">
        <is>
          <t>Branco</t>
        </is>
      </c>
      <c r="G1737" s="8" t="n">
        <v>0.99</v>
      </c>
      <c r="H1737" s="13" t="inlineStr">
        <is>
          <t>Quarta Edição (4ED)</t>
        </is>
      </c>
      <c r="I1737" s="13" t="inlineStr">
        <is>
          <t>Não</t>
        </is>
      </c>
      <c r="J1737" s="13" t="n">
        <v>1995</v>
      </c>
      <c r="L1737" s="13" t="n">
        <v>1</v>
      </c>
      <c r="M1737" s="8">
        <f>L1737*G1737</f>
        <v/>
      </c>
      <c r="N1737" s="13" t="inlineStr">
        <is>
          <t>Pasta</t>
        </is>
      </c>
      <c r="P1737" s="9" t="n"/>
    </row>
    <row r="1738">
      <c r="A1738" s="13" t="inlineStr">
        <is>
          <t>Kitesail / Velepipa</t>
        </is>
      </c>
      <c r="B1738" s="13" t="inlineStr">
        <is>
          <t>Artifact — Equipment / Artefato — Equipamento</t>
        </is>
      </c>
      <c r="C1738" s="13" t="inlineStr">
        <is>
          <t>Common / Comum</t>
        </is>
      </c>
      <c r="D1738" s="13" t="inlineStr">
        <is>
          <t>Equipped creature gets +1/+0 and has flying. Equip {2} (2: Attach to target creature you control. Equip only as a sorcery.) / A criatura equipada recebe +1/+0 e tem voar. Equipar {2} (2: Anexe à criatura alvo que você controla. Equipe apenas como um feitiço.)</t>
        </is>
      </c>
      <c r="E1738" s="13" t="inlineStr">
        <is>
          <t>{2}</t>
        </is>
      </c>
      <c r="F1738" s="13" t="inlineStr">
        <is>
          <t>Incolor</t>
        </is>
      </c>
      <c r="G1738" s="8" t="n">
        <v>0.03</v>
      </c>
      <c r="H1738" s="13" t="inlineStr">
        <is>
          <t>Modern Masters 2015 (MM2)</t>
        </is>
      </c>
      <c r="I1738" s="13" t="inlineStr">
        <is>
          <t>No</t>
        </is>
      </c>
      <c r="J1738" s="13" t="n">
        <v>2015</v>
      </c>
      <c r="L1738" s="13" t="n">
        <v>1</v>
      </c>
      <c r="M1738" s="8">
        <f>L1738*G1738</f>
        <v/>
      </c>
      <c r="P1738" s="9" t="n"/>
    </row>
    <row r="1739">
      <c r="A1739" s="13" t="inlineStr">
        <is>
          <t>Kitsune, Dragon's Daughter</t>
        </is>
      </c>
      <c r="B1739" s="13" t="inlineStr">
        <is>
          <t>Legendary Creature — Fox Warlock Avatar</t>
        </is>
      </c>
      <c r="C1739" s="13" t="inlineStr">
        <is>
          <t>Rare / Rara</t>
        </is>
      </c>
      <c r="D1739" s="13" t="inlineStr">
        <is>
          <t>Vigilance Whenever Kitsune enters or deals combat damage to a player, you may exchange control of two other target creatures controlled by different players.</t>
        </is>
      </c>
      <c r="E1739" s="13" t="inlineStr">
        <is>
          <t>{4}{U}{U}</t>
        </is>
      </c>
      <c r="F1739" s="13" t="inlineStr">
        <is>
          <t>Azul</t>
        </is>
      </c>
      <c r="G1739" s="8" t="n">
        <v>0.9399999999999999</v>
      </c>
      <c r="H1739" s="13" t="inlineStr">
        <is>
          <t>Teenage Mutant Ninja Turtles (TMT)</t>
        </is>
      </c>
      <c r="I1739" s="13" t="inlineStr">
        <is>
          <t>Não</t>
        </is>
      </c>
      <c r="J1739" s="13" t="n">
        <v>2026</v>
      </c>
      <c r="K1739" s="10" t="n">
        <v>46179</v>
      </c>
      <c r="L1739" s="13" t="n">
        <v>1</v>
      </c>
      <c r="M1739" s="8">
        <f>L1739*G1739</f>
        <v/>
      </c>
      <c r="P1739" s="9" t="n"/>
    </row>
    <row r="1740">
      <c r="A1740" s="13" t="inlineStr">
        <is>
          <t>Kjeldoran Dead / Mortos Kjeldoranos</t>
        </is>
      </c>
      <c r="B1740" s="13" t="inlineStr">
        <is>
          <t>Creature — Skeleton</t>
        </is>
      </c>
      <c r="C1740" s="13" t="inlineStr">
        <is>
          <t>Common / Comum</t>
        </is>
      </c>
      <c r="D1740" s="13" t="inlineStr">
        <is>
          <t>When this creature enters, sacrifice a creature. {B}: Regenerate this creature.</t>
        </is>
      </c>
      <c r="E1740" s="13" t="inlineStr">
        <is>
          <t>{B}</t>
        </is>
      </c>
      <c r="F1740" s="13" t="inlineStr">
        <is>
          <t>Preto</t>
        </is>
      </c>
      <c r="G1740" s="8" t="n">
        <v>0.1</v>
      </c>
      <c r="H1740" s="13" t="inlineStr">
        <is>
          <t>Ice Age (ICE)</t>
        </is>
      </c>
      <c r="I1740" s="13" t="inlineStr">
        <is>
          <t>Não</t>
        </is>
      </c>
      <c r="J1740" s="13" t="n">
        <v>1995</v>
      </c>
      <c r="K1740" s="10" t="n">
        <v>46025</v>
      </c>
      <c r="L1740" s="13" t="n">
        <v>1</v>
      </c>
      <c r="M1740" s="8">
        <f>L1740*G1740</f>
        <v/>
      </c>
      <c r="P1740" s="9" t="n"/>
    </row>
    <row r="1741">
      <c r="A1741" s="13" t="inlineStr">
        <is>
          <t>Kjeldoran Escort</t>
        </is>
      </c>
      <c r="B1741" s="13" t="inlineStr">
        <is>
          <t>Criatura — Soldado / Summon Soldier</t>
        </is>
      </c>
      <c r="C1741" s="13" t="inlineStr">
        <is>
          <t>Comum / Common</t>
        </is>
      </c>
      <c r="D1741" s="13" t="inlineStr">
        <is>
          <t>Banding</t>
        </is>
      </c>
      <c r="E1741" s="13" t="inlineStr">
        <is>
          <t>{2}{W}{W}</t>
        </is>
      </c>
      <c r="F1741" s="13" t="inlineStr">
        <is>
          <t>Branco</t>
        </is>
      </c>
      <c r="G1741" s="8" t="n">
        <v>0.05</v>
      </c>
      <c r="H1741" s="13" t="inlineStr">
        <is>
          <t>Alliances (ALL)</t>
        </is>
      </c>
      <c r="I1741" s="13" t="inlineStr">
        <is>
          <t>Não</t>
        </is>
      </c>
      <c r="J1741" s="13" t="n">
        <v>1996</v>
      </c>
      <c r="K1741" s="10" t="n">
        <v>46083</v>
      </c>
      <c r="L1741" s="13" t="n">
        <v>1</v>
      </c>
      <c r="M1741" s="8">
        <f>L1741*G1741</f>
        <v/>
      </c>
      <c r="P1741" s="9" t="n"/>
    </row>
    <row r="1742">
      <c r="A1742" s="13" t="inlineStr">
        <is>
          <t>Kjeldoran Frostbeast / Criatura do Gelo Kjeldorana</t>
        </is>
      </c>
      <c r="B1742" s="13" t="inlineStr">
        <is>
          <t>Creature — Elemental Beast</t>
        </is>
      </c>
      <c r="C1742" s="13" t="inlineStr">
        <is>
          <t>Uncommon / Incomum</t>
        </is>
      </c>
      <c r="D1742" s="13" t="inlineStr">
        <is>
          <t>At end of combat, destroy all creatures blocking or blocked by this creature.</t>
        </is>
      </c>
      <c r="E1742" s="13" t="inlineStr">
        <is>
          <t>{3}{G}{W}</t>
        </is>
      </c>
      <c r="F1742" s="13" t="inlineStr">
        <is>
          <t>Verde, Branco</t>
        </is>
      </c>
      <c r="G1742" s="8" t="n">
        <v>0.21</v>
      </c>
      <c r="H1742" s="13" t="inlineStr">
        <is>
          <t>Ice Age (ICE)</t>
        </is>
      </c>
      <c r="I1742" s="13" t="inlineStr">
        <is>
          <t>Não</t>
        </is>
      </c>
      <c r="J1742" s="13" t="n">
        <v>1995</v>
      </c>
      <c r="K1742" s="10" t="n">
        <v>46114</v>
      </c>
      <c r="L1742" s="13" t="n">
        <v>1</v>
      </c>
      <c r="M1742" s="8">
        <f>L1742*G1742</f>
        <v/>
      </c>
      <c r="P1742" s="9" t="n"/>
    </row>
    <row r="1743">
      <c r="A1743" s="13" t="inlineStr">
        <is>
          <t>Klaw, Sonic Subjugator / Garra, Subjugador Sônico</t>
        </is>
      </c>
      <c r="B1743" s="13" t="inlineStr">
        <is>
          <t>Criatura Lendária — Humano Ladino Vilão</t>
        </is>
      </c>
      <c r="C1743" s="13" t="inlineStr">
        <is>
          <t>Incomum</t>
        </is>
      </c>
      <c r="D1743" s="13" t="inlineStr">
        <is>
          <t>Ataque Sônico — Quando Garra entrar, o jogador alvo revela uma quantidade de cards de sua própria mão igual a um mais a quantidade de cards de criatura no seu cemitério. Você escolhe um deles. Aquele jogador descarta aquele card.</t>
        </is>
      </c>
      <c r="E1743" s="13" t="inlineStr">
        <is>
          <t>2{B}</t>
        </is>
      </c>
      <c r="F1743" s="13" t="inlineStr">
        <is>
          <t>Preto</t>
        </is>
      </c>
      <c r="G1743" s="8" t="n">
        <v>0.7</v>
      </c>
      <c r="H1743" s="13" t="inlineStr">
        <is>
          <t>Marvel</t>
        </is>
      </c>
      <c r="I1743" s="13" t="inlineStr">
        <is>
          <t>Não</t>
        </is>
      </c>
      <c r="J1743" s="13" t="n">
        <v>2026</v>
      </c>
      <c r="K1743" s="10" t="n">
        <v>46055</v>
      </c>
      <c r="L1743" s="13" t="n">
        <v>1</v>
      </c>
      <c r="M1743" s="8">
        <f>L1743*G1743</f>
        <v/>
      </c>
      <c r="P1743" s="9" t="n"/>
    </row>
    <row r="1744">
      <c r="A1744" s="13" t="inlineStr">
        <is>
          <t>Knight of Dawn's Light / Cavaleira da Luz do Alvorecer</t>
        </is>
      </c>
      <c r="B1744" s="13" t="inlineStr">
        <is>
          <t>Creature — Human Knight / Criatura — Humano Cavaleiro</t>
        </is>
      </c>
      <c r="C1744" s="13" t="inlineStr">
        <is>
          <t>Uncommon / Incomum</t>
        </is>
      </c>
      <c r="D1744" s="13"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1744" s="13" t="inlineStr">
        <is>
          <t>{1}{W}</t>
        </is>
      </c>
      <c r="F1744" s="13" t="inlineStr">
        <is>
          <t>Branco</t>
        </is>
      </c>
      <c r="G1744" s="8" t="n">
        <v>0.15</v>
      </c>
      <c r="H1744" s="13" t="inlineStr">
        <is>
          <t>Dominaria United (DMU)</t>
        </is>
      </c>
      <c r="I1744" s="13" t="inlineStr">
        <is>
          <t>Não</t>
        </is>
      </c>
      <c r="J1744" s="13" t="n">
        <v>2022</v>
      </c>
      <c r="K1744" s="10" t="n">
        <v>46055</v>
      </c>
      <c r="L1744" s="13" t="n">
        <v>2</v>
      </c>
      <c r="M1744" s="8">
        <f>L1744*G1744</f>
        <v/>
      </c>
      <c r="P1744" s="9" t="n"/>
    </row>
    <row r="1745">
      <c r="A1745" s="13" t="inlineStr">
        <is>
          <t>Knight of Dusk's Shadow / Cavaleira da Sombra do Ocaso</t>
        </is>
      </c>
      <c r="B1745" s="13" t="inlineStr">
        <is>
          <t>Creature — Human Knight / Criatura — Humano Cavaleiro</t>
        </is>
      </c>
      <c r="C1745" s="13" t="inlineStr">
        <is>
          <t>Uncommon / Incomum</t>
        </is>
      </c>
      <c r="D1745" s="13"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1745" s="13" t="inlineStr">
        <is>
          <t>{1}{B}</t>
        </is>
      </c>
      <c r="F1745" s="13" t="inlineStr">
        <is>
          <t>Preto</t>
        </is>
      </c>
      <c r="G1745" s="8" t="n">
        <v>0.25</v>
      </c>
      <c r="H1745" s="13" t="inlineStr">
        <is>
          <t>Dominaria United (DMU)</t>
        </is>
      </c>
      <c r="I1745" s="13" t="inlineStr">
        <is>
          <t>Não</t>
        </is>
      </c>
      <c r="J1745" s="13" t="n">
        <v>2022</v>
      </c>
      <c r="K1745" s="10" t="n">
        <v>46055</v>
      </c>
      <c r="L1745" s="13" t="n">
        <v>1</v>
      </c>
      <c r="M1745" s="8">
        <f>L1745*G1745</f>
        <v/>
      </c>
      <c r="P1745" s="9" t="n"/>
    </row>
    <row r="1746">
      <c r="A1746" s="13" t="inlineStr">
        <is>
          <t>Knight of the Hokey Pokey</t>
        </is>
      </c>
      <c r="B1746" s="13" t="inlineStr">
        <is>
          <t>Summon Knight</t>
        </is>
      </c>
      <c r="C1746" s="13" t="inlineStr">
        <is>
          <t>Common</t>
        </is>
      </c>
      <c r="D1746" s="13" t="inlineStr">
        <is>
          <t>First strike. {1}{W}, Do the Hokey Pokey (Stand up, wiggle your butt, raise your hands above your head, and shake them wildly as you rotate 360 degrees): Prevent all damage to Knight of the Hokey Pokey from any one source.</t>
        </is>
      </c>
      <c r="E1746" s="13" t="inlineStr">
        <is>
          <t>{W}{W}</t>
        </is>
      </c>
      <c r="F1746" s="13" t="inlineStr">
        <is>
          <t>White</t>
        </is>
      </c>
      <c r="G1746" s="8" t="n">
        <v>0.25</v>
      </c>
      <c r="H1746" s="13" t="inlineStr">
        <is>
          <t>Unglued (UGL)</t>
        </is>
      </c>
      <c r="I1746" s="13" t="inlineStr">
        <is>
          <t>No</t>
        </is>
      </c>
      <c r="J1746" s="13" t="n">
        <v>1998</v>
      </c>
      <c r="K1746" s="10" t="n">
        <v>46055</v>
      </c>
      <c r="L1746" s="13" t="n">
        <v>2</v>
      </c>
      <c r="M1746" s="8">
        <f>L1746*G1746</f>
        <v/>
      </c>
      <c r="P1746" s="9" t="n"/>
    </row>
    <row r="1747">
      <c r="A1747" s="13" t="inlineStr">
        <is>
          <t>Knight Watch / Vigilância de Cavaleiros</t>
        </is>
      </c>
      <c r="B1747" s="13" t="inlineStr">
        <is>
          <t>Sorcery / Feitiço</t>
        </is>
      </c>
      <c r="C1747" s="13" t="inlineStr">
        <is>
          <t>Common / Comum</t>
        </is>
      </c>
      <c r="D1747" s="13" t="inlineStr">
        <is>
          <t>Create two 2/2 white Knight creature tokens with vigilance. / Coloque no campo de batalha duas fichas de criatura brancas 2/2 do tipo Cavaleiro com vigilância.</t>
        </is>
      </c>
      <c r="E1747" s="13" t="inlineStr">
        <is>
          <t>{4}{W}</t>
        </is>
      </c>
      <c r="F1747" s="13" t="inlineStr">
        <is>
          <t>Branco</t>
        </is>
      </c>
      <c r="G1747" s="8" t="n">
        <v>0.05</v>
      </c>
      <c r="H1747" s="13" t="inlineStr">
        <is>
          <t>Gatecrash (GTC)</t>
        </is>
      </c>
      <c r="I1747" s="13" t="inlineStr">
        <is>
          <t>Não</t>
        </is>
      </c>
      <c r="J1747" s="13" t="n">
        <v>2013</v>
      </c>
      <c r="L1747" s="13" t="n">
        <v>1</v>
      </c>
      <c r="M1747" s="8">
        <f>L1747*G1747</f>
        <v/>
      </c>
      <c r="P1747" s="9" t="n"/>
    </row>
    <row r="1748">
      <c r="A1748" s="13" t="inlineStr">
        <is>
          <t>Knightly Valor / Heroísmo Cavaleiroso</t>
        </is>
      </c>
      <c r="B1748" s="13" t="inlineStr">
        <is>
          <t>Enchantment — Aura / Encantamento — Aura</t>
        </is>
      </c>
      <c r="C1748" s="13" t="inlineStr">
        <is>
          <t>Common / Comum</t>
        </is>
      </c>
      <c r="D1748" s="13"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748" s="13" t="inlineStr">
        <is>
          <t>{4}{W}</t>
        </is>
      </c>
      <c r="F1748" s="13" t="inlineStr">
        <is>
          <t>Branco</t>
        </is>
      </c>
      <c r="G1748" s="8" t="n">
        <v>0.05</v>
      </c>
      <c r="H1748" s="13" t="inlineStr">
        <is>
          <t>Return to Ravnica (RTR)</t>
        </is>
      </c>
      <c r="I1748" s="13" t="inlineStr">
        <is>
          <t>Não</t>
        </is>
      </c>
      <c r="J1748" s="13" t="n">
        <v>2012</v>
      </c>
      <c r="L1748" s="13" t="n">
        <v>1</v>
      </c>
      <c r="M1748" s="8">
        <f>L1748*G1748</f>
        <v/>
      </c>
      <c r="P1748" s="9" t="n"/>
    </row>
    <row r="1749">
      <c r="A1749" s="13" t="inlineStr">
        <is>
          <t>Knot-Knotted Effigy / Efigie Nodosa</t>
        </is>
      </c>
      <c r="B1749" s="13" t="inlineStr">
        <is>
          <t>Artifact / Artefato</t>
        </is>
      </c>
      <c r="C1749" s="13" t="inlineStr">
        <is>
          <t>Uncommon / Incomum</t>
        </is>
      </c>
      <c r="D1749" s="13" t="inlineStr">
        <is>
          <t>{4}, {T}: Put a -1/-1 counter on target creature.</t>
        </is>
      </c>
      <c r="E1749" s="13" t="inlineStr">
        <is>
          <t>{4}</t>
        </is>
      </c>
      <c r="F1749" s="13" t="inlineStr">
        <is>
          <t>Incolor</t>
        </is>
      </c>
      <c r="G1749" s="8" t="n">
        <v>0.06</v>
      </c>
      <c r="H1749" s="13" t="inlineStr">
        <is>
          <t>Shadowmoor (SHM)</t>
        </is>
      </c>
      <c r="I1749" s="13" t="inlineStr">
        <is>
          <t>No</t>
        </is>
      </c>
      <c r="J1749" s="13" t="n">
        <v>2008</v>
      </c>
      <c r="L1749" s="13" t="n">
        <v>1</v>
      </c>
      <c r="M1749" s="8">
        <f>L1749*G1749</f>
        <v/>
      </c>
      <c r="P1749" s="9" t="n"/>
    </row>
    <row r="1750">
      <c r="A1750" s="13" t="inlineStr">
        <is>
          <t>Knowledge Seeker</t>
        </is>
      </c>
      <c r="B1750" s="13" t="inlineStr">
        <is>
          <t>Creature — Fox Spirit</t>
        </is>
      </c>
      <c r="C1750" s="13" t="inlineStr">
        <is>
          <t>Uncommon / Incomum</t>
        </is>
      </c>
      <c r="D1750" s="13" t="inlineStr">
        <is>
          <t>Vigilance Whenever you draw your second card each turn, put a +1/+1 counter on this creature. When this creature dies, create a Clue token. (It's an artifact with "{2}, Sacrifice this token: Draw a card.")</t>
        </is>
      </c>
      <c r="E1750" s="13" t="inlineStr">
        <is>
          <t>{1}{U}</t>
        </is>
      </c>
      <c r="F1750" s="13" t="inlineStr">
        <is>
          <t>Azul</t>
        </is>
      </c>
      <c r="G1750" s="8" t="n">
        <v>0.15</v>
      </c>
      <c r="H1750" s="13" t="inlineStr">
        <is>
          <t>Avatar: The Last Airbender (TLA)</t>
        </is>
      </c>
      <c r="I1750" s="13" t="inlineStr">
        <is>
          <t>Não</t>
        </is>
      </c>
      <c r="J1750" s="13" t="n">
        <v>2025</v>
      </c>
      <c r="K1750" s="10" t="n">
        <v>46024</v>
      </c>
      <c r="L1750" s="13" t="n">
        <v>1</v>
      </c>
      <c r="M1750" s="8">
        <f>L1750*G1750</f>
        <v/>
      </c>
      <c r="P1750" s="9" t="n"/>
    </row>
    <row r="1751">
      <c r="A1751" s="13" t="inlineStr">
        <is>
          <t>Koala-Sheep</t>
        </is>
      </c>
      <c r="B1751" s="13" t="inlineStr">
        <is>
          <t>Creature — Bear Sheep</t>
        </is>
      </c>
      <c r="C1751" s="13" t="inlineStr">
        <is>
          <t>Common / Comum</t>
        </is>
      </c>
      <c r="D1751" s="13" t="inlineStr">
        <is>
          <t>When this creature enters, you gain 3 life.</t>
        </is>
      </c>
      <c r="E1751" s="13" t="inlineStr">
        <is>
          <t>{2}{W}</t>
        </is>
      </c>
      <c r="F1751" s="13" t="inlineStr">
        <is>
          <t>Branco</t>
        </is>
      </c>
      <c r="G1751" s="8" t="n">
        <v>0.15</v>
      </c>
      <c r="H1751" s="13" t="inlineStr">
        <is>
          <t>Avatar: The Last Airbender Eternal (TLE)</t>
        </is>
      </c>
      <c r="I1751" s="13" t="inlineStr">
        <is>
          <t>Não</t>
        </is>
      </c>
      <c r="J1751" s="13" t="n">
        <v>2025</v>
      </c>
      <c r="K1751" s="10" t="n">
        <v>46056</v>
      </c>
      <c r="L1751" s="13" t="n">
        <v>1</v>
      </c>
      <c r="M1751" s="8">
        <f>L1751*G1751</f>
        <v/>
      </c>
      <c r="P1751" s="9" t="n"/>
    </row>
    <row r="1752">
      <c r="A1752" s="13" t="inlineStr">
        <is>
          <t>Kor Hookmaster / Mestre dos Ganchos Kor</t>
        </is>
      </c>
      <c r="B1752" s="13" t="inlineStr">
        <is>
          <t>Criatura — Kor Soldado</t>
        </is>
      </c>
      <c r="C1752" s="13" t="inlineStr">
        <is>
          <t>Comum</t>
        </is>
      </c>
      <c r="D1752" s="13" t="inlineStr">
        <is>
          <t>Quando Mestre dos Ganchos Kor entra no campo de batalha, vire a criatura alvo que um oponente controla. Aquela criatura não é desvirada durante a próxima etapa de desvirar de seu controlador.</t>
        </is>
      </c>
      <c r="E1752" s="13" t="inlineStr">
        <is>
          <t>2W</t>
        </is>
      </c>
      <c r="F1752" s="13" t="inlineStr">
        <is>
          <t>Branco</t>
        </is>
      </c>
      <c r="G1752" s="8" t="n">
        <v>0.06</v>
      </c>
      <c r="H1752" s="13" t="inlineStr">
        <is>
          <t>Duel Decks: Speed vs. Cunning</t>
        </is>
      </c>
      <c r="I1752" s="13" t="inlineStr">
        <is>
          <t>Não</t>
        </is>
      </c>
      <c r="J1752" s="13" t="n">
        <v>2014</v>
      </c>
      <c r="K1752" s="10" t="n">
        <v>46055</v>
      </c>
      <c r="L1752" s="13" t="n">
        <v>1</v>
      </c>
      <c r="M1752" s="8">
        <f>L1752*G1752</f>
        <v/>
      </c>
      <c r="P1752" s="9" t="n"/>
    </row>
    <row r="1753">
      <c r="A1753" s="13" t="inlineStr">
        <is>
          <t>Korrigan do Lago / Lake Paladin</t>
        </is>
      </c>
      <c r="B1753" s="13" t="inlineStr">
        <is>
          <t>Criatura — Espírito / Creature — Spirit</t>
        </is>
      </c>
      <c r="C1753" s="13" t="inlineStr">
        <is>
          <t>Comum / Common</t>
        </is>
      </c>
      <c r="D1753" s="13" t="inlineStr">
        <is>
          <t>{U}: Korrigan do Lago recebe +1/+1 até o final do turno. / {U}: Lake Paladin gets +1/+1 until end of turn.</t>
        </is>
      </c>
      <c r="E1753" s="13" t="inlineStr">
        <is>
          <t>{3}{B}</t>
        </is>
      </c>
      <c r="F1753" s="13" t="inlineStr">
        <is>
          <t>Preto</t>
        </is>
      </c>
      <c r="G1753" s="8" t="n">
        <v>0.06</v>
      </c>
      <c r="H1753" s="13" t="inlineStr">
        <is>
          <t>Eventide (EVE)</t>
        </is>
      </c>
      <c r="I1753" s="13" t="inlineStr">
        <is>
          <t>Não</t>
        </is>
      </c>
      <c r="J1753" s="13" t="n">
        <v>2008</v>
      </c>
      <c r="K1753" s="10" t="n">
        <v>46023</v>
      </c>
      <c r="L1753" s="13" t="n">
        <v>2</v>
      </c>
      <c r="M1753" s="8">
        <f>L1753*G1753</f>
        <v/>
      </c>
      <c r="P1753" s="9" t="n"/>
    </row>
    <row r="1754">
      <c r="A1754" s="13" t="inlineStr">
        <is>
          <t>Koya, Death from Above</t>
        </is>
      </c>
      <c r="B1754" s="13" t="inlineStr">
        <is>
          <t>Legendary Creature — Mutant Ninja Bird</t>
        </is>
      </c>
      <c r="C1754" s="13" t="inlineStr">
        <is>
          <t>Uncommon / Incomum</t>
        </is>
      </c>
      <c r="D1754" s="13" t="inlineStr">
        <is>
          <t>Flying When Koya enters, exile up to one other target creature. At the beginning of the next end step, you may pay {3}{B}. If you don't, return that card to the battlefield under its owner's control.</t>
        </is>
      </c>
      <c r="E1754" s="13" t="inlineStr">
        <is>
          <t>{2}{W}</t>
        </is>
      </c>
      <c r="F1754" s="13" t="inlineStr">
        <is>
          <t>Branco</t>
        </is>
      </c>
      <c r="G1754" s="8" t="n">
        <v>0.08</v>
      </c>
      <c r="H1754" s="13" t="inlineStr">
        <is>
          <t>Teenage Mutant Ninja Turtles (TMT)</t>
        </is>
      </c>
      <c r="I1754" s="13" t="inlineStr">
        <is>
          <t>Não</t>
        </is>
      </c>
      <c r="J1754" s="13" t="n">
        <v>2026</v>
      </c>
      <c r="K1754" s="10" t="n">
        <v>46024</v>
      </c>
      <c r="L1754" s="13" t="n">
        <v>1</v>
      </c>
      <c r="M1754" s="8">
        <f>L1754*G1754</f>
        <v/>
      </c>
      <c r="P1754" s="9" t="n"/>
    </row>
    <row r="1755">
      <c r="A1755" s="13" t="inlineStr">
        <is>
          <t>Kozilek's Sentinel / Sentinela de Kozilek</t>
        </is>
      </c>
      <c r="B1755" s="13" t="inlineStr">
        <is>
          <t>Creature — Eldrazi Drone / Criatura — Eldrazi Zangão</t>
        </is>
      </c>
      <c r="C1755" s="13" t="inlineStr">
        <is>
          <t>Common / Comum</t>
        </is>
      </c>
      <c r="D1755" s="13" t="inlineStr">
        <is>
          <t>Devoid (This card has no color.) Whenever you cast a colorless spell, Kozilek's Sentinel gets +1/+0 until end of turn. / Desprovido (Este card não tem cor.) Toda vez que você conjura uma mágica incolor, Sentinela de Kozilek recebe +1/+0 até o final do turno.</t>
        </is>
      </c>
      <c r="E1755" s="13" t="inlineStr">
        <is>
          <t>{1}{R}</t>
        </is>
      </c>
      <c r="F1755" s="13" t="inlineStr">
        <is>
          <t>Incolor</t>
        </is>
      </c>
      <c r="G1755" s="8" t="n">
        <v>0.06</v>
      </c>
      <c r="H1755" s="13" t="inlineStr">
        <is>
          <t>Battle for Zendikar (BFZ)</t>
        </is>
      </c>
      <c r="I1755" s="13" t="inlineStr">
        <is>
          <t>Não</t>
        </is>
      </c>
      <c r="J1755" s="13" t="n">
        <v>2015</v>
      </c>
      <c r="K1755" s="10" t="n">
        <v>46113</v>
      </c>
      <c r="L1755" s="13" t="n">
        <v>4</v>
      </c>
      <c r="M1755" s="8">
        <f>L1755*G1755</f>
        <v/>
      </c>
      <c r="P1755" s="9" t="n"/>
    </row>
    <row r="1756">
      <c r="A1756" s="13" t="inlineStr">
        <is>
          <t>Krang &amp; Shredder</t>
        </is>
      </c>
      <c r="B1756" s="13" t="inlineStr">
        <is>
          <t>Legendary Creature — Utrom Human Ninja</t>
        </is>
      </c>
      <c r="C1756" s="13" t="inlineStr">
        <is>
          <t>Rare / Rara</t>
        </is>
      </c>
      <c r="D1756" s="13"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1756" s="13" t="inlineStr">
        <is>
          <t>{4}{U/B}{U/B}</t>
        </is>
      </c>
      <c r="F1756" s="13" t="inlineStr">
        <is>
          <t>Preto, Azul</t>
        </is>
      </c>
      <c r="G1756" s="8" t="n">
        <v>1.33</v>
      </c>
      <c r="H1756" s="13" t="inlineStr">
        <is>
          <t>Teenage Mutant Ninja Turtles (TMT)</t>
        </is>
      </c>
      <c r="I1756" s="13" t="inlineStr">
        <is>
          <t>Não</t>
        </is>
      </c>
      <c r="J1756" s="13" t="n">
        <v>2026</v>
      </c>
      <c r="K1756" s="10" t="n">
        <v>46209</v>
      </c>
      <c r="L1756" s="13" t="n">
        <v>1</v>
      </c>
      <c r="M1756" s="8">
        <f>L1756*G1756</f>
        <v/>
      </c>
      <c r="P1756" s="9" t="n"/>
    </row>
    <row r="1757">
      <c r="A1757" s="13" t="inlineStr">
        <is>
          <t>Krang, Master Mind</t>
        </is>
      </c>
      <c r="B1757" s="13" t="inlineStr">
        <is>
          <t>Legendary Artifact Creature — Utrom Warrior</t>
        </is>
      </c>
      <c r="C1757" s="13" t="inlineStr">
        <is>
          <t>Rare / Rara</t>
        </is>
      </c>
      <c r="D1757" s="13" t="inlineStr">
        <is>
          <t>Affinity for artifacts (This spell costs {1} less to cast for each artifact you control.) When Krang enters, if you have fewer than four cards in hand, draw cards equal to the difference. Krang gets +1/+0 for each other artifact you control.</t>
        </is>
      </c>
      <c r="E1757" s="13" t="inlineStr">
        <is>
          <t>{6}{U}{U}</t>
        </is>
      </c>
      <c r="F1757" s="13" t="inlineStr">
        <is>
          <t>Azul</t>
        </is>
      </c>
      <c r="G1757" s="8" t="n">
        <v>14.3</v>
      </c>
      <c r="H1757" s="13" t="inlineStr">
        <is>
          <t>Teenage Mutant Ninja Turtles (TMT)</t>
        </is>
      </c>
      <c r="I1757" s="13" t="inlineStr">
        <is>
          <t>Não</t>
        </is>
      </c>
      <c r="J1757" s="13" t="n">
        <v>2026</v>
      </c>
      <c r="K1757" s="10" t="n">
        <v>46113</v>
      </c>
      <c r="L1757" s="13" t="n">
        <v>1</v>
      </c>
      <c r="M1757" s="8">
        <f>L1757*G1757</f>
        <v/>
      </c>
      <c r="P1757" s="9" t="n"/>
    </row>
    <row r="1758">
      <c r="A1758" s="13" t="inlineStr">
        <is>
          <t>Krark-Clan Engineers / Engenheiros do Clã-de-Krark</t>
        </is>
      </c>
      <c r="B1758" s="13" t="inlineStr">
        <is>
          <t>Creature — Goblin Artificer / Criatura — Artesão Goblin</t>
        </is>
      </c>
      <c r="C1758" s="13" t="inlineStr">
        <is>
          <t>Uncommon / Incomum</t>
        </is>
      </c>
      <c r="D1758" s="13" t="inlineStr">
        <is>
          <t>{R}, Sacrifice two artifacts: Destroy target artifact. / {R}, Sacrifique dois artefatos: Destrói o artefato alvo.</t>
        </is>
      </c>
      <c r="E1758" s="13" t="inlineStr">
        <is>
          <t>{3}{R}</t>
        </is>
      </c>
      <c r="F1758" s="13" t="inlineStr">
        <is>
          <t>Vermelho</t>
        </is>
      </c>
      <c r="G1758" s="8" t="n">
        <v>0.13</v>
      </c>
      <c r="H1758" s="13" t="inlineStr">
        <is>
          <t>Fifth Dawn (5DN)</t>
        </is>
      </c>
      <c r="I1758" s="13" t="inlineStr">
        <is>
          <t>Não</t>
        </is>
      </c>
      <c r="J1758" s="13" t="n">
        <v>2004</v>
      </c>
      <c r="K1758" s="10" t="n">
        <v>46055</v>
      </c>
      <c r="L1758" s="13" t="n">
        <v>1</v>
      </c>
      <c r="M1758" s="8">
        <f>L1758*G1758</f>
        <v/>
      </c>
      <c r="P1758" s="9" t="n"/>
    </row>
    <row r="1759">
      <c r="A1759" s="13" t="inlineStr">
        <is>
          <t>Krark-Clan Grunt / Recruta do Clã de Krark</t>
        </is>
      </c>
      <c r="B1759" s="13" t="inlineStr">
        <is>
          <t>Creature — Goblin Warrior / Criatura — Guerreiro Goblin</t>
        </is>
      </c>
      <c r="C1759" s="13" t="inlineStr">
        <is>
          <t>Common / Comum</t>
        </is>
      </c>
      <c r="D1759" s="13" t="inlineStr">
        <is>
          <t>Sacrifice an artifact: This creature gets +1/+0 and gains first strike until end of turn. / Sacrifique um artefato: Recruta do Clã de Krark recebe +1/+0 e ganha iniciativa até o final do turno.</t>
        </is>
      </c>
      <c r="E1759" s="13" t="inlineStr">
        <is>
          <t>{2}{R}</t>
        </is>
      </c>
      <c r="F1759" s="13" t="inlineStr">
        <is>
          <t>Vermelho</t>
        </is>
      </c>
      <c r="G1759" s="8" t="n">
        <v>1.75</v>
      </c>
      <c r="H1759" s="13" t="inlineStr">
        <is>
          <t>Mirrodin (MRD)</t>
        </is>
      </c>
      <c r="I1759" s="13" t="inlineStr">
        <is>
          <t>Sim</t>
        </is>
      </c>
      <c r="J1759" s="13" t="n">
        <v>2003</v>
      </c>
      <c r="K1759" s="10" t="n">
        <v>46055</v>
      </c>
      <c r="L1759" s="13" t="n">
        <v>1</v>
      </c>
      <c r="M1759" s="8">
        <f>L1759*G1759</f>
        <v/>
      </c>
      <c r="P1759" s="9" t="n"/>
    </row>
    <row r="1760">
      <c r="A1760" s="13" t="inlineStr">
        <is>
          <t>Krark-Clan Shaman / Xamã do Clã de Krark</t>
        </is>
      </c>
      <c r="B1760" s="13" t="inlineStr">
        <is>
          <t>Creature — Goblin Shaman / Criatura — Xamã Goblin</t>
        </is>
      </c>
      <c r="C1760" s="13" t="inlineStr">
        <is>
          <t>Common / Comum</t>
        </is>
      </c>
      <c r="D1760" s="13" t="inlineStr">
        <is>
          <t>Sacrifice an artifact: This creature deals 1 damage to each creature without flying. / Sacrifique um artefato: Xamã do Clã de Krark causa 1 ponto de dano a cada criatura sem a habilidade de voar.</t>
        </is>
      </c>
      <c r="E1760" s="13" t="inlineStr">
        <is>
          <t>{R}</t>
        </is>
      </c>
      <c r="F1760" s="13" t="inlineStr">
        <is>
          <t>Vermelho</t>
        </is>
      </c>
      <c r="G1760" s="8" t="n">
        <v>39.21</v>
      </c>
      <c r="H1760" s="13" t="inlineStr">
        <is>
          <t>Mirrodin (MRD)</t>
        </is>
      </c>
      <c r="I1760" s="13" t="inlineStr">
        <is>
          <t>Não</t>
        </is>
      </c>
      <c r="J1760" s="13" t="n">
        <v>2003</v>
      </c>
      <c r="K1760" s="10" t="n">
        <v>46023</v>
      </c>
      <c r="L1760" s="13" t="n">
        <v>1</v>
      </c>
      <c r="M1760" s="8">
        <f>L1760*G1760</f>
        <v/>
      </c>
      <c r="P1760" s="9" t="n"/>
    </row>
    <row r="1761">
      <c r="A1761" s="13" t="inlineStr">
        <is>
          <t>Krark-Clan Stoker / Foguista do Clã de Krark</t>
        </is>
      </c>
      <c r="B1761" s="13" t="inlineStr">
        <is>
          <t>Creature — Goblin Shaman / Criatura — Xamã Goblin</t>
        </is>
      </c>
      <c r="C1761" s="13" t="inlineStr">
        <is>
          <t>Common / Comum</t>
        </is>
      </c>
      <c r="D1761" s="13" t="inlineStr">
        <is>
          <t>{T}, Sacrifice an artifact: Add {R}{R}. / {T}, Sacrifique um artefato: Adiciona {R}{R} à sua reserva de mana.</t>
        </is>
      </c>
      <c r="E1761" s="13" t="inlineStr">
        <is>
          <t>{2}{R}</t>
        </is>
      </c>
      <c r="F1761" s="13" t="inlineStr">
        <is>
          <t>Vermelho</t>
        </is>
      </c>
      <c r="G1761" s="8" t="n">
        <v>0.05</v>
      </c>
      <c r="H1761" s="13" t="inlineStr">
        <is>
          <t>Darksteel (DST)</t>
        </is>
      </c>
      <c r="I1761" s="13" t="inlineStr">
        <is>
          <t>Não</t>
        </is>
      </c>
      <c r="J1761" s="13" t="n">
        <v>2004</v>
      </c>
      <c r="K1761" s="10" t="n">
        <v>46055</v>
      </c>
      <c r="L1761" s="13" t="n">
        <v>1</v>
      </c>
      <c r="M1761" s="8">
        <f>L1761*G1761</f>
        <v/>
      </c>
      <c r="P1761" s="9" t="n"/>
    </row>
    <row r="1762">
      <c r="A1762" s="13" t="inlineStr">
        <is>
          <t>Kraul Stinger / Aguilhoador Kraul</t>
        </is>
      </c>
      <c r="B1762" s="13" t="inlineStr">
        <is>
          <t>Creature — Insect Assassin / Criatura — Inseto Assassino</t>
        </is>
      </c>
      <c r="C1762" s="13" t="inlineStr">
        <is>
          <t>Common / Comum</t>
        </is>
      </c>
      <c r="D1762" s="13" t="inlineStr">
        <is>
          <t>Deathtouch / Toque mortífero</t>
        </is>
      </c>
      <c r="E1762" s="13" t="inlineStr">
        <is>
          <t>{2}{G}</t>
        </is>
      </c>
      <c r="F1762" s="13" t="inlineStr">
        <is>
          <t>Verde</t>
        </is>
      </c>
      <c r="G1762" s="8" t="n">
        <v>0.05</v>
      </c>
      <c r="H1762" s="13" t="inlineStr">
        <is>
          <t>War of the Spark (WAR)</t>
        </is>
      </c>
      <c r="I1762" s="13" t="inlineStr">
        <is>
          <t>Não</t>
        </is>
      </c>
      <c r="J1762" s="13" t="n">
        <v>2019</v>
      </c>
      <c r="K1762" s="10" t="n">
        <v>46055</v>
      </c>
      <c r="L1762" s="13" t="n">
        <v>1</v>
      </c>
      <c r="M1762" s="8">
        <f>L1762*G1762</f>
        <v/>
      </c>
      <c r="P1762" s="9" t="n"/>
    </row>
    <row r="1763">
      <c r="A1763" s="13" t="inlineStr">
        <is>
          <t>Krenko, Baron of Tin Street / Krenko, Barão da Rua do Estanho</t>
        </is>
      </c>
      <c r="B1763" s="13" t="inlineStr">
        <is>
          <t>Legendary Creature — Goblin / Criatura Lendária — Goblin</t>
        </is>
      </c>
      <c r="C1763" s="13" t="inlineStr">
        <is>
          <t>Rare / Rara</t>
        </is>
      </c>
      <c r="D1763" s="13"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763" s="13" t="inlineStr">
        <is>
          <t>{2}{R}</t>
        </is>
      </c>
      <c r="F1763" s="13" t="inlineStr">
        <is>
          <t>Vermelho</t>
        </is>
      </c>
      <c r="G1763" s="8" t="n">
        <v>0.59</v>
      </c>
      <c r="H1763" s="13" t="inlineStr">
        <is>
          <t>Murders at Karlov Manor (MKM)</t>
        </is>
      </c>
      <c r="I1763" s="13" t="inlineStr">
        <is>
          <t>Não</t>
        </is>
      </c>
      <c r="J1763" s="13" t="n">
        <v>2024</v>
      </c>
      <c r="K1763" s="10" t="n">
        <v>46084</v>
      </c>
      <c r="L1763" s="13" t="n">
        <v>1</v>
      </c>
      <c r="M1763" s="8">
        <f>L1763*G1763</f>
        <v/>
      </c>
      <c r="P1763" s="9" t="n"/>
    </row>
    <row r="1764">
      <c r="A1764" s="13" t="inlineStr">
        <is>
          <t>Krenko, Mob Boss / Krenko, Chefe da Turba</t>
        </is>
      </c>
      <c r="B1764" s="13" t="inlineStr">
        <is>
          <t>Criatura Lendária — Goblino Guerreiro</t>
        </is>
      </c>
      <c r="C1764" s="13" t="inlineStr">
        <is>
          <t>Rara</t>
        </is>
      </c>
      <c r="D1764" s="13" t="inlineStr">
        <is>
          <t>{T}: Coloque no campo de batalha X fichas de criatura 1/1 vermelhas do tipo Goblino, sendo X o número de Goblinos que você controla.</t>
        </is>
      </c>
      <c r="E1764" s="13" t="inlineStr">
        <is>
          <t>2RR</t>
        </is>
      </c>
      <c r="F1764" s="13" t="inlineStr">
        <is>
          <t>Vermelho</t>
        </is>
      </c>
      <c r="G1764" s="8" t="n">
        <v>9.5</v>
      </c>
      <c r="H1764" s="13" t="inlineStr">
        <is>
          <t>Duel Decks: Speed vs. Cunning</t>
        </is>
      </c>
      <c r="I1764" s="13" t="inlineStr">
        <is>
          <t>Não</t>
        </is>
      </c>
      <c r="J1764" s="13" t="n">
        <v>2014</v>
      </c>
      <c r="K1764" s="10" t="n">
        <v>46084</v>
      </c>
      <c r="L1764" s="13" t="n">
        <v>1</v>
      </c>
      <c r="M1764" s="8">
        <f>L1764*G1764</f>
        <v/>
      </c>
      <c r="P1764" s="9" t="n"/>
    </row>
    <row r="1765">
      <c r="A1765" s="13" t="inlineStr">
        <is>
          <t>Krenko's Command / Comando de Krenko</t>
        </is>
      </c>
      <c r="B1765" s="13" t="inlineStr">
        <is>
          <t>Sorcery / Feitiço</t>
        </is>
      </c>
      <c r="C1765" s="13" t="inlineStr">
        <is>
          <t>Common / Comum</t>
        </is>
      </c>
      <c r="D1765" s="13" t="inlineStr">
        <is>
          <t>Create two 1/1 red Goblin creature tokens. / Coloque no campo de batalha duas fichas de criatura vermelhas 1/1 do tipo Goblin.</t>
        </is>
      </c>
      <c r="E1765" s="13" t="inlineStr">
        <is>
          <t>{1}{R}</t>
        </is>
      </c>
      <c r="F1765" s="13" t="inlineStr">
        <is>
          <t>Vermelho</t>
        </is>
      </c>
      <c r="G1765" s="8" t="n">
        <v>0.23</v>
      </c>
      <c r="H1765" s="13" t="inlineStr">
        <is>
          <t>Ravnica Remastered (RVR)</t>
        </is>
      </c>
      <c r="I1765" s="13" t="inlineStr">
        <is>
          <t>Não</t>
        </is>
      </c>
      <c r="J1765" s="13" t="n">
        <v>2024</v>
      </c>
      <c r="L1765" s="13" t="n">
        <v>1</v>
      </c>
      <c r="M1765" s="8">
        <f>L1765*G1765</f>
        <v/>
      </c>
      <c r="P1765" s="9" t="n"/>
    </row>
    <row r="1766">
      <c r="A1766" s="13" t="inlineStr">
        <is>
          <t>Krosan Tusker / Javali Krosano</t>
        </is>
      </c>
      <c r="B1766" s="13" t="inlineStr">
        <is>
          <t>Creature — Boar Beast / Criatura — Javali Besta</t>
        </is>
      </c>
      <c r="C1766" s="13" t="inlineStr">
        <is>
          <t>Common / Comum</t>
        </is>
      </c>
      <c r="D1766" s="13"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1766" s="13" t="inlineStr">
        <is>
          <t>{5}{G}{G}</t>
        </is>
      </c>
      <c r="F1766" s="13" t="inlineStr">
        <is>
          <t>Verde</t>
        </is>
      </c>
      <c r="G1766" s="8" t="n">
        <v>0.15</v>
      </c>
      <c r="H1766" s="13" t="inlineStr">
        <is>
          <t>Commander Masters (CMM)</t>
        </is>
      </c>
      <c r="I1766" s="13" t="inlineStr">
        <is>
          <t>Não</t>
        </is>
      </c>
      <c r="J1766" s="13" t="n">
        <v>2023</v>
      </c>
      <c r="K1766" s="10" t="n">
        <v>46148</v>
      </c>
      <c r="L1766" s="13" t="n">
        <v>1</v>
      </c>
      <c r="M1766" s="8">
        <f>L1766*G1766</f>
        <v/>
      </c>
      <c r="P1766" s="9" t="n"/>
    </row>
    <row r="1767">
      <c r="A1767" s="13" t="inlineStr">
        <is>
          <t>Krovikan Elementalist / Elementalista Krovikano</t>
        </is>
      </c>
      <c r="B1767" s="13" t="inlineStr">
        <is>
          <t>Creature — Human Wizard</t>
        </is>
      </c>
      <c r="C1767" s="13" t="inlineStr">
        <is>
          <t>Uncommon / Incomum</t>
        </is>
      </c>
      <c r="D1767" s="13" t="inlineStr">
        <is>
          <t>{2}{R}: Target creature gets +1/+0 until end of turn. {U}{U}: Target creature you control gains flying until end of turn. Sacrifice it at the beginning of the next end step.</t>
        </is>
      </c>
      <c r="E1767" s="13" t="inlineStr">
        <is>
          <t>{B}{B}</t>
        </is>
      </c>
      <c r="F1767" s="13" t="inlineStr">
        <is>
          <t>Preto</t>
        </is>
      </c>
      <c r="G1767" s="8" t="n">
        <v>0.03</v>
      </c>
      <c r="H1767" s="13" t="inlineStr">
        <is>
          <t>Ice Age (ICE)</t>
        </is>
      </c>
      <c r="I1767" s="13" t="inlineStr">
        <is>
          <t>Não</t>
        </is>
      </c>
      <c r="J1767" s="13" t="n">
        <v>1995</v>
      </c>
      <c r="K1767" s="10" t="n">
        <v>46023</v>
      </c>
      <c r="L1767" s="13" t="n">
        <v>2</v>
      </c>
      <c r="M1767" s="8">
        <f>L1767*G1767</f>
        <v/>
      </c>
      <c r="P1767" s="9" t="n"/>
    </row>
    <row r="1768">
      <c r="A1768" s="13" t="inlineStr">
        <is>
          <t>Krovikan Fetish / Fetiche Krovikano</t>
        </is>
      </c>
      <c r="B1768" s="13" t="inlineStr">
        <is>
          <t>Enchantment — Aura</t>
        </is>
      </c>
      <c r="C1768" s="13" t="inlineStr">
        <is>
          <t>Common / Comum</t>
        </is>
      </c>
      <c r="D1768" s="13" t="inlineStr">
        <is>
          <t>Enchant creature When this Aura enters, draw a card at the beginning of the next turn's upkeep. Enchanted creature gets +1/+1.</t>
        </is>
      </c>
      <c r="E1768" s="13" t="inlineStr">
        <is>
          <t>{2}{B}</t>
        </is>
      </c>
      <c r="F1768" s="13" t="inlineStr">
        <is>
          <t>Preto</t>
        </is>
      </c>
      <c r="G1768" s="8" t="n">
        <v>0.08</v>
      </c>
      <c r="H1768" s="13" t="inlineStr">
        <is>
          <t>Ice Age (ICE)</t>
        </is>
      </c>
      <c r="I1768" s="13" t="inlineStr">
        <is>
          <t>Não</t>
        </is>
      </c>
      <c r="J1768" s="13" t="n">
        <v>1995</v>
      </c>
      <c r="L1768" s="13" t="n">
        <v>1</v>
      </c>
      <c r="M1768" s="8">
        <f>L1768*G1768</f>
        <v/>
      </c>
      <c r="P1768" s="9" t="n"/>
    </row>
    <row r="1769">
      <c r="A1769" s="13" t="inlineStr">
        <is>
          <t>Krovikan Plague / Peste Krovikana</t>
        </is>
      </c>
      <c r="B1769" s="13" t="inlineStr">
        <is>
          <t>Enchantment — Aura</t>
        </is>
      </c>
      <c r="C1769" s="13" t="inlineStr">
        <is>
          <t>Uncommon / Incomum</t>
        </is>
      </c>
      <c r="D1769" s="13"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1769" s="13" t="inlineStr">
        <is>
          <t>{2}{B}</t>
        </is>
      </c>
      <c r="F1769" s="13" t="inlineStr">
        <is>
          <t>Preto</t>
        </is>
      </c>
      <c r="G1769" s="8" t="n">
        <v>0.12</v>
      </c>
      <c r="H1769" s="13" t="inlineStr">
        <is>
          <t>Alliances (ALL)</t>
        </is>
      </c>
      <c r="I1769" s="13" t="inlineStr">
        <is>
          <t>Não</t>
        </is>
      </c>
      <c r="J1769" s="13" t="n">
        <v>1996</v>
      </c>
      <c r="L1769" s="13" t="n">
        <v>1</v>
      </c>
      <c r="M1769" s="8">
        <f>L1769*G1769</f>
        <v/>
      </c>
      <c r="P1769" s="9" t="n"/>
    </row>
    <row r="1770">
      <c r="A1770" s="13" t="inlineStr">
        <is>
          <t>Kruphix, God of Horizons / Crufix, Deus dos Horizontes</t>
        </is>
      </c>
      <c r="B1770" s="13" t="inlineStr">
        <is>
          <t>Criatura Encantamento Lendária — Deus</t>
        </is>
      </c>
      <c r="C1770" s="13" t="inlineStr">
        <is>
          <t>Mítica</t>
        </is>
      </c>
      <c r="D1770" s="13"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1770" s="13" t="inlineStr">
        <is>
          <t>3GU</t>
        </is>
      </c>
      <c r="F1770" s="13" t="inlineStr">
        <is>
          <t>Multicolorido</t>
        </is>
      </c>
      <c r="G1770" s="8" t="n">
        <v>5.95</v>
      </c>
      <c r="H1770" s="13" t="inlineStr">
        <is>
          <t>Journey into Nyx</t>
        </is>
      </c>
      <c r="I1770" s="13" t="inlineStr">
        <is>
          <t>Não</t>
        </is>
      </c>
      <c r="J1770" s="13" t="n">
        <v>2014</v>
      </c>
      <c r="K1770" s="10" t="n">
        <v>46207</v>
      </c>
      <c r="L1770" s="13" t="n">
        <v>1</v>
      </c>
      <c r="M1770" s="8">
        <f>L1770*G1770</f>
        <v/>
      </c>
      <c r="P1770" s="9" t="n"/>
    </row>
    <row r="1771">
      <c r="A1771" s="13" t="inlineStr">
        <is>
          <t>Kruphix's Insight / Visão de Crufix</t>
        </is>
      </c>
      <c r="B1771" s="13" t="inlineStr">
        <is>
          <t>Sorcery / Feitiço</t>
        </is>
      </c>
      <c r="C1771" s="13" t="inlineStr">
        <is>
          <t>Common / Comum</t>
        </is>
      </c>
      <c r="D1771" s="13"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1771" s="13" t="inlineStr">
        <is>
          <t>{2}{G}</t>
        </is>
      </c>
      <c r="F1771" s="13" t="inlineStr">
        <is>
          <t>Verde</t>
        </is>
      </c>
      <c r="G1771" s="8" t="n">
        <v>0.09</v>
      </c>
      <c r="H1771" s="13" t="inlineStr">
        <is>
          <t>Journey into Nyx (JOU)</t>
        </is>
      </c>
      <c r="I1771" s="13" t="inlineStr">
        <is>
          <t>Não</t>
        </is>
      </c>
      <c r="J1771" s="13" t="n">
        <v>2014</v>
      </c>
      <c r="L1771" s="13" t="n">
        <v>4</v>
      </c>
      <c r="M1771" s="8">
        <f>L1771*G1771</f>
        <v/>
      </c>
      <c r="P1771" s="9" t="n"/>
    </row>
    <row r="1772">
      <c r="A1772" s="13" t="inlineStr">
        <is>
          <t>Kulrath Zealot</t>
        </is>
      </c>
      <c r="B1772" s="13" t="inlineStr">
        <is>
          <t>Creature — Elemental Warrior</t>
        </is>
      </c>
      <c r="C1772" s="13" t="inlineStr">
        <is>
          <t>Common</t>
        </is>
      </c>
      <c r="D1772" s="13" t="inlineStr">
        <is>
          <t>When this creature enters, exile the top card of your library. Until the end of your next turn, you may play that card. Basic landcycling {1}{R} ({1}{R}, Discard this card: Search your library for a basic land card, reveal it, put it into your hand, then shuffle.)</t>
        </is>
      </c>
      <c r="E1772" s="13" t="inlineStr">
        <is>
          <t>{5}{R}</t>
        </is>
      </c>
      <c r="F1772" s="13" t="inlineStr">
        <is>
          <t>Red</t>
        </is>
      </c>
      <c r="G1772" s="8" t="n">
        <v>0.09</v>
      </c>
      <c r="H1772" s="13" t="inlineStr">
        <is>
          <t>Lorwyn Eclipsed (ECL)</t>
        </is>
      </c>
      <c r="I1772" s="13" t="inlineStr">
        <is>
          <t>No</t>
        </is>
      </c>
      <c r="J1772" s="13" t="n">
        <v>2026</v>
      </c>
      <c r="K1772" s="10" t="n">
        <v>46148</v>
      </c>
      <c r="L1772" s="13" t="n">
        <v>1</v>
      </c>
      <c r="M1772" s="8">
        <f>L1772*G1772</f>
        <v/>
      </c>
      <c r="P1772" s="9" t="n"/>
    </row>
    <row r="1773">
      <c r="A1773" s="13" t="inlineStr">
        <is>
          <t>Kwende, Pride of Femeref / Kwende, Orgulho de Femeref</t>
        </is>
      </c>
      <c r="B1773" s="13" t="inlineStr">
        <is>
          <t>Legendary Creature — Human Knight / Criatura Lendária — Humano Cavaleiro</t>
        </is>
      </c>
      <c r="C1773" s="13" t="inlineStr">
        <is>
          <t>Uncommon / Incomum</t>
        </is>
      </c>
      <c r="D1773" s="13" t="inlineStr">
        <is>
          <t>Double strike Creatures you control with first strike have double strike. / Golpe duplo As criaturas que você controla com iniciativa têm golpe duplo.</t>
        </is>
      </c>
      <c r="E1773" s="13" t="inlineStr">
        <is>
          <t>{3}{W}</t>
        </is>
      </c>
      <c r="F1773" s="13" t="inlineStr">
        <is>
          <t>Branco</t>
        </is>
      </c>
      <c r="G1773" s="8" t="n">
        <v>0.05</v>
      </c>
      <c r="H1773" s="13" t="inlineStr">
        <is>
          <t>Dominaria (DOM)</t>
        </is>
      </c>
      <c r="I1773" s="13" t="inlineStr">
        <is>
          <t>Não</t>
        </is>
      </c>
      <c r="J1773" s="13" t="n">
        <v>2018</v>
      </c>
      <c r="K1773" s="10" t="n">
        <v>46055</v>
      </c>
      <c r="L1773" s="13" t="n">
        <v>2</v>
      </c>
      <c r="M1773" s="8">
        <f>L1773*G1773</f>
        <v/>
      </c>
      <c r="P1773" s="9" t="n"/>
    </row>
    <row r="1774">
      <c r="A1774" s="13" t="inlineStr">
        <is>
          <t>Kyoshi Battle Fan</t>
        </is>
      </c>
      <c r="B1774" s="13" t="inlineStr">
        <is>
          <t>Artifact — Equipment</t>
        </is>
      </c>
      <c r="C1774" s="13" t="inlineStr">
        <is>
          <t>Common / Comum</t>
        </is>
      </c>
      <c r="D1774" s="13" t="inlineStr">
        <is>
          <t>When this Equipment enters, create a 1/1 white Ally creature token, then attach this Equipment to it. Equipped creature gets +1/+0. Equip {2} ({2}: Attach to target creature you control. Equip only as a sorcery.)</t>
        </is>
      </c>
      <c r="E1774" s="13" t="inlineStr">
        <is>
          <t>{2}</t>
        </is>
      </c>
      <c r="F1774" s="13" t="inlineStr">
        <is>
          <t>Incolor</t>
        </is>
      </c>
      <c r="G1774" s="8" t="n">
        <v>0.04</v>
      </c>
      <c r="H1774" s="13" t="inlineStr">
        <is>
          <t>Avatar: The Last Airbender (TLA)</t>
        </is>
      </c>
      <c r="I1774" s="13" t="inlineStr">
        <is>
          <t>Não</t>
        </is>
      </c>
      <c r="J1774" s="13" t="n">
        <v>2025</v>
      </c>
      <c r="L1774" s="13" t="n">
        <v>2</v>
      </c>
      <c r="M1774" s="8">
        <f>L1774*G1774</f>
        <v/>
      </c>
      <c r="P1774" s="9" t="n"/>
    </row>
    <row r="1775">
      <c r="A1775" s="13" t="inlineStr">
        <is>
          <t>Kyoshi Island Plaza</t>
        </is>
      </c>
      <c r="B1775" s="13" t="inlineStr">
        <is>
          <t>Legendary Enchantment — Shrine</t>
        </is>
      </c>
      <c r="C1775" s="13" t="inlineStr">
        <is>
          <t>Uncommon / Incomum</t>
        </is>
      </c>
      <c r="D1775" s="13"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1775" s="13" t="inlineStr">
        <is>
          <t>{3}{G}</t>
        </is>
      </c>
      <c r="F1775" s="13" t="inlineStr">
        <is>
          <t>Verde</t>
        </is>
      </c>
      <c r="G1775" s="8" t="n">
        <v>0.1</v>
      </c>
      <c r="H1775" s="13" t="inlineStr">
        <is>
          <t>Avatar: The Last Airbender (TLA)</t>
        </is>
      </c>
      <c r="I1775" s="13" t="inlineStr">
        <is>
          <t>Não</t>
        </is>
      </c>
      <c r="J1775" s="13" t="n">
        <v>2025</v>
      </c>
      <c r="L1775" s="13" t="n">
        <v>1</v>
      </c>
      <c r="M1775" s="8">
        <f>L1775*G1775</f>
        <v/>
      </c>
      <c r="P1775" s="9" t="n"/>
    </row>
    <row r="1776">
      <c r="A1776" s="13" t="inlineStr">
        <is>
          <t>Kyoshi Village</t>
        </is>
      </c>
      <c r="B1776" s="13" t="inlineStr">
        <is>
          <t>Land</t>
        </is>
      </c>
      <c r="C1776" s="13" t="inlineStr">
        <is>
          <t>Common / Comum</t>
        </is>
      </c>
      <c r="D1776" s="13" t="inlineStr">
        <is>
          <t>This land enters tapped. {T}: Add {G} or {W}. {4}, {T}, Sacrifice this land: Draw a card.</t>
        </is>
      </c>
      <c r="F1776" s="13" t="inlineStr">
        <is>
          <t>Verde, Branco</t>
        </is>
      </c>
      <c r="G1776" s="8" t="n">
        <v>0.1</v>
      </c>
      <c r="H1776" s="13" t="inlineStr">
        <is>
          <t>Avatar: The Last Airbender (TLA)</t>
        </is>
      </c>
      <c r="I1776" s="13" t="inlineStr">
        <is>
          <t>Não</t>
        </is>
      </c>
      <c r="J1776" s="13" t="n">
        <v>2025</v>
      </c>
      <c r="L1776" s="13" t="n">
        <v>1</v>
      </c>
      <c r="M1776" s="8">
        <f>L1776*G1776</f>
        <v/>
      </c>
      <c r="P1776" s="9" t="n"/>
    </row>
    <row r="1777">
      <c r="A1777" s="13" t="inlineStr">
        <is>
          <t>Kyoshi Warriors</t>
        </is>
      </c>
      <c r="B1777" s="13" t="inlineStr">
        <is>
          <t>Creature — Human Warrior Ally</t>
        </is>
      </c>
      <c r="C1777" s="13" t="inlineStr">
        <is>
          <t>Common / Comum</t>
        </is>
      </c>
      <c r="D1777" s="13" t="inlineStr">
        <is>
          <t>When this creature enters, create a 1/1 white Ally creature token.</t>
        </is>
      </c>
      <c r="E1777" s="13" t="inlineStr">
        <is>
          <t>{3}{W}</t>
        </is>
      </c>
      <c r="F1777" s="13" t="inlineStr">
        <is>
          <t>Branco</t>
        </is>
      </c>
      <c r="G1777" s="8" t="n">
        <v>0.08</v>
      </c>
      <c r="H1777" s="13" t="inlineStr">
        <is>
          <t>Avatar: The Last Airbender (TLA)</t>
        </is>
      </c>
      <c r="I1777" s="13" t="inlineStr">
        <is>
          <t>Não</t>
        </is>
      </c>
      <c r="J1777" s="13" t="n">
        <v>2025</v>
      </c>
      <c r="K1777" s="10" t="n">
        <v>46084</v>
      </c>
      <c r="L1777" s="13" t="n">
        <v>1</v>
      </c>
      <c r="M1777" s="8">
        <f>L1777*G1777</f>
        <v/>
      </c>
      <c r="P1777" s="9" t="n"/>
    </row>
    <row r="1778">
      <c r="A1778" s="13" t="inlineStr">
        <is>
          <t>Kyoshi Warriors</t>
        </is>
      </c>
      <c r="B1778" s="13" t="inlineStr">
        <is>
          <t>Creature — Human Warrior Ally</t>
        </is>
      </c>
      <c r="C1778" s="13" t="inlineStr">
        <is>
          <t>Common / Comum</t>
        </is>
      </c>
      <c r="D1778" s="13" t="inlineStr">
        <is>
          <t>When this creature enters, create a 1/1 white Ally creature token.</t>
        </is>
      </c>
      <c r="E1778" s="13" t="inlineStr">
        <is>
          <t>{3}{W}</t>
        </is>
      </c>
      <c r="F1778" s="13" t="inlineStr">
        <is>
          <t>Branco</t>
        </is>
      </c>
      <c r="G1778" s="8" t="n">
        <v>0.08</v>
      </c>
      <c r="H1778" s="13" t="inlineStr">
        <is>
          <t>Avatar: The Last Airbender (TLA)</t>
        </is>
      </c>
      <c r="I1778" s="13" t="inlineStr">
        <is>
          <t>Não</t>
        </is>
      </c>
      <c r="J1778" s="13" t="n">
        <v>2025</v>
      </c>
      <c r="K1778" s="10" t="n">
        <v>46084</v>
      </c>
      <c r="L1778" s="13" t="n">
        <v>9</v>
      </c>
      <c r="M1778" s="8">
        <f>L1778*G1778</f>
        <v/>
      </c>
      <c r="P1778" s="9" t="n"/>
    </row>
    <row r="1779">
      <c r="A1779" s="13" t="inlineStr">
        <is>
          <t>Kytheon's Irregulars / Subversivos de Quiteon</t>
        </is>
      </c>
      <c r="B1779" s="13" t="inlineStr">
        <is>
          <t>Creature — Human Soldier / Criatura — Humano Soldado</t>
        </is>
      </c>
      <c r="C1779" s="13" t="inlineStr">
        <is>
          <t>Rare / Rara</t>
        </is>
      </c>
      <c r="D1779" s="13"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779" s="13" t="inlineStr">
        <is>
          <t>{2}{W}{W}</t>
        </is>
      </c>
      <c r="F1779" s="13" t="inlineStr">
        <is>
          <t>Branco</t>
        </is>
      </c>
      <c r="G1779" s="8" t="n">
        <v>0.12</v>
      </c>
      <c r="H1779" s="13" t="inlineStr">
        <is>
          <t>Magic Origins (ORI)</t>
        </is>
      </c>
      <c r="I1779" s="13" t="inlineStr">
        <is>
          <t>Não</t>
        </is>
      </c>
      <c r="J1779" s="13" t="n">
        <v>2015</v>
      </c>
      <c r="K1779" s="10" t="n">
        <v>46085</v>
      </c>
      <c r="L1779" s="13" t="n">
        <v>1</v>
      </c>
      <c r="M1779" s="8">
        <f>L1779*G1779</f>
        <v/>
      </c>
      <c r="P1779" s="9" t="n"/>
    </row>
    <row r="1780">
      <c r="A1780" s="13" t="inlineStr">
        <is>
          <t>Ladrão Ousado</t>
        </is>
      </c>
      <c r="B1780" s="13" t="inlineStr">
        <is>
          <t>Criatura — Humano Ladino</t>
        </is>
      </c>
      <c r="C1780" s="13" t="inlineStr">
        <is>
          <t>Rara</t>
        </is>
      </c>
      <c r="D1780" s="13" t="inlineStr">
        <is>
          <t>Inspirado — Toda vez que Ladrão Ousado é desvirado, você pode permutar o controle de uma permanente alvo que não seja terreno sob seu controle por uma permanente alvo sob o controle de um oponente que tenha o mesmo tipo de card.</t>
        </is>
      </c>
      <c r="E1780" s="13" t="inlineStr">
        <is>
          <t>2U</t>
        </is>
      </c>
      <c r="F1780" s="13" t="inlineStr">
        <is>
          <t>Azul</t>
        </is>
      </c>
      <c r="G1780" s="8" t="n">
        <v>0.03</v>
      </c>
      <c r="H1780" s="13" t="inlineStr">
        <is>
          <t>Journey into Nyx</t>
        </is>
      </c>
      <c r="I1780" s="13" t="inlineStr">
        <is>
          <t>Não</t>
        </is>
      </c>
      <c r="J1780" s="13" t="n">
        <v>2014</v>
      </c>
      <c r="K1780" s="10" t="n">
        <v>46083</v>
      </c>
      <c r="L1780" s="13" t="n">
        <v>1</v>
      </c>
      <c r="M1780" s="8">
        <f>L1780*G1780</f>
        <v/>
      </c>
      <c r="P1780" s="9" t="n"/>
    </row>
    <row r="1781">
      <c r="A1781" s="13" t="inlineStr">
        <is>
          <t>Lagarto Rúnico</t>
        </is>
      </c>
      <c r="B1781" s="13" t="inlineStr">
        <is>
          <t>Criatura — Lagarto</t>
        </is>
      </c>
      <c r="C1781" s="13" t="inlineStr">
        <is>
          <t>Comum</t>
        </is>
      </c>
      <c r="D1781" s="13" t="inlineStr">
        <is>
          <t>Toda vez que Lagarto Rúnico atacar, use vidência 1. (Olhe o card do topo de seu grimório. Você pode colocar aquele card no fundo de seu grimório.)</t>
        </is>
      </c>
      <c r="E1781" s="13" t="inlineStr">
        <is>
          <t>1R</t>
        </is>
      </c>
      <c r="F1781" s="13" t="inlineStr">
        <is>
          <t>Vermelha</t>
        </is>
      </c>
      <c r="G1781" s="8" t="n">
        <v>0.04</v>
      </c>
      <c r="H1781" s="13" t="inlineStr">
        <is>
          <t>Journey into Nyx</t>
        </is>
      </c>
      <c r="I1781" s="13" t="inlineStr">
        <is>
          <t>Não</t>
        </is>
      </c>
      <c r="J1781" s="13" t="n">
        <v>2014</v>
      </c>
      <c r="K1781" s="10" t="n">
        <v>46024</v>
      </c>
      <c r="L1781" s="13" t="n">
        <v>2</v>
      </c>
      <c r="M1781" s="8">
        <f>L1781*G1781</f>
        <v/>
      </c>
      <c r="P1781" s="9" t="n"/>
    </row>
    <row r="1782">
      <c r="A1782" s="13" t="inlineStr">
        <is>
          <t>Lagomos, Hand of Hatred / Lagomos, Mão do Ódio</t>
        </is>
      </c>
      <c r="B1782" s="13" t="inlineStr">
        <is>
          <t>Legendary Creature — Human Shaman / Criatura Lendária — Humano Xamã</t>
        </is>
      </c>
      <c r="C1782" s="13" t="inlineStr">
        <is>
          <t>Uncommon / Incomum</t>
        </is>
      </c>
      <c r="D1782" s="13"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1782" s="13" t="inlineStr">
        <is>
          <t>{1}{B}{R}</t>
        </is>
      </c>
      <c r="F1782" s="13" t="inlineStr">
        <is>
          <t>Preto, Vermelho</t>
        </is>
      </c>
      <c r="G1782" s="8" t="n">
        <v>0.16</v>
      </c>
      <c r="H1782" s="13" t="inlineStr">
        <is>
          <t>Dominaria United (DMU)</t>
        </is>
      </c>
      <c r="I1782" s="13" t="inlineStr">
        <is>
          <t>Não</t>
        </is>
      </c>
      <c r="J1782" s="13" t="n">
        <v>2022</v>
      </c>
      <c r="K1782" s="10" t="n">
        <v>46082</v>
      </c>
      <c r="L1782" s="13" t="n">
        <v>1</v>
      </c>
      <c r="M1782" s="8">
        <f>L1782*G1782</f>
        <v/>
      </c>
      <c r="P1782" s="9" t="n"/>
    </row>
    <row r="1783">
      <c r="A1783" s="13" t="inlineStr">
        <is>
          <t>Lagonna-Band Trailblazer / Pioneira do Bando de Lagonna</t>
        </is>
      </c>
      <c r="B1783" s="13" t="inlineStr">
        <is>
          <t>Creature — Centaur Scout / Criatura — Centauro Batedor</t>
        </is>
      </c>
      <c r="C1783" s="13" t="inlineStr">
        <is>
          <t>Common / Comum</t>
        </is>
      </c>
      <c r="D1783" s="13" t="inlineStr">
        <is>
          <t>Heroic — Whenever you cast a spell that targets this creature, put a +1/+1 counter on it. / Heroico — Toda vez que você conjurar uma mágica que tenha como alvo Pioneira do Bando de Lagonna, coloque um marcador +1/+1 em Pioneira do Bando de Lagonna.</t>
        </is>
      </c>
      <c r="E1783" s="13" t="inlineStr">
        <is>
          <t>{W}</t>
        </is>
      </c>
      <c r="F1783" s="13" t="inlineStr">
        <is>
          <t>Branco</t>
        </is>
      </c>
      <c r="G1783" s="8" t="n">
        <v>0.64</v>
      </c>
      <c r="H1783" s="13" t="inlineStr">
        <is>
          <t>Journey into Nyx (JOU)</t>
        </is>
      </c>
      <c r="I1783" s="13" t="inlineStr">
        <is>
          <t>Não</t>
        </is>
      </c>
      <c r="J1783" s="13" t="n">
        <v>2014</v>
      </c>
      <c r="K1783" s="13" t="inlineStr">
        <is>
          <t>0/4</t>
        </is>
      </c>
      <c r="L1783" s="13" t="n">
        <v>5</v>
      </c>
      <c r="M1783" s="8">
        <f>L1783*G1783</f>
        <v/>
      </c>
      <c r="P1783" s="9" t="n"/>
    </row>
    <row r="1784">
      <c r="A1784" s="13" t="inlineStr">
        <is>
          <t>Landroval, Horizon Witness / Landroval, Testemunha do Horizonte</t>
        </is>
      </c>
      <c r="B1784" s="13" t="inlineStr">
        <is>
          <t>Legendary Creature — Bird Noble / Criatura Lendária — Ave Nobre</t>
        </is>
      </c>
      <c r="C1784" s="13" t="inlineStr">
        <is>
          <t>Uncommon / Incomum</t>
        </is>
      </c>
      <c r="D1784" s="13"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1784" s="13" t="inlineStr">
        <is>
          <t>{4}{W}</t>
        </is>
      </c>
      <c r="F1784" s="13" t="inlineStr">
        <is>
          <t>Branco</t>
        </is>
      </c>
      <c r="G1784" s="8" t="n">
        <v>0.14</v>
      </c>
      <c r="H1784" s="13" t="inlineStr">
        <is>
          <t>The Lord of the Rings: Tales of Middle-earth (LTR)</t>
        </is>
      </c>
      <c r="I1784" s="13" t="inlineStr">
        <is>
          <t>Não</t>
        </is>
      </c>
      <c r="J1784" s="13" t="n">
        <v>2023</v>
      </c>
      <c r="K1784" s="10" t="n">
        <v>46115</v>
      </c>
      <c r="L1784" s="13" t="n">
        <v>1</v>
      </c>
      <c r="M1784" s="8">
        <f>L1784*G1784</f>
        <v/>
      </c>
      <c r="P1784" s="9" t="n"/>
    </row>
    <row r="1785">
      <c r="A1785" s="13" t="inlineStr">
        <is>
          <t>Landscape Painter / Pintor de Paisagens</t>
        </is>
      </c>
      <c r="B1785" s="13" t="inlineStr">
        <is>
          <t>Creature — Merfolk Wizard / Criatura — Tritão Mago</t>
        </is>
      </c>
      <c r="C1785" s="13" t="inlineStr">
        <is>
          <t>Common / Comum</t>
        </is>
      </c>
      <c r="D1785" s="13"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1785" s="13" t="inlineStr">
        <is>
          <t>{1}{U}</t>
        </is>
      </c>
      <c r="F1785" s="13" t="inlineStr">
        <is>
          <t>Azul</t>
        </is>
      </c>
      <c r="G1785" s="8" t="n">
        <v>0.04</v>
      </c>
      <c r="H1785" s="13" t="inlineStr">
        <is>
          <t>Shadows of Sothia (SOS)</t>
        </is>
      </c>
      <c r="I1785" s="13" t="inlineStr">
        <is>
          <t>No</t>
        </is>
      </c>
      <c r="J1785" s="13" t="n">
        <v>2026</v>
      </c>
      <c r="K1785" s="10" t="n">
        <v>46024</v>
      </c>
      <c r="L1785" s="13" t="n">
        <v>3</v>
      </c>
      <c r="M1785" s="8">
        <f>L1785*G1785</f>
        <v/>
      </c>
      <c r="P1785" s="9" t="n"/>
    </row>
    <row r="1786">
      <c r="A1786" s="13" t="inlineStr">
        <is>
          <t>Larval Scoutlander / Sonda-larval Terrestre</t>
        </is>
      </c>
      <c r="B1786" s="13" t="inlineStr">
        <is>
          <t>Artefato — Nave Espacial</t>
        </is>
      </c>
      <c r="C1786" s="13" t="inlineStr">
        <is>
          <t>Incomum</t>
        </is>
      </c>
      <c r="D1786" s="13"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1786" s="13" t="inlineStr">
        <is>
          <t>2{G}</t>
        </is>
      </c>
      <c r="F1786" s="13" t="inlineStr">
        <is>
          <t>Verde</t>
        </is>
      </c>
      <c r="G1786" s="8" t="n">
        <v>0.15</v>
      </c>
      <c r="H1786" s="13" t="inlineStr">
        <is>
          <t>Edge of Eternity</t>
        </is>
      </c>
      <c r="I1786" s="13" t="inlineStr">
        <is>
          <t>Não</t>
        </is>
      </c>
      <c r="J1786" s="13" t="n">
        <v>2025</v>
      </c>
      <c r="K1786" s="10" t="n">
        <v>46084</v>
      </c>
      <c r="L1786" s="13" t="n">
        <v>1</v>
      </c>
      <c r="M1786" s="8">
        <f>L1786*G1786</f>
        <v/>
      </c>
      <c r="P1786" s="9" t="n"/>
    </row>
    <row r="1787">
      <c r="A1787" s="13" t="inlineStr">
        <is>
          <t>Lashknife / Faca de Chicote</t>
        </is>
      </c>
      <c r="B1787" s="13" t="inlineStr">
        <is>
          <t>Enchantment — Aura / Encantamento — Aura</t>
        </is>
      </c>
      <c r="C1787" s="13" t="inlineStr">
        <is>
          <t>Common / Comum</t>
        </is>
      </c>
      <c r="D1787" s="13"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1787" s="13" t="inlineStr">
        <is>
          <t>{1}{W}</t>
        </is>
      </c>
      <c r="F1787" s="13" t="inlineStr">
        <is>
          <t>Branco</t>
        </is>
      </c>
      <c r="G1787" s="8" t="n">
        <v>0.1</v>
      </c>
      <c r="H1787" s="13" t="inlineStr">
        <is>
          <t>Nemesis (NMS)</t>
        </is>
      </c>
      <c r="I1787" s="13" t="inlineStr">
        <is>
          <t>No</t>
        </is>
      </c>
      <c r="J1787" s="13" t="n">
        <v>2000</v>
      </c>
      <c r="L1787" s="13" t="n">
        <v>1</v>
      </c>
      <c r="M1787" s="8">
        <f>L1787*G1787</f>
        <v/>
      </c>
      <c r="P1787" s="9" t="n"/>
    </row>
    <row r="1788">
      <c r="A1788" s="13" t="inlineStr">
        <is>
          <t>Last Breath / Último Fôlego</t>
        </is>
      </c>
      <c r="B1788" s="13" t="inlineStr">
        <is>
          <t>Instant / Mágica Instantânea</t>
        </is>
      </c>
      <c r="C1788" s="13" t="inlineStr">
        <is>
          <t>Common / Comum</t>
        </is>
      </c>
      <c r="D1788" s="13" t="inlineStr">
        <is>
          <t>Exile target creature with power 2 or less. Its controller gains 4 life. / Exile a criatura alvo com poder menor ou igual a 2. Seu controlador ganha 4 pontos de vida.</t>
        </is>
      </c>
      <c r="E1788" s="13" t="inlineStr">
        <is>
          <t>{1}{W}</t>
        </is>
      </c>
      <c r="F1788" s="13" t="inlineStr">
        <is>
          <t>Branco</t>
        </is>
      </c>
      <c r="G1788" s="8" t="n">
        <v>0.35</v>
      </c>
      <c r="H1788" s="13" t="inlineStr">
        <is>
          <t>Double Masters 2022 (2X2)</t>
        </is>
      </c>
      <c r="I1788" s="13" t="inlineStr">
        <is>
          <t>Sim</t>
        </is>
      </c>
      <c r="J1788" s="13" t="n">
        <v>2022</v>
      </c>
      <c r="L1788" s="13" t="n">
        <v>2</v>
      </c>
      <c r="M1788" s="8">
        <f>L1788*G1788</f>
        <v/>
      </c>
      <c r="P1788" s="9" t="n"/>
    </row>
    <row r="1789">
      <c r="A1789" s="13" t="inlineStr">
        <is>
          <t>Last Breath / Último Fôlego</t>
        </is>
      </c>
      <c r="B1789" s="13" t="inlineStr">
        <is>
          <t>Instant / Mágica Instantânea</t>
        </is>
      </c>
      <c r="C1789" s="13" t="inlineStr">
        <is>
          <t>Common / Comum</t>
        </is>
      </c>
      <c r="D1789" s="13" t="inlineStr">
        <is>
          <t>Exile target creature with power 2 or less. Its controller gains 4 life. / Exile a criatura alvo com poder menor ou igual a 2. Seu controlador ganha 4 pontos de vida.</t>
        </is>
      </c>
      <c r="E1789" s="13" t="inlineStr">
        <is>
          <t>{1}{W}</t>
        </is>
      </c>
      <c r="F1789" s="13" t="inlineStr">
        <is>
          <t>Branco</t>
        </is>
      </c>
      <c r="G1789" s="8" t="n">
        <v>0.05</v>
      </c>
      <c r="H1789" s="13" t="inlineStr">
        <is>
          <t>Theros (THS)</t>
        </is>
      </c>
      <c r="I1789" s="13" t="inlineStr">
        <is>
          <t>Não</t>
        </is>
      </c>
      <c r="J1789" s="13" t="n">
        <v>2013</v>
      </c>
      <c r="L1789" s="13" t="n">
        <v>1</v>
      </c>
      <c r="M1789" s="8">
        <f>L1789*G1789</f>
        <v/>
      </c>
      <c r="P1789" s="9" t="n"/>
    </row>
    <row r="1790">
      <c r="A1790" s="13" t="inlineStr">
        <is>
          <t>Lasting Tarfire</t>
        </is>
      </c>
      <c r="B1790" s="13" t="inlineStr">
        <is>
          <t>Enchantment</t>
        </is>
      </c>
      <c r="C1790" s="13" t="inlineStr">
        <is>
          <t>Uncommon</t>
        </is>
      </c>
      <c r="D1790" s="13" t="inlineStr">
        <is>
          <t>At the beginning of each end step, if you put a counter on a creature this turn, this enchantment deals 2 damage to each opponent.</t>
        </is>
      </c>
      <c r="E1790" s="13" t="inlineStr">
        <is>
          <t>{1}{R}</t>
        </is>
      </c>
      <c r="F1790" s="13" t="inlineStr">
        <is>
          <t>Red</t>
        </is>
      </c>
      <c r="G1790" s="8" t="n">
        <v>0.15</v>
      </c>
      <c r="H1790" s="13" t="inlineStr">
        <is>
          <t>Lorwyn Eclipsed (ECL)</t>
        </is>
      </c>
      <c r="I1790" s="13" t="inlineStr">
        <is>
          <t>No</t>
        </is>
      </c>
      <c r="J1790" s="13" t="n">
        <v>2026</v>
      </c>
      <c r="L1790" s="13" t="n">
        <v>1</v>
      </c>
      <c r="M1790" s="8">
        <f>L1790*G1790</f>
        <v/>
      </c>
      <c r="P1790" s="9" t="n"/>
    </row>
    <row r="1791">
      <c r="A1791" s="13" t="inlineStr">
        <is>
          <t>Lathnu Sailback / Dorsoveleiro de Lathnu</t>
        </is>
      </c>
      <c r="B1791" s="13" t="inlineStr">
        <is>
          <t>Creature — Lizard / Criatura — Lagarto</t>
        </is>
      </c>
      <c r="C1791" s="13" t="inlineStr">
        <is>
          <t>Common / Comum</t>
        </is>
      </c>
      <c r="E1791" s="13" t="inlineStr">
        <is>
          <t>{4}{R}</t>
        </is>
      </c>
      <c r="F1791" s="13" t="inlineStr">
        <is>
          <t>Vermelho</t>
        </is>
      </c>
      <c r="G1791" s="8" t="n">
        <v>0.03</v>
      </c>
      <c r="H1791" s="13" t="inlineStr">
        <is>
          <t>Aether Revolt (AER)</t>
        </is>
      </c>
      <c r="I1791" s="13" t="inlineStr">
        <is>
          <t>Não</t>
        </is>
      </c>
      <c r="J1791" s="13" t="n">
        <v>2017</v>
      </c>
      <c r="K1791" s="10" t="n">
        <v>46117</v>
      </c>
      <c r="L1791" s="13" t="n">
        <v>5</v>
      </c>
      <c r="M1791" s="8">
        <f>L1791*G1791</f>
        <v/>
      </c>
      <c r="P1791" s="9" t="n"/>
    </row>
    <row r="1792">
      <c r="A1792" s="13" t="inlineStr">
        <is>
          <t>Laughing Mad / Loucura Risonha</t>
        </is>
      </c>
      <c r="B1792" s="13" t="inlineStr">
        <is>
          <t>Mágica Instantânea</t>
        </is>
      </c>
      <c r="C1792" s="13" t="inlineStr">
        <is>
          <t>Comum</t>
        </is>
      </c>
      <c r="D1792" s="13" t="inlineStr">
        <is>
          <t>Como custo adicional para conjurar esta mágica, descarte um card. Compre dois cards. Recapitular {3}{R} (Você pode conjurar este card de seu cemitério pagando seu custo de recapitular e quaisquer custos adicionais. Depois, exile-o.)</t>
        </is>
      </c>
      <c r="E1792" s="13" t="inlineStr">
        <is>
          <t>2R</t>
        </is>
      </c>
      <c r="F1792" s="13" t="inlineStr">
        <is>
          <t>Vermelho</t>
        </is>
      </c>
      <c r="G1792" s="8" t="n">
        <v>0.1</v>
      </c>
      <c r="H1792" s="13" t="inlineStr">
        <is>
          <t>Final Fantasy</t>
        </is>
      </c>
      <c r="I1792" s="13" t="inlineStr">
        <is>
          <t>Não</t>
        </is>
      </c>
      <c r="J1792" s="13" t="n">
        <v>2025</v>
      </c>
      <c r="L1792" s="13" t="n">
        <v>7</v>
      </c>
      <c r="M1792" s="8">
        <f>L1792*G1792</f>
        <v/>
      </c>
      <c r="P1792" s="9" t="n"/>
    </row>
    <row r="1793">
      <c r="A1793" s="13" t="inlineStr">
        <is>
          <t>Launch the Fleet / Lançar a Frota</t>
        </is>
      </c>
      <c r="B1793" s="13" t="inlineStr">
        <is>
          <t>Sorcery / Feitiço</t>
        </is>
      </c>
      <c r="C1793" s="13" t="inlineStr">
        <is>
          <t>Rare / Rara</t>
        </is>
      </c>
      <c r="D1793" s="13"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1793" s="13" t="inlineStr">
        <is>
          <t>{W}</t>
        </is>
      </c>
      <c r="F1793" s="13" t="inlineStr">
        <is>
          <t>Branco</t>
        </is>
      </c>
      <c r="G1793" s="8" t="n">
        <v>0.3</v>
      </c>
      <c r="H1793" s="13" t="inlineStr">
        <is>
          <t>Journey into Nyx (JOU)</t>
        </is>
      </c>
      <c r="I1793" s="13" t="inlineStr">
        <is>
          <t>Não</t>
        </is>
      </c>
      <c r="J1793" s="13" t="n">
        <v>2014</v>
      </c>
      <c r="L1793" s="13" t="n">
        <v>2</v>
      </c>
      <c r="M1793" s="8">
        <f>L1793*G1793</f>
        <v/>
      </c>
      <c r="P1793" s="9" t="n"/>
    </row>
    <row r="1794">
      <c r="A1794" s="13" t="inlineStr">
        <is>
          <t>Lava Axe / Machado de Lava</t>
        </is>
      </c>
      <c r="B1794" s="13" t="inlineStr">
        <is>
          <t>Sorcery / Feitiço</t>
        </is>
      </c>
      <c r="C1794" s="13" t="inlineStr">
        <is>
          <t>Common / Comum</t>
        </is>
      </c>
      <c r="D1794" s="13" t="inlineStr">
        <is>
          <t>Lava Axe deals 5 damage to target player or planeswalker. / Machado de Lava causa 5 pontos de dano ao jogador ou planeswalker alvo.</t>
        </is>
      </c>
      <c r="E1794" s="13" t="inlineStr">
        <is>
          <t>{4}{R}</t>
        </is>
      </c>
      <c r="F1794" s="13" t="inlineStr">
        <is>
          <t>Vermelho</t>
        </is>
      </c>
      <c r="G1794" s="8" t="n">
        <v>0.26</v>
      </c>
      <c r="H1794" s="13" t="inlineStr">
        <is>
          <t>Portal</t>
        </is>
      </c>
      <c r="I1794" s="13" t="inlineStr">
        <is>
          <t>Não</t>
        </is>
      </c>
      <c r="J1794" s="13" t="n">
        <v>1997</v>
      </c>
      <c r="L1794" s="13" t="n">
        <v>1</v>
      </c>
      <c r="M1794" s="8">
        <f>L1794*G1794</f>
        <v/>
      </c>
      <c r="P1794" s="9" t="n"/>
    </row>
    <row r="1795">
      <c r="A1795" s="13" t="inlineStr">
        <is>
          <t>Lava Burst / Explosão de Lava</t>
        </is>
      </c>
      <c r="B1795" s="13" t="inlineStr">
        <is>
          <t>Sorcery</t>
        </is>
      </c>
      <c r="C1795" s="13" t="inlineStr">
        <is>
          <t>Common / Comum</t>
        </is>
      </c>
      <c r="D1795" s="13" t="inlineStr">
        <is>
          <t>Lava Burst deals X damage to any target. If Lava Burst would deal damage to a creature, that damage can't be prevented or dealt instead to another permanent or player.</t>
        </is>
      </c>
      <c r="E1795" s="13" t="inlineStr">
        <is>
          <t>{X}{R}</t>
        </is>
      </c>
      <c r="F1795" s="13" t="inlineStr">
        <is>
          <t>Vermelho</t>
        </is>
      </c>
      <c r="G1795" s="8" t="n">
        <v>0.05</v>
      </c>
      <c r="H1795" s="13" t="inlineStr">
        <is>
          <t>Ice Age (ICE)</t>
        </is>
      </c>
      <c r="I1795" s="13" t="inlineStr">
        <is>
          <t>Não</t>
        </is>
      </c>
      <c r="J1795" s="13" t="n">
        <v>1995</v>
      </c>
      <c r="L1795" s="13" t="n">
        <v>1</v>
      </c>
      <c r="M1795" s="8">
        <f>L1795*G1795</f>
        <v/>
      </c>
      <c r="P1795" s="9" t="n"/>
    </row>
    <row r="1796">
      <c r="A1796" s="13" t="inlineStr">
        <is>
          <t>Lava Coil / Hélice de Lava</t>
        </is>
      </c>
      <c r="B1796" s="13" t="inlineStr">
        <is>
          <t>Feitiço</t>
        </is>
      </c>
      <c r="C1796" s="13" t="inlineStr">
        <is>
          <t>Incomum</t>
        </is>
      </c>
      <c r="D1796" s="13" t="inlineStr">
        <is>
          <t>Hélice de Lava causa 4 pontos de dano à criatura alvo. Se aquela criatura for morrer neste turno, em vez disso, exile-a.</t>
        </is>
      </c>
      <c r="E1796" s="13" t="inlineStr">
        <is>
          <t>1{R}</t>
        </is>
      </c>
      <c r="F1796" s="13" t="inlineStr">
        <is>
          <t>Vermelho</t>
        </is>
      </c>
      <c r="G1796" s="8" t="n">
        <v>0.08</v>
      </c>
      <c r="H1796" s="13" t="inlineStr">
        <is>
          <t>Guilds of Ravnica</t>
        </is>
      </c>
      <c r="I1796" s="13" t="inlineStr">
        <is>
          <t>Não</t>
        </is>
      </c>
      <c r="J1796" s="13" t="n">
        <v>2018</v>
      </c>
      <c r="L1796" s="13" t="n">
        <v>2</v>
      </c>
      <c r="M1796" s="8">
        <f>L1796*G1796</f>
        <v/>
      </c>
      <c r="P1796" s="9" t="n"/>
    </row>
    <row r="1797">
      <c r="A1797" s="13" t="inlineStr">
        <is>
          <t>Lavagem Cerebral / Brainwash</t>
        </is>
      </c>
      <c r="B1797" s="13" t="inlineStr">
        <is>
          <t>Encantar Criatura / Enchant Creature</t>
        </is>
      </c>
      <c r="C1797" s="13" t="inlineStr">
        <is>
          <t>Comum / Common</t>
        </is>
      </c>
      <c r="D1797" s="13" t="inlineStr">
        <is>
          <t>A criatura-alvo não poderá atacar a menos que o jogador que a controla pague {3} adicionais. / Enchanted creature can't attack unless its controller pays {3}.</t>
        </is>
      </c>
      <c r="E1797" s="13" t="inlineStr">
        <is>
          <t>{W}</t>
        </is>
      </c>
      <c r="F1797" s="13" t="inlineStr">
        <is>
          <t>Branco</t>
        </is>
      </c>
      <c r="G1797" s="8" t="n">
        <v>0.09</v>
      </c>
      <c r="H1797" s="13" t="inlineStr">
        <is>
          <t>Fourth Edition</t>
        </is>
      </c>
      <c r="I1797" s="13" t="inlineStr">
        <is>
          <t>Não</t>
        </is>
      </c>
      <c r="J1797" s="13" t="n">
        <v>1995</v>
      </c>
      <c r="L1797" s="13" t="n">
        <v>4</v>
      </c>
      <c r="M1797" s="8">
        <f>L1797*G1797</f>
        <v/>
      </c>
      <c r="P1797" s="9" t="n"/>
    </row>
    <row r="1798">
      <c r="A1798" s="13" t="inlineStr">
        <is>
          <t>Lavagem Cerebral / Brainwash</t>
        </is>
      </c>
      <c r="B1798" s="13" t="inlineStr">
        <is>
          <t>Encantar Criatura</t>
        </is>
      </c>
      <c r="C1798" s="13" t="inlineStr">
        <is>
          <t>Comum</t>
        </is>
      </c>
      <c r="D1798" s="13" t="inlineStr">
        <is>
          <t>A criatura-alvo não poderá atacar a menos que o jogador que a controla pague {3} adicionais.</t>
        </is>
      </c>
      <c r="E1798" s="13" t="inlineStr">
        <is>
          <t>{W}</t>
        </is>
      </c>
      <c r="F1798" s="13" t="inlineStr">
        <is>
          <t>Branco</t>
        </is>
      </c>
      <c r="G1798" s="8" t="n">
        <v>0.13</v>
      </c>
      <c r="H1798" s="13" t="inlineStr">
        <is>
          <t>Fourth Edition (4ED)</t>
        </is>
      </c>
      <c r="I1798" s="13" t="inlineStr">
        <is>
          <t>Não</t>
        </is>
      </c>
      <c r="J1798" s="13" t="n">
        <v>1995</v>
      </c>
      <c r="L1798" s="13" t="n">
        <v>1</v>
      </c>
      <c r="M1798" s="8">
        <f>L1798*G1798</f>
        <v/>
      </c>
      <c r="P1798" s="9" t="n"/>
    </row>
    <row r="1799">
      <c r="A1799" s="13" t="inlineStr">
        <is>
          <t>Lavagem Cerebral / Brainwash</t>
        </is>
      </c>
      <c r="B1799" s="13" t="inlineStr">
        <is>
          <t>Encantar Criatura</t>
        </is>
      </c>
      <c r="C1799" s="13" t="inlineStr">
        <is>
          <t>Comum</t>
        </is>
      </c>
      <c r="D1799" s="13" t="inlineStr">
        <is>
          <t>A criatura-alvo não poderá atacar a menos que o jogador que a controla pague {3} adicionais.</t>
        </is>
      </c>
      <c r="E1799" s="13" t="inlineStr">
        <is>
          <t>{W}</t>
        </is>
      </c>
      <c r="F1799" s="13" t="inlineStr">
        <is>
          <t>Branco</t>
        </is>
      </c>
      <c r="G1799" s="8" t="n">
        <v>0.09</v>
      </c>
      <c r="H1799" s="13" t="inlineStr">
        <is>
          <t>Fourth Edition (4ED) Reprint</t>
        </is>
      </c>
      <c r="I1799" s="13" t="inlineStr">
        <is>
          <t>Não</t>
        </is>
      </c>
      <c r="J1799" s="13" t="n">
        <v>1995</v>
      </c>
      <c r="L1799" s="13" t="n">
        <v>1</v>
      </c>
      <c r="M1799" s="8">
        <f>L1799*G1799</f>
        <v/>
      </c>
      <c r="P1799" s="9" t="n"/>
    </row>
    <row r="1800">
      <c r="A1800" s="13" t="inlineStr">
        <is>
          <t>Lavagem Cerebral / Brainwash</t>
        </is>
      </c>
      <c r="B1800" s="13" t="inlineStr">
        <is>
          <t>Encantar Criatura / Enchant Creature</t>
        </is>
      </c>
      <c r="C1800" s="13" t="inlineStr">
        <is>
          <t>Comum / Common</t>
        </is>
      </c>
      <c r="D1800" s="13" t="inlineStr">
        <is>
          <t>A criatura-alvo não poderá atacar a menos que o jogador que a controla pague {3} adicionais. / Enchanted creature can't attack unless its controller pays {3}.</t>
        </is>
      </c>
      <c r="E1800" s="13" t="inlineStr">
        <is>
          <t>{W}</t>
        </is>
      </c>
      <c r="F1800" s="13" t="inlineStr">
        <is>
          <t>Branco</t>
        </is>
      </c>
      <c r="G1800" s="8" t="n">
        <v>0.13</v>
      </c>
      <c r="H1800" s="13" t="inlineStr">
        <is>
          <t>Fourth Edition (BB)</t>
        </is>
      </c>
      <c r="I1800" s="13" t="inlineStr">
        <is>
          <t>Não</t>
        </is>
      </c>
      <c r="J1800" s="13" t="n">
        <v>1995</v>
      </c>
      <c r="L1800" s="13" t="n">
        <v>3</v>
      </c>
      <c r="M1800" s="8">
        <f>L1800*G1800</f>
        <v/>
      </c>
      <c r="P1800" s="9" t="n"/>
    </row>
    <row r="1801">
      <c r="A1801" s="13" t="inlineStr">
        <is>
          <t>Lay of the Land / Configuração do Terreno</t>
        </is>
      </c>
      <c r="B1801" s="13" t="inlineStr">
        <is>
          <t>Sorcery / Feitiço</t>
        </is>
      </c>
      <c r="C1801" s="13" t="inlineStr">
        <is>
          <t>Common / Comum</t>
        </is>
      </c>
      <c r="D1801" s="13" t="inlineStr">
        <is>
          <t>Search your library for a basic land card, reveal it, put it into your hand, then shuffle. / Procure um card de terreno básico em seu grimório, revele-o, coloque-o em sua mão e, depois, embaralhe seu grimório.</t>
        </is>
      </c>
      <c r="E1801" s="13" t="inlineStr">
        <is>
          <t>{G}</t>
        </is>
      </c>
      <c r="F1801" s="13" t="inlineStr">
        <is>
          <t>Verde</t>
        </is>
      </c>
      <c r="G1801" s="8" t="n">
        <v>0.08</v>
      </c>
      <c r="H1801" s="13" t="inlineStr">
        <is>
          <t>Magic 2014 (M14)</t>
        </is>
      </c>
      <c r="I1801" s="13" t="inlineStr">
        <is>
          <t>Não</t>
        </is>
      </c>
      <c r="J1801" s="13" t="n">
        <v>2013</v>
      </c>
      <c r="L1801" s="13" t="n">
        <v>2</v>
      </c>
      <c r="M1801" s="8">
        <f>L1801*G1801</f>
        <v/>
      </c>
      <c r="P1801" s="9" t="n"/>
    </row>
    <row r="1802">
      <c r="A1802" s="13" t="inlineStr">
        <is>
          <t>Lazotep Reaver / Despojador de Lazotep</t>
        </is>
      </c>
      <c r="B1802" s="13" t="inlineStr">
        <is>
          <t>Creature — Zombie Beast / Criatura — Zumbi Besta</t>
        </is>
      </c>
      <c r="C1802" s="13" t="inlineStr">
        <is>
          <t>Common / Comum</t>
        </is>
      </c>
      <c r="D1802" s="13"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1802" s="13" t="inlineStr">
        <is>
          <t>{1}{B}</t>
        </is>
      </c>
      <c r="F1802" s="13" t="inlineStr">
        <is>
          <t>Preto</t>
        </is>
      </c>
      <c r="G1802" s="8" t="n">
        <v>0.04</v>
      </c>
      <c r="H1802" s="13" t="inlineStr">
        <is>
          <t>War of the Spark (WAR)</t>
        </is>
      </c>
      <c r="I1802" s="13" t="inlineStr">
        <is>
          <t>Não</t>
        </is>
      </c>
      <c r="J1802" s="13" t="n">
        <v>2019</v>
      </c>
      <c r="K1802" s="10" t="n">
        <v>46054</v>
      </c>
      <c r="L1802" s="13" t="n">
        <v>1</v>
      </c>
      <c r="M1802" s="8">
        <f>L1802*G1802</f>
        <v/>
      </c>
      <c r="P1802" s="9" t="n"/>
    </row>
    <row r="1803">
      <c r="A1803" s="13" t="inlineStr">
        <is>
          <t>League Guildmage / Maga da Guilda da Liga</t>
        </is>
      </c>
      <c r="B1803" s="13" t="inlineStr">
        <is>
          <t>Creature — Human Wizard / Criatura — Humano Mago</t>
        </is>
      </c>
      <c r="C1803" s="13" t="inlineStr">
        <is>
          <t>Uncommon / Incomum</t>
        </is>
      </c>
      <c r="D1803" s="13"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1803" s="13" t="inlineStr">
        <is>
          <t>{U}{R}</t>
        </is>
      </c>
      <c r="F1803" s="13" t="inlineStr">
        <is>
          <t>Vermelho, Azul</t>
        </is>
      </c>
      <c r="G1803" s="8" t="n">
        <v>0.04</v>
      </c>
      <c r="H1803" s="13" t="inlineStr">
        <is>
          <t>Guilds of Ravnica (GRN)</t>
        </is>
      </c>
      <c r="I1803" s="13" t="inlineStr">
        <is>
          <t>Não</t>
        </is>
      </c>
      <c r="J1803" s="13" t="n">
        <v>2018</v>
      </c>
      <c r="K1803" s="10" t="n">
        <v>46055</v>
      </c>
      <c r="L1803" s="13" t="n">
        <v>1</v>
      </c>
      <c r="M1803" s="8">
        <f>L1803*G1803</f>
        <v/>
      </c>
      <c r="P1803" s="9" t="n"/>
    </row>
    <row r="1804">
      <c r="A1804" s="13" t="inlineStr">
        <is>
          <t>Leatherhead, Swamp Stalker</t>
        </is>
      </c>
      <c r="B1804" s="13" t="inlineStr">
        <is>
          <t>Legendary Creature — Crocodile Mutant Rogue</t>
        </is>
      </c>
      <c r="C1804" s="13" t="inlineStr">
        <is>
          <t>Rare / Rara</t>
        </is>
      </c>
      <c r="D1804" s="13" t="inlineStr">
        <is>
          <t>Trample Leatherhead enters with a hexproof counter on her. Whenever Leatherhead deals combat damage to a player, you may remove a counter from her. When you do, destroy target artifact or enchantment that player controls.</t>
        </is>
      </c>
      <c r="E1804" s="13" t="inlineStr">
        <is>
          <t>{2}{G}{G}</t>
        </is>
      </c>
      <c r="F1804" s="13" t="inlineStr">
        <is>
          <t>Verde</t>
        </is>
      </c>
      <c r="G1804" s="8" t="n">
        <v>3.44</v>
      </c>
      <c r="H1804" s="13" t="inlineStr">
        <is>
          <t>Teenage Mutant Ninja Turtles (TMT)</t>
        </is>
      </c>
      <c r="I1804" s="13" t="inlineStr">
        <is>
          <t>Não</t>
        </is>
      </c>
      <c r="J1804" s="13" t="n">
        <v>2026</v>
      </c>
      <c r="K1804" s="10" t="n">
        <v>46117</v>
      </c>
      <c r="L1804" s="13" t="n">
        <v>1</v>
      </c>
      <c r="M1804" s="8">
        <f>L1804*G1804</f>
        <v/>
      </c>
      <c r="P1804" s="9" t="n"/>
    </row>
    <row r="1805">
      <c r="A1805" s="13" t="inlineStr">
        <is>
          <t>Leave // Chance / Deixar // Acaso</t>
        </is>
      </c>
      <c r="B1805" s="13" t="inlineStr">
        <is>
          <t>Instant // Sorcery / Mágica Instantânea</t>
        </is>
      </c>
      <c r="C1805" s="13" t="inlineStr">
        <is>
          <t>Rare / Rara</t>
        </is>
      </c>
      <c r="D1805" s="13"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1805" s="13" t="inlineStr">
        <is>
          <t>{1}{W} // {3}{R}</t>
        </is>
      </c>
      <c r="F1805" s="13" t="inlineStr">
        <is>
          <t>Vermelho, Branco</t>
        </is>
      </c>
      <c r="G1805" s="8" t="n">
        <v>0.2</v>
      </c>
      <c r="H1805" s="13" t="inlineStr">
        <is>
          <t>Hour of Devastation (HOU)</t>
        </is>
      </c>
      <c r="I1805" s="13" t="inlineStr">
        <is>
          <t>Não</t>
        </is>
      </c>
      <c r="J1805" s="13" t="n">
        <v>2017</v>
      </c>
      <c r="L1805" s="13" t="n">
        <v>1</v>
      </c>
      <c r="M1805" s="8">
        <f>L1805*G1805</f>
        <v/>
      </c>
      <c r="P1805" s="9" t="n"/>
    </row>
    <row r="1806">
      <c r="A1806" s="13" t="inlineStr">
        <is>
          <t>Leave No Trace / Sem vestígios</t>
        </is>
      </c>
      <c r="B1806" s="13" t="inlineStr">
        <is>
          <t>Instant / Mágica Instantânea</t>
        </is>
      </c>
      <c r="C1806" s="13" t="inlineStr">
        <is>
          <t>Common / Comum</t>
        </is>
      </c>
      <c r="D1806" s="13" t="inlineStr">
        <is>
          <t>Radiance — Destroy target enchantment and each other enchantment that shares a color with it. / Radiação Destrói o encantamento alvo e cada outro encantamento que compartilhe uma cor com ele.</t>
        </is>
      </c>
      <c r="E1806" s="13" t="inlineStr">
        <is>
          <t>{1}{W}</t>
        </is>
      </c>
      <c r="F1806" s="13" t="inlineStr">
        <is>
          <t>Branco</t>
        </is>
      </c>
      <c r="G1806" s="8" t="n">
        <v>0.4</v>
      </c>
      <c r="H1806" s="13" t="inlineStr">
        <is>
          <t>Ravnica: City of Guilds (RAV)</t>
        </is>
      </c>
      <c r="I1806" s="13" t="inlineStr">
        <is>
          <t>Não</t>
        </is>
      </c>
      <c r="J1806" s="13" t="n">
        <v>2005</v>
      </c>
      <c r="L1806" s="13" t="n">
        <v>3</v>
      </c>
      <c r="M1806" s="8">
        <f>L1806*G1806</f>
        <v/>
      </c>
      <c r="P1806" s="9" t="n"/>
    </row>
    <row r="1807">
      <c r="A1807" s="13" t="inlineStr">
        <is>
          <t>Leaves from the Vine</t>
        </is>
      </c>
      <c r="B1807" s="13" t="inlineStr">
        <is>
          <t>Enchantment — Saga</t>
        </is>
      </c>
      <c r="C1807" s="13" t="inlineStr">
        <is>
          <t>Uncommon / Incomum</t>
        </is>
      </c>
      <c r="D1807" s="13"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1807" s="13" t="inlineStr">
        <is>
          <t>{1}{G}</t>
        </is>
      </c>
      <c r="F1807" s="13" t="inlineStr">
        <is>
          <t>Verde</t>
        </is>
      </c>
      <c r="G1807" s="8" t="n">
        <v>0.2</v>
      </c>
      <c r="H1807" s="13" t="inlineStr">
        <is>
          <t>Avatar: The Last Airbender (TLA)</t>
        </is>
      </c>
      <c r="I1807" s="13" t="inlineStr">
        <is>
          <t>Não</t>
        </is>
      </c>
      <c r="J1807" s="13" t="n">
        <v>2025</v>
      </c>
      <c r="L1807" s="13" t="n">
        <v>1</v>
      </c>
      <c r="M1807" s="8">
        <f>L1807*G1807</f>
        <v/>
      </c>
      <c r="P1807" s="9" t="n"/>
    </row>
    <row r="1808">
      <c r="A1808" s="13" t="inlineStr">
        <is>
          <t>Leech Bonder / Aplicador de Sanguessuga</t>
        </is>
      </c>
      <c r="B1808" s="13" t="inlineStr">
        <is>
          <t>Creature — Merfolk Soldier / Criatura — Tritão Soldado</t>
        </is>
      </c>
      <c r="C1808" s="13" t="inlineStr">
        <is>
          <t>Uncommon / Incomum</t>
        </is>
      </c>
      <c r="D1808" s="13"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808" s="13" t="inlineStr">
        <is>
          <t>{2}{U}</t>
        </is>
      </c>
      <c r="F1808" s="13" t="inlineStr">
        <is>
          <t>Azul</t>
        </is>
      </c>
      <c r="G1808" s="8" t="n">
        <v>0.08</v>
      </c>
      <c r="H1808" s="13" t="inlineStr">
        <is>
          <t>Shadowmoor (SHM)</t>
        </is>
      </c>
      <c r="I1808" s="13" t="inlineStr">
        <is>
          <t>Não</t>
        </is>
      </c>
      <c r="J1808" s="13" t="n">
        <v>2008</v>
      </c>
      <c r="K1808" s="10" t="n">
        <v>46084</v>
      </c>
      <c r="L1808" s="13" t="n">
        <v>1</v>
      </c>
      <c r="M1808" s="8">
        <f>L1808*G1808</f>
        <v/>
      </c>
      <c r="P1808" s="9" t="n"/>
    </row>
    <row r="1809">
      <c r="A1809" s="13" t="inlineStr">
        <is>
          <t>Leeches / Sanguessugas</t>
        </is>
      </c>
      <c r="B1809" s="13" t="inlineStr">
        <is>
          <t>Sorcery</t>
        </is>
      </c>
      <c r="C1809" s="13" t="inlineStr">
        <is>
          <t>Rare / Rara</t>
        </is>
      </c>
      <c r="D1809" s="13" t="inlineStr">
        <is>
          <t>Target player loses all poison counters. Leeches deals that much damage to that player.</t>
        </is>
      </c>
      <c r="E1809" s="13" t="inlineStr">
        <is>
          <t>{1}{W}{W}</t>
        </is>
      </c>
      <c r="F1809" s="13" t="inlineStr">
        <is>
          <t>Branco</t>
        </is>
      </c>
      <c r="G1809" s="8" t="n">
        <v>2.79</v>
      </c>
      <c r="H1809" s="13" t="inlineStr">
        <is>
          <t>Homelands (HML)</t>
        </is>
      </c>
      <c r="I1809" s="13" t="inlineStr">
        <is>
          <t>Não</t>
        </is>
      </c>
      <c r="J1809" s="13" t="n">
        <v>1995</v>
      </c>
      <c r="L1809" s="13" t="n">
        <v>1</v>
      </c>
      <c r="M1809" s="8">
        <f>L1809*G1809</f>
        <v/>
      </c>
      <c r="N1809" s="13" t="inlineStr">
        <is>
          <t>Pasta</t>
        </is>
      </c>
      <c r="P1809" s="9" t="n"/>
    </row>
    <row r="1810">
      <c r="A1810" s="13" t="inlineStr">
        <is>
          <t>Legion Conquistador / Conquistador da Legião</t>
        </is>
      </c>
      <c r="B1810" s="13" t="inlineStr">
        <is>
          <t>Creature — Vampire Soldier / Criatura — Vampiro Soldado</t>
        </is>
      </c>
      <c r="C1810" s="13" t="inlineStr">
        <is>
          <t>Common / Comum</t>
        </is>
      </c>
      <c r="D1810" s="13"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810" s="13" t="inlineStr">
        <is>
          <t>{2}{W}</t>
        </is>
      </c>
      <c r="F1810" s="13" t="inlineStr">
        <is>
          <t>Branco</t>
        </is>
      </c>
      <c r="G1810" s="8" t="n">
        <v>0.03</v>
      </c>
      <c r="H1810" s="13" t="inlineStr">
        <is>
          <t>Ixalan (XLN)</t>
        </is>
      </c>
      <c r="I1810" s="13" t="inlineStr">
        <is>
          <t>Não</t>
        </is>
      </c>
      <c r="J1810" s="13" t="n">
        <v>2017</v>
      </c>
      <c r="K1810" s="10" t="n">
        <v>46055</v>
      </c>
      <c r="L1810" s="13" t="n">
        <v>1</v>
      </c>
      <c r="M1810" s="8">
        <f>L1810*G1810</f>
        <v/>
      </c>
      <c r="P1810" s="9" t="n"/>
    </row>
    <row r="1811">
      <c r="A1811" s="13" t="inlineStr">
        <is>
          <t>Legion Conquistador / Conquistador da Legião</t>
        </is>
      </c>
      <c r="B1811" s="13" t="inlineStr">
        <is>
          <t>Creature — Vampire Soldier / Criatura — Vampiro Soldado</t>
        </is>
      </c>
      <c r="C1811" s="13" t="inlineStr">
        <is>
          <t>Common / Comum</t>
        </is>
      </c>
      <c r="D1811" s="13"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811" s="13" t="inlineStr">
        <is>
          <t>{2}{W}</t>
        </is>
      </c>
      <c r="F1811" s="13" t="inlineStr">
        <is>
          <t>Branco</t>
        </is>
      </c>
      <c r="G1811" s="8" t="n">
        <v>0.03</v>
      </c>
      <c r="H1811" s="13" t="inlineStr">
        <is>
          <t>Rivals of Ixalan (RIX)</t>
        </is>
      </c>
      <c r="I1811" s="13" t="inlineStr">
        <is>
          <t>Não</t>
        </is>
      </c>
      <c r="J1811" s="13" t="n">
        <v>2018</v>
      </c>
      <c r="K1811" s="10" t="n">
        <v>46055</v>
      </c>
      <c r="L1811" s="13" t="n">
        <v>7</v>
      </c>
      <c r="M1811" s="8">
        <f>L1811*G1811</f>
        <v/>
      </c>
      <c r="P1811" s="9" t="n"/>
    </row>
    <row r="1812">
      <c r="A1812" s="13" t="inlineStr">
        <is>
          <t>Legions of Lim-Dûl / Legiões de Lim-Dûl</t>
        </is>
      </c>
      <c r="B1812" s="13" t="inlineStr">
        <is>
          <t>Creature — Zombie</t>
        </is>
      </c>
      <c r="C1812" s="13" t="inlineStr">
        <is>
          <t>Common / Comum</t>
        </is>
      </c>
      <c r="D1812" s="13" t="inlineStr">
        <is>
          <t>Snow swampwalk (This creature can't be blocked as long as defending player controls a snow Swamp.)</t>
        </is>
      </c>
      <c r="E1812" s="13" t="inlineStr">
        <is>
          <t>{1}{B}{B}</t>
        </is>
      </c>
      <c r="F1812" s="13" t="inlineStr">
        <is>
          <t>Preto</t>
        </is>
      </c>
      <c r="G1812" s="8" t="n">
        <v>0.05</v>
      </c>
      <c r="H1812" s="13" t="inlineStr">
        <is>
          <t>Ice Age (ICE)</t>
        </is>
      </c>
      <c r="I1812" s="13" t="inlineStr">
        <is>
          <t>Não</t>
        </is>
      </c>
      <c r="J1812" s="13" t="n">
        <v>1995</v>
      </c>
      <c r="K1812" s="10" t="n">
        <v>46083</v>
      </c>
      <c r="L1812" s="13" t="n">
        <v>2</v>
      </c>
      <c r="M1812" s="8">
        <f>L1812*G1812</f>
        <v/>
      </c>
      <c r="P1812" s="9" t="n"/>
    </row>
    <row r="1813">
      <c r="A1813" s="13" t="inlineStr">
        <is>
          <t>Legolas, Contador de Abates / Legolas, Counter of Kills</t>
        </is>
      </c>
      <c r="B1813" s="13" t="inlineStr">
        <is>
          <t>Criatura Lendária — Elfo Arqueiro</t>
        </is>
      </c>
      <c r="C1813" s="13" t="inlineStr">
        <is>
          <t>Incomum</t>
        </is>
      </c>
      <c r="D1813" s="13"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1813" s="8" t="n">
        <v>0.25</v>
      </c>
      <c r="H1813" s="13" t="inlineStr">
        <is>
          <t>The Lord of the Rings: Tales of Middle-earth (LTR)</t>
        </is>
      </c>
      <c r="I1813" s="13" t="inlineStr">
        <is>
          <t>Não</t>
        </is>
      </c>
      <c r="J1813" s="13" t="n">
        <v>2023</v>
      </c>
      <c r="K1813" s="10" t="n">
        <v>46083</v>
      </c>
      <c r="L1813" s="13" t="n">
        <v>2</v>
      </c>
      <c r="M1813" s="8">
        <f>L1813*G1813</f>
        <v/>
      </c>
      <c r="P1813" s="9" t="n"/>
    </row>
    <row r="1814">
      <c r="A1814" s="13" t="inlineStr">
        <is>
          <t>Legolas, Contador de Abates / Legolas, Counter of Kills</t>
        </is>
      </c>
      <c r="B1814" s="13" t="inlineStr">
        <is>
          <t>Criatura Lendária — Elfo Arqueiro</t>
        </is>
      </c>
      <c r="C1814" s="13" t="inlineStr">
        <is>
          <t>Incomum</t>
        </is>
      </c>
      <c r="D1814" s="13"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1814" s="8" t="n">
        <v>0.18</v>
      </c>
      <c r="H1814" s="13" t="inlineStr">
        <is>
          <t>The Lord of the Rings: Tales of Middle-earth (LTR)</t>
        </is>
      </c>
      <c r="I1814" s="13" t="inlineStr">
        <is>
          <t>Não</t>
        </is>
      </c>
      <c r="J1814" s="13" t="n">
        <v>2023</v>
      </c>
      <c r="K1814" s="10" t="n">
        <v>46083</v>
      </c>
      <c r="L1814" s="13" t="n">
        <v>1</v>
      </c>
      <c r="M1814" s="8">
        <f>L1814*G1814</f>
        <v/>
      </c>
      <c r="P1814" s="9" t="n"/>
    </row>
    <row r="1815">
      <c r="A1815" s="13" t="inlineStr">
        <is>
          <t>Leia os Ossos / Read the Bones</t>
        </is>
      </c>
      <c r="B1815" s="13" t="inlineStr">
        <is>
          <t>Feitiço / Sorcery</t>
        </is>
      </c>
      <c r="C1815" s="13" t="inlineStr">
        <is>
          <t>Comum / Common</t>
        </is>
      </c>
      <c r="D1815" s="13"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815" s="13" t="inlineStr">
        <is>
          <t>{2}{B}</t>
        </is>
      </c>
      <c r="F1815" s="13" t="inlineStr">
        <is>
          <t>Preto / Black</t>
        </is>
      </c>
      <c r="G1815" s="8" t="n">
        <v>0.32</v>
      </c>
      <c r="H1815" s="13" t="inlineStr">
        <is>
          <t>Magic Origins (ORI)</t>
        </is>
      </c>
      <c r="I1815" s="13" t="inlineStr">
        <is>
          <t>Não</t>
        </is>
      </c>
      <c r="J1815" s="13" t="n">
        <v>2015</v>
      </c>
      <c r="L1815" s="13" t="n">
        <v>3</v>
      </c>
      <c r="M1815" s="8">
        <f>L1815*G1815</f>
        <v/>
      </c>
      <c r="P1815" s="9" t="n"/>
    </row>
    <row r="1816">
      <c r="A1816" s="13" t="inlineStr">
        <is>
          <t>Lens Flare / Reflexo da Lente</t>
        </is>
      </c>
      <c r="B1816" s="13" t="inlineStr">
        <is>
          <t>Instant / Mágica Instantânea</t>
        </is>
      </c>
      <c r="C1816" s="13" t="inlineStr">
        <is>
          <t>Common / Comum</t>
        </is>
      </c>
      <c r="D1816" s="13"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1816" s="13" t="inlineStr">
        <is>
          <t>{4}{W}</t>
        </is>
      </c>
      <c r="F1816" s="13" t="inlineStr">
        <is>
          <t>Branco</t>
        </is>
      </c>
      <c r="G1816" s="8" t="n">
        <v>0.04</v>
      </c>
      <c r="H1816" s="13" t="inlineStr">
        <is>
          <t>Modern Horizons 2 (MH2)</t>
        </is>
      </c>
      <c r="I1816" s="13" t="inlineStr">
        <is>
          <t>Não</t>
        </is>
      </c>
      <c r="J1816" s="13" t="n">
        <v>2021</v>
      </c>
      <c r="L1816" s="13" t="n">
        <v>1</v>
      </c>
      <c r="M1816" s="8">
        <f>L1816*G1816</f>
        <v/>
      </c>
      <c r="P1816" s="9" t="n"/>
    </row>
    <row r="1817">
      <c r="A1817" s="13" t="inlineStr">
        <is>
          <t>Lente de Aumento / Magnifying Glass</t>
        </is>
      </c>
      <c r="B1817" s="13" t="inlineStr">
        <is>
          <t>Artifact / Artefato</t>
        </is>
      </c>
      <c r="C1817" s="13" t="inlineStr">
        <is>
          <t>Common / Comum</t>
        </is>
      </c>
      <c r="D1817" s="13" t="inlineStr">
        <is>
          <t>{T}: Add {C}. {4}, {T}: Investigate. (Create a Clue token. It's an artifact with “{2}, Sacrifice this artifact: Draw a card.”) / {T}: Adicione {C}. {4}, {T}: Investigue. (Crie uma ficha de Pista. Ela é um artefato com “{2}, Sacrifique este artefato: Compre um card”.)</t>
        </is>
      </c>
      <c r="E1817" s="13" t="inlineStr">
        <is>
          <t>{3}</t>
        </is>
      </c>
      <c r="F1817" s="13" t="inlineStr">
        <is>
          <t>Incolor</t>
        </is>
      </c>
      <c r="G1817" s="8" t="n">
        <v>0.09</v>
      </c>
      <c r="H1817" s="13" t="inlineStr">
        <is>
          <t>Murders at Karlov Manor (MKM)</t>
        </is>
      </c>
      <c r="I1817" s="13" t="inlineStr">
        <is>
          <t>No</t>
        </is>
      </c>
      <c r="J1817" s="13" t="n">
        <v>2024</v>
      </c>
      <c r="L1817" s="13" t="n">
        <v>1</v>
      </c>
      <c r="M1817" s="8">
        <f>L1817*G1817</f>
        <v/>
      </c>
      <c r="P1817" s="9" t="n"/>
    </row>
    <row r="1818">
      <c r="A1818" s="13" t="inlineStr">
        <is>
          <t>Leo's Guidance / Orientação de Leo</t>
        </is>
      </c>
      <c r="B1818" s="13" t="inlineStr">
        <is>
          <t>Mágica Instantânea</t>
        </is>
      </c>
      <c r="C1818" s="13" t="inlineStr">
        <is>
          <t>Incomum</t>
        </is>
      </c>
      <c r="D1818" s="13" t="inlineStr">
        <is>
          <t>Coloque um marcador +1/+1 em cada uma de até três criaturas alvo. Desvire-as.</t>
        </is>
      </c>
      <c r="E1818" s="13" t="inlineStr">
        <is>
          <t>2{W}</t>
        </is>
      </c>
      <c r="F1818" s="13" t="inlineStr">
        <is>
          <t>Branco</t>
        </is>
      </c>
      <c r="G1818" s="8" t="n">
        <v>1.3</v>
      </c>
      <c r="H1818" s="13" t="inlineStr">
        <is>
          <t>Teenage Mutant Ninja Turtles</t>
        </is>
      </c>
      <c r="I1818" s="13" t="inlineStr">
        <is>
          <t>Não</t>
        </is>
      </c>
      <c r="J1818" s="13" t="n">
        <v>2026</v>
      </c>
      <c r="L1818" s="13" t="n">
        <v>2</v>
      </c>
      <c r="M1818" s="8">
        <f>L1818*G1818</f>
        <v/>
      </c>
      <c r="P1818" s="9" t="n"/>
    </row>
    <row r="1819">
      <c r="A1819" s="13" t="inlineStr">
        <is>
          <t>Leonardo, Big Brother</t>
        </is>
      </c>
      <c r="B1819" s="13" t="inlineStr">
        <is>
          <t>Legendary Creature — Mutant Ninja Turtle</t>
        </is>
      </c>
      <c r="C1819" s="13" t="inlineStr">
        <is>
          <t>Common / Comum</t>
        </is>
      </c>
      <c r="D1819" s="13" t="inlineStr">
        <is>
          <t>Sneak {W} (You may cast this spell for {W} if you also return an unblocked attacker you control to hand during the declare blockers step. He enters tapped and attacking.) Leonardo gets +1/+0 for each other creature you control.</t>
        </is>
      </c>
      <c r="E1819" s="13" t="inlineStr">
        <is>
          <t>{2}{W}</t>
        </is>
      </c>
      <c r="F1819" s="13" t="inlineStr">
        <is>
          <t>Branco</t>
        </is>
      </c>
      <c r="G1819" s="8" t="n">
        <v>1.7</v>
      </c>
      <c r="H1819" s="13" t="inlineStr">
        <is>
          <t>Teenage Mutant Ninja Turtles (TMT)</t>
        </is>
      </c>
      <c r="I1819" s="13" t="inlineStr">
        <is>
          <t>Não</t>
        </is>
      </c>
      <c r="J1819" s="13" t="n">
        <v>2026</v>
      </c>
      <c r="K1819" s="10" t="n">
        <v>46082</v>
      </c>
      <c r="L1819" s="13" t="n">
        <v>1</v>
      </c>
      <c r="M1819" s="8">
        <f>L1819*G1819</f>
        <v/>
      </c>
      <c r="P1819" s="9" t="n"/>
    </row>
    <row r="1820">
      <c r="A1820" s="13" t="inlineStr">
        <is>
          <t>Leonardo, Leader in Blue</t>
        </is>
      </c>
      <c r="B1820" s="13" t="inlineStr">
        <is>
          <t>Legendary Creature — Mutant Ninja Turtle</t>
        </is>
      </c>
      <c r="C1820" s="13" t="inlineStr">
        <is>
          <t>Uncommon / Incomum</t>
        </is>
      </c>
      <c r="D1820" s="13"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1820" s="13" t="inlineStr">
        <is>
          <t>{W}</t>
        </is>
      </c>
      <c r="F1820" s="13" t="inlineStr">
        <is>
          <t>Branco</t>
        </is>
      </c>
      <c r="G1820" s="8" t="n">
        <v>0.6</v>
      </c>
      <c r="H1820" s="13" t="inlineStr">
        <is>
          <t>Teenage Mutant Ninja Turtles (TMT)</t>
        </is>
      </c>
      <c r="I1820" s="13" t="inlineStr">
        <is>
          <t>Sim</t>
        </is>
      </c>
      <c r="J1820" s="13" t="n">
        <v>2026</v>
      </c>
      <c r="K1820" s="10" t="n">
        <v>46024</v>
      </c>
      <c r="L1820" s="13" t="n">
        <v>1</v>
      </c>
      <c r="M1820" s="8">
        <f>L1820*G1820</f>
        <v/>
      </c>
      <c r="P1820" s="9" t="n"/>
    </row>
    <row r="1821">
      <c r="A1821" s="13" t="inlineStr">
        <is>
          <t>Leonin Snarecaster / Lançador de Redes Leonino</t>
        </is>
      </c>
      <c r="B1821" s="13" t="inlineStr">
        <is>
          <t>Criatura — Gato Soldado</t>
        </is>
      </c>
      <c r="C1821" s="13" t="inlineStr">
        <is>
          <t>Comum</t>
        </is>
      </c>
      <c r="D1821" s="13" t="inlineStr">
        <is>
          <t>Quando Lançador de Redes Leonino entra no campo de batalha, você pode virar a criatura alvo.</t>
        </is>
      </c>
      <c r="E1821" s="13" t="inlineStr">
        <is>
          <t>1W</t>
        </is>
      </c>
      <c r="F1821" s="13" t="inlineStr">
        <is>
          <t>Branco</t>
        </is>
      </c>
      <c r="G1821" s="8" t="n">
        <v>0.06</v>
      </c>
      <c r="H1821" s="13" t="inlineStr">
        <is>
          <t>Duel Decks: Speed vs. Cunning</t>
        </is>
      </c>
      <c r="I1821" s="13" t="inlineStr">
        <is>
          <t>Não</t>
        </is>
      </c>
      <c r="J1821" s="13" t="n">
        <v>2014</v>
      </c>
      <c r="K1821" s="10" t="n">
        <v>46024</v>
      </c>
      <c r="L1821" s="13" t="n">
        <v>2</v>
      </c>
      <c r="M1821" s="8">
        <f>L1821*G1821</f>
        <v/>
      </c>
      <c r="P1821" s="9" t="n"/>
    </row>
    <row r="1822">
      <c r="A1822" s="13" t="inlineStr">
        <is>
          <t>Lethal Exploit / Façanha Letal</t>
        </is>
      </c>
      <c r="B1822" s="13" t="inlineStr">
        <is>
          <t>Instant / Mágica Instantânea</t>
        </is>
      </c>
      <c r="C1822" s="13" t="inlineStr">
        <is>
          <t>Common / Comum</t>
        </is>
      </c>
      <c r="D1822" s="13"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1822" s="13" t="inlineStr">
        <is>
          <t>{1}{B}</t>
        </is>
      </c>
      <c r="F1822" s="13" t="inlineStr">
        <is>
          <t>Preto</t>
        </is>
      </c>
      <c r="G1822" s="8" t="n">
        <v>0.06</v>
      </c>
      <c r="H1822" s="13" t="inlineStr">
        <is>
          <t>Kamigawa: Neon Dynasty (NEO)</t>
        </is>
      </c>
      <c r="I1822" s="13" t="inlineStr">
        <is>
          <t>Não</t>
        </is>
      </c>
      <c r="J1822" s="13" t="n">
        <v>2022</v>
      </c>
      <c r="L1822" s="13" t="n">
        <v>1</v>
      </c>
      <c r="M1822" s="8">
        <f>L1822*G1822</f>
        <v/>
      </c>
      <c r="P1822" s="9" t="n"/>
    </row>
    <row r="1823">
      <c r="A1823" s="13" t="inlineStr">
        <is>
          <t>Lich's Caress / Carícia do Lich</t>
        </is>
      </c>
      <c r="B1823" s="13" t="inlineStr">
        <is>
          <t>Sorcery / Feitiço</t>
        </is>
      </c>
      <c r="C1823" s="13" t="inlineStr">
        <is>
          <t>Common / Comum</t>
        </is>
      </c>
      <c r="D1823" s="13" t="inlineStr">
        <is>
          <t>Destroy target creature. You gain 3 life. / Destrua a criatura alvo. Você ganha 3 pontos de vida.</t>
        </is>
      </c>
      <c r="E1823" s="13" t="inlineStr">
        <is>
          <t>{3}{B}{B}</t>
        </is>
      </c>
      <c r="F1823" s="13" t="inlineStr">
        <is>
          <t>Preto</t>
        </is>
      </c>
      <c r="G1823" s="8" t="n">
        <v>0.03</v>
      </c>
      <c r="H1823" s="13" t="inlineStr">
        <is>
          <t>Core Set 2019 (M19)</t>
        </is>
      </c>
      <c r="I1823" s="13" t="inlineStr">
        <is>
          <t>Não</t>
        </is>
      </c>
      <c r="J1823" s="13" t="n">
        <v>2018</v>
      </c>
      <c r="L1823" s="13" t="n">
        <v>1</v>
      </c>
      <c r="M1823" s="8">
        <f>L1823*G1823</f>
        <v/>
      </c>
      <c r="P1823" s="9" t="n"/>
    </row>
    <row r="1824">
      <c r="A1824" s="13" t="inlineStr">
        <is>
          <t>Lich's Mastery / Maestria do Lich</t>
        </is>
      </c>
      <c r="B1824" s="13" t="inlineStr">
        <is>
          <t>Legendary Enchantment / Encantamento Lendário</t>
        </is>
      </c>
      <c r="C1824" s="13" t="inlineStr">
        <is>
          <t>Rare / Rara</t>
        </is>
      </c>
      <c r="D1824" s="13"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1824" s="13" t="inlineStr">
        <is>
          <t>{3}{B}{B}{B}</t>
        </is>
      </c>
      <c r="F1824" s="13" t="inlineStr">
        <is>
          <t>Preto</t>
        </is>
      </c>
      <c r="G1824" s="8" t="n">
        <v>0.34</v>
      </c>
      <c r="H1824" s="13" t="inlineStr">
        <is>
          <t>Dominaria (DOM)</t>
        </is>
      </c>
      <c r="I1824" s="13" t="inlineStr">
        <is>
          <t>Não</t>
        </is>
      </c>
      <c r="J1824" s="13" t="n">
        <v>2018</v>
      </c>
      <c r="L1824" s="13" t="n">
        <v>1</v>
      </c>
      <c r="M1824" s="8">
        <f>L1824*G1824</f>
        <v/>
      </c>
      <c r="P1824" s="9" t="n"/>
    </row>
    <row r="1825">
      <c r="A1825" s="13" t="inlineStr">
        <is>
          <t>Lifecreed Duo</t>
        </is>
      </c>
      <c r="B1825" s="13" t="inlineStr">
        <is>
          <t>Creature — Bat Bird</t>
        </is>
      </c>
      <c r="C1825" s="13" t="inlineStr">
        <is>
          <t>Common / Comum</t>
        </is>
      </c>
      <c r="D1825" s="13" t="inlineStr">
        <is>
          <t>Flying Whenever another creature you control enters, you gain 1 life.</t>
        </is>
      </c>
      <c r="E1825" s="13" t="inlineStr">
        <is>
          <t>{1}{W}</t>
        </is>
      </c>
      <c r="F1825" s="13" t="inlineStr">
        <is>
          <t>Branco</t>
        </is>
      </c>
      <c r="G1825" s="8" t="n">
        <v>0.25</v>
      </c>
      <c r="H1825" s="13" t="inlineStr">
        <is>
          <t>Bloomburrow (BLB)</t>
        </is>
      </c>
      <c r="I1825" s="13" t="inlineStr">
        <is>
          <t>Sim</t>
        </is>
      </c>
      <c r="J1825" s="13" t="n">
        <v>2024</v>
      </c>
      <c r="K1825" s="10" t="n">
        <v>46054</v>
      </c>
      <c r="L1825" s="13" t="n">
        <v>4</v>
      </c>
      <c r="M1825" s="8">
        <f>L1825*G1825</f>
        <v/>
      </c>
      <c r="P1825" s="9" t="n"/>
    </row>
    <row r="1826">
      <c r="A1826" s="13" t="inlineStr">
        <is>
          <t>Lifelink / Vínculo com a Vida</t>
        </is>
      </c>
      <c r="B1826" s="13" t="inlineStr">
        <is>
          <t>Enchantment — Aura / Encantamento — Aura</t>
        </is>
      </c>
      <c r="C1826" s="13" t="inlineStr">
        <is>
          <t>Common / Comum</t>
        </is>
      </c>
      <c r="D1826" s="13"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26" s="13" t="inlineStr">
        <is>
          <t>{W}</t>
        </is>
      </c>
      <c r="F1826" s="13" t="inlineStr">
        <is>
          <t>Branco</t>
        </is>
      </c>
      <c r="G1826" s="8" t="n">
        <v>1.48</v>
      </c>
      <c r="H1826" s="13" t="inlineStr">
        <is>
          <t>Magic 2010 (M10)</t>
        </is>
      </c>
      <c r="I1826" s="13" t="inlineStr">
        <is>
          <t>Não</t>
        </is>
      </c>
      <c r="J1826" s="13" t="n">
        <v>2009</v>
      </c>
      <c r="L1826" s="13" t="n">
        <v>2</v>
      </c>
      <c r="M1826" s="8">
        <f>L1826*G1826</f>
        <v/>
      </c>
      <c r="P1826" s="9" t="n"/>
    </row>
    <row r="1827">
      <c r="A1827" s="13" t="inlineStr">
        <is>
          <t>Light of Judgment / Luz do Julgamento</t>
        </is>
      </c>
      <c r="B1827" s="13" t="inlineStr">
        <is>
          <t>Mágica Instantânea</t>
        </is>
      </c>
      <c r="C1827" s="13" t="inlineStr">
        <is>
          <t>Comum</t>
        </is>
      </c>
      <c r="D1827" s="13" t="inlineStr">
        <is>
          <t>Luz do Julgamento causa 6 de dano à criatura alvo. Destrua até um Equipamento anexado àquela criatura.</t>
        </is>
      </c>
      <c r="E1827" s="13" t="inlineStr">
        <is>
          <t>4R</t>
        </is>
      </c>
      <c r="F1827" s="13" t="inlineStr">
        <is>
          <t>Vermelho</t>
        </is>
      </c>
      <c r="G1827" s="8" t="n">
        <v>0.05</v>
      </c>
      <c r="H1827" s="13" t="inlineStr">
        <is>
          <t>Final Fantasy</t>
        </is>
      </c>
      <c r="I1827" s="13" t="inlineStr">
        <is>
          <t>Não</t>
        </is>
      </c>
      <c r="J1827" s="13" t="n">
        <v>2025</v>
      </c>
      <c r="L1827" s="13" t="n">
        <v>11</v>
      </c>
      <c r="M1827" s="8">
        <f>L1827*G1827</f>
        <v/>
      </c>
      <c r="P1827" s="9" t="n"/>
    </row>
    <row r="1828">
      <c r="A1828" s="13" t="inlineStr">
        <is>
          <t>Lightning Angel / Anjo de Relâmpagos</t>
        </is>
      </c>
      <c r="B1828" s="13" t="inlineStr">
        <is>
          <t>Criatura — Anjo</t>
        </is>
      </c>
      <c r="C1828" s="13" t="inlineStr">
        <is>
          <t>Rara</t>
        </is>
      </c>
      <c r="D1828" s="13" t="inlineStr">
        <is>
          <t>Voar, vigilância, ímpeto</t>
        </is>
      </c>
      <c r="E1828" s="13" t="inlineStr">
        <is>
          <t>1RWU</t>
        </is>
      </c>
      <c r="F1828" s="13" t="inlineStr">
        <is>
          <t>Multicolorido</t>
        </is>
      </c>
      <c r="G1828" s="8" t="n">
        <v>0.9</v>
      </c>
      <c r="H1828" s="13" t="inlineStr">
        <is>
          <t>Duel Decks: Speed vs. Cunning</t>
        </is>
      </c>
      <c r="I1828" s="13" t="inlineStr">
        <is>
          <t>Não</t>
        </is>
      </c>
      <c r="J1828" s="13" t="n">
        <v>2014</v>
      </c>
      <c r="K1828" s="10" t="n">
        <v>46115</v>
      </c>
      <c r="L1828" s="13" t="n">
        <v>1</v>
      </c>
      <c r="M1828" s="8">
        <f>L1828*G1828</f>
        <v/>
      </c>
      <c r="P1828" s="9" t="n"/>
    </row>
    <row r="1829">
      <c r="A1829" s="13" t="inlineStr">
        <is>
          <t>Lightning Helix / Hélice de Raios</t>
        </is>
      </c>
      <c r="B1829" s="13" t="inlineStr">
        <is>
          <t>Mágica Instantânea</t>
        </is>
      </c>
      <c r="C1829" s="13" t="inlineStr">
        <is>
          <t>Incomum</t>
        </is>
      </c>
      <c r="D1829" s="13" t="inlineStr">
        <is>
          <t>Hélice de Raios causa 3 de dano à criatura ou ao jogador alvo e você ganha 3 de vida.</t>
        </is>
      </c>
      <c r="E1829" s="13" t="inlineStr">
        <is>
          <t>RW</t>
        </is>
      </c>
      <c r="F1829" s="13" t="inlineStr">
        <is>
          <t>Multicolorido</t>
        </is>
      </c>
      <c r="G1829" s="8" t="n">
        <v>0.44</v>
      </c>
      <c r="H1829" s="13" t="inlineStr">
        <is>
          <t>Duel Decks: Speed vs. Cunning</t>
        </is>
      </c>
      <c r="I1829" s="13" t="inlineStr">
        <is>
          <t>Não</t>
        </is>
      </c>
      <c r="J1829" s="13" t="n">
        <v>2014</v>
      </c>
      <c r="L1829" s="13" t="n">
        <v>1</v>
      </c>
      <c r="M1829" s="8">
        <f>L1829*G1829</f>
        <v/>
      </c>
      <c r="P1829" s="9" t="n"/>
    </row>
    <row r="1830">
      <c r="A1830" s="13" t="inlineStr">
        <is>
          <t>Lightning Mauler / Esmagador dos Relâmpagos</t>
        </is>
      </c>
      <c r="B1830" s="13" t="inlineStr">
        <is>
          <t>Creature — Human Berserker / Criatura — Humano Amoque</t>
        </is>
      </c>
      <c r="C1830" s="13" t="inlineStr">
        <is>
          <t>Uncommon / Incomum</t>
        </is>
      </c>
      <c r="D1830" s="13"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1830" s="13" t="inlineStr">
        <is>
          <t>{1}{R}</t>
        </is>
      </c>
      <c r="F1830" s="13" t="inlineStr">
        <is>
          <t>Vermelho</t>
        </is>
      </c>
      <c r="G1830" s="8" t="n">
        <v>0.1</v>
      </c>
      <c r="H1830" s="13" t="inlineStr">
        <is>
          <t>Innistrad Remastered (INR)</t>
        </is>
      </c>
      <c r="I1830" s="13" t="inlineStr">
        <is>
          <t>Não</t>
        </is>
      </c>
      <c r="J1830" s="13" t="n">
        <v>2025</v>
      </c>
      <c r="K1830" s="10" t="n">
        <v>46024</v>
      </c>
      <c r="L1830" s="13" t="n">
        <v>1</v>
      </c>
      <c r="M1830" s="8">
        <f>L1830*G1830</f>
        <v/>
      </c>
      <c r="P1830" s="9" t="n"/>
    </row>
    <row r="1831">
      <c r="A1831" s="13" t="inlineStr">
        <is>
          <t>Lightning Strike / Golpe Relampejante</t>
        </is>
      </c>
      <c r="B1831" s="13" t="inlineStr">
        <is>
          <t>Instant / Mágica Instantânea</t>
        </is>
      </c>
      <c r="C1831" s="13" t="inlineStr">
        <is>
          <t>Common / Comum</t>
        </is>
      </c>
      <c r="D1831" s="13" t="inlineStr">
        <is>
          <t>Lightning Strike deals 3 damage to any target. / Golpe Relampejante causa 3 pontos de dano à criatura ou ao jogador alvo.</t>
        </is>
      </c>
      <c r="E1831" s="13" t="inlineStr">
        <is>
          <t>{1}{R}</t>
        </is>
      </c>
      <c r="F1831" s="13" t="inlineStr">
        <is>
          <t>Vermelho</t>
        </is>
      </c>
      <c r="G1831" s="8" t="n">
        <v>0.15</v>
      </c>
      <c r="H1831" s="13" t="inlineStr">
        <is>
          <t>Dominaria United (DMU)</t>
        </is>
      </c>
      <c r="I1831" s="13" t="inlineStr">
        <is>
          <t>Não</t>
        </is>
      </c>
      <c r="J1831" s="13" t="n">
        <v>2022</v>
      </c>
      <c r="L1831" s="13" t="n">
        <v>1</v>
      </c>
      <c r="M1831" s="8">
        <f>L1831*G1831</f>
        <v/>
      </c>
      <c r="P1831" s="9" t="n"/>
    </row>
    <row r="1832">
      <c r="A1832" s="13" t="inlineStr">
        <is>
          <t>Lightning Strike / Golpe Relampejante</t>
        </is>
      </c>
      <c r="B1832" s="13" t="inlineStr">
        <is>
          <t>Instant / Mágica Instantânea</t>
        </is>
      </c>
      <c r="C1832" s="13" t="inlineStr">
        <is>
          <t>Uncommon / Incomum</t>
        </is>
      </c>
      <c r="D1832" s="13" t="inlineStr">
        <is>
          <t>Lightning Strike deals 3 damage to any target. / Golpe Relampejante causa 3 pontos de dano à criatura ou ao jogador alvo.</t>
        </is>
      </c>
      <c r="E1832" s="13" t="inlineStr">
        <is>
          <t>{1}{R}</t>
        </is>
      </c>
      <c r="F1832" s="13" t="inlineStr">
        <is>
          <t>Vermelho</t>
        </is>
      </c>
      <c r="G1832" s="8" t="n">
        <v>0.1</v>
      </c>
      <c r="H1832" s="13" t="inlineStr">
        <is>
          <t>Ixalan (XLN)</t>
        </is>
      </c>
      <c r="I1832" s="13" t="inlineStr">
        <is>
          <t>Não</t>
        </is>
      </c>
      <c r="J1832" s="13" t="n">
        <v>2017</v>
      </c>
      <c r="L1832" s="13" t="n">
        <v>2</v>
      </c>
      <c r="M1832" s="8">
        <f>L1832*G1832</f>
        <v/>
      </c>
      <c r="P1832" s="9" t="n"/>
    </row>
    <row r="1833">
      <c r="A1833" s="13" t="inlineStr">
        <is>
          <t>Lightning Strike / Raio de Solavanco</t>
        </is>
      </c>
      <c r="B1833" s="13" t="inlineStr">
        <is>
          <t>Mágica Instantânea</t>
        </is>
      </c>
      <c r="C1833" s="13" t="inlineStr">
        <is>
          <t>Comum</t>
        </is>
      </c>
      <c r="D1833" s="13" t="inlineStr">
        <is>
          <t>Raio de Solavanco causa 3 de pontos de dano a qualquer alvo.</t>
        </is>
      </c>
      <c r="E1833" s="13" t="inlineStr">
        <is>
          <t>1{R}</t>
        </is>
      </c>
      <c r="F1833" s="13" t="inlineStr">
        <is>
          <t>Vermelho</t>
        </is>
      </c>
      <c r="G1833" s="8" t="n">
        <v>0.13</v>
      </c>
      <c r="H1833" s="13" t="inlineStr">
        <is>
          <t>Marvel</t>
        </is>
      </c>
      <c r="I1833" s="13" t="inlineStr">
        <is>
          <t>Não</t>
        </is>
      </c>
      <c r="J1833" s="13" t="n">
        <v>2026</v>
      </c>
      <c r="L1833" s="13" t="n">
        <v>2</v>
      </c>
      <c r="M1833" s="8">
        <f>L1833*G1833</f>
        <v/>
      </c>
      <c r="P1833" s="9" t="n"/>
    </row>
    <row r="1834">
      <c r="A1834" s="13" t="inlineStr">
        <is>
          <t>Liliana's Specter</t>
        </is>
      </c>
      <c r="B1834" s="13" t="inlineStr">
        <is>
          <t>Creature — Specter</t>
        </is>
      </c>
      <c r="C1834" s="13" t="inlineStr">
        <is>
          <t>Common</t>
        </is>
      </c>
      <c r="D1834" s="13" t="inlineStr">
        <is>
          <t>Flying. When Liliana's Specter enters the battlefield, each opponent discards a card.</t>
        </is>
      </c>
      <c r="E1834" s="13" t="inlineStr">
        <is>
          <t>{1}{B}{B}</t>
        </is>
      </c>
      <c r="F1834" s="13" t="inlineStr">
        <is>
          <t>Preto</t>
        </is>
      </c>
      <c r="G1834" s="8" t="n">
        <v>0.46</v>
      </c>
      <c r="H1834" s="13" t="inlineStr">
        <is>
          <t>Magic 2015 (M15)</t>
        </is>
      </c>
      <c r="I1834" s="13" t="inlineStr">
        <is>
          <t>No</t>
        </is>
      </c>
      <c r="J1834" s="13" t="n">
        <v>2014</v>
      </c>
      <c r="K1834" s="10" t="n">
        <v>46024</v>
      </c>
      <c r="L1834" s="13" t="n">
        <v>4</v>
      </c>
      <c r="M1834" s="8">
        <f>L1834*G1834</f>
        <v/>
      </c>
      <c r="P1834" s="9" t="n"/>
    </row>
    <row r="1835">
      <c r="A1835" s="13" t="inlineStr">
        <is>
          <t>Liliana's Triumph / Triunfo de Liliana</t>
        </is>
      </c>
      <c r="B1835" s="13" t="inlineStr">
        <is>
          <t>Instant / Mágica Instantânea</t>
        </is>
      </c>
      <c r="C1835" s="13" t="inlineStr">
        <is>
          <t>Uncommon / Incomum</t>
        </is>
      </c>
      <c r="D1835" s="13" t="inlineStr">
        <is>
          <t>Each opponent sacrifices a creature of their choice. If you control a Liliana planeswalker, each opponent also discards a card. / Cada oponente sacrifica uma criatura. Se você controla uma planeswalker Liliana, cada oponente também descarta um card.</t>
        </is>
      </c>
      <c r="E1835" s="13" t="inlineStr">
        <is>
          <t>{1}{B}</t>
        </is>
      </c>
      <c r="F1835" s="13" t="inlineStr">
        <is>
          <t>Preto</t>
        </is>
      </c>
      <c r="G1835" s="8" t="n">
        <v>0.29</v>
      </c>
      <c r="H1835" s="13" t="inlineStr">
        <is>
          <t>War of the Spark (WAR)</t>
        </is>
      </c>
      <c r="I1835" s="13" t="inlineStr">
        <is>
          <t>Não</t>
        </is>
      </c>
      <c r="J1835" s="13" t="n">
        <v>2019</v>
      </c>
      <c r="L1835" s="13" t="n">
        <v>2</v>
      </c>
      <c r="M1835" s="8">
        <f>L1835*G1835</f>
        <v/>
      </c>
      <c r="P1835" s="9" t="n"/>
    </row>
    <row r="1836">
      <c r="A1836" s="13" t="inlineStr">
        <is>
          <t>Lim-Dûl's Cohort / Coorte de Lim-Dûl</t>
        </is>
      </c>
      <c r="B1836" s="13" t="inlineStr">
        <is>
          <t>Creature — Zombie</t>
        </is>
      </c>
      <c r="C1836" s="13" t="inlineStr">
        <is>
          <t>Common / Comum</t>
        </is>
      </c>
      <c r="D1836" s="13" t="inlineStr">
        <is>
          <t>Whenever this creature blocks or becomes blocked by a creature, that creature can't be regenerated this turn.</t>
        </is>
      </c>
      <c r="E1836" s="13" t="inlineStr">
        <is>
          <t>{1}{B}{B}</t>
        </is>
      </c>
      <c r="F1836" s="13" t="inlineStr">
        <is>
          <t>Preto</t>
        </is>
      </c>
      <c r="G1836" s="8" t="n">
        <v>0.05</v>
      </c>
      <c r="H1836" s="13" t="inlineStr">
        <is>
          <t>Ice Age (ICE)</t>
        </is>
      </c>
      <c r="I1836" s="13" t="inlineStr">
        <is>
          <t>Não</t>
        </is>
      </c>
      <c r="J1836" s="13" t="n">
        <v>1995</v>
      </c>
      <c r="K1836" s="10" t="n">
        <v>46083</v>
      </c>
      <c r="L1836" s="13" t="n">
        <v>1</v>
      </c>
      <c r="M1836" s="8">
        <f>L1836*G1836</f>
        <v/>
      </c>
      <c r="P1836" s="9" t="n"/>
    </row>
    <row r="1837">
      <c r="A1837" s="13" t="inlineStr">
        <is>
          <t>Lion Heart / Coração de Leão</t>
        </is>
      </c>
      <c r="B1837" s="13" t="inlineStr">
        <is>
          <t>Artefato — Equipamento</t>
        </is>
      </c>
      <c r="C1837" s="13" t="inlineStr">
        <is>
          <t>Incomum</t>
        </is>
      </c>
      <c r="D1837" s="13" t="inlineStr">
        <is>
          <t>Quando este Equipamento entrar, ele causará 2 de dano a qualquer alvo. A criatura equipada recebe +2/+1. Equipar {2}</t>
        </is>
      </c>
      <c r="E1837" s="13" t="n">
        <v>4</v>
      </c>
      <c r="F1837" s="13" t="inlineStr">
        <is>
          <t>Incolor</t>
        </is>
      </c>
      <c r="G1837" s="8" t="n">
        <v>0.15</v>
      </c>
      <c r="H1837" s="13" t="inlineStr">
        <is>
          <t>Final Fantasy</t>
        </is>
      </c>
      <c r="I1837" s="13" t="inlineStr">
        <is>
          <t>Não</t>
        </is>
      </c>
      <c r="J1837" s="13" t="n">
        <v>2025</v>
      </c>
      <c r="L1837" s="13" t="n">
        <v>1</v>
      </c>
      <c r="M1837" s="8">
        <f>L1837*G1837</f>
        <v/>
      </c>
      <c r="P1837" s="9" t="n"/>
    </row>
    <row r="1838">
      <c r="A1838" s="13" t="inlineStr">
        <is>
          <t>Lita, Little Orphan Amphibian</t>
        </is>
      </c>
      <c r="B1838" s="13" t="inlineStr">
        <is>
          <t>Legendary Creature — Mutant Ninja Turtle</t>
        </is>
      </c>
      <c r="C1838" s="13" t="inlineStr">
        <is>
          <t>Uncommon / Incomum</t>
        </is>
      </c>
      <c r="D1838" s="13" t="inlineStr">
        <is>
          <t>Alliance — Whenever another creature you control enters, choose one that hasn't been chosen this turn. • Put a +1/+1 counter on Lita. • Create a Food token. (It's an artifact with "{2}, {T}, Sacrifice this token: You gain 3 life.") • Scry 1.</t>
        </is>
      </c>
      <c r="E1838" s="13" t="inlineStr">
        <is>
          <t>{1}{W}</t>
        </is>
      </c>
      <c r="F1838" s="13" t="inlineStr">
        <is>
          <t>Branco</t>
        </is>
      </c>
      <c r="G1838" s="8" t="n">
        <v>0.1</v>
      </c>
      <c r="H1838" s="13" t="inlineStr">
        <is>
          <t>Teenage Mutant Ninja Turtles (TMT)</t>
        </is>
      </c>
      <c r="I1838" s="13" t="inlineStr">
        <is>
          <t>Não</t>
        </is>
      </c>
      <c r="J1838" s="13" t="n">
        <v>2026</v>
      </c>
      <c r="K1838" s="10" t="n">
        <v>46024</v>
      </c>
      <c r="L1838" s="13" t="n">
        <v>4</v>
      </c>
      <c r="M1838" s="8">
        <f>L1838*G1838</f>
        <v/>
      </c>
      <c r="P1838" s="9" t="n"/>
    </row>
    <row r="1839">
      <c r="A1839" s="13" t="inlineStr">
        <is>
          <t>Living Armor</t>
        </is>
      </c>
      <c r="B1839" s="13" t="inlineStr">
        <is>
          <t>Artifact / Artefato</t>
        </is>
      </c>
      <c r="C1839" s="13" t="inlineStr">
        <is>
          <t>Uncommon / Incomum</t>
        </is>
      </c>
      <c r="D1839" s="13" t="inlineStr">
        <is>
          <t>{T}, Sacrifice this artifact: Put X +0/+1 counters on target creature, where X is that creature's mana value.</t>
        </is>
      </c>
      <c r="E1839" s="13" t="inlineStr">
        <is>
          <t>{4}</t>
        </is>
      </c>
      <c r="F1839" s="13" t="inlineStr">
        <is>
          <t>Incolor</t>
        </is>
      </c>
      <c r="G1839" s="8" t="n">
        <v>0.09</v>
      </c>
      <c r="H1839" s="13" t="inlineStr">
        <is>
          <t>Chronicles</t>
        </is>
      </c>
      <c r="I1839" s="13" t="inlineStr">
        <is>
          <t>Não</t>
        </is>
      </c>
      <c r="J1839" s="13" t="n">
        <v>1995</v>
      </c>
      <c r="L1839" s="13" t="n">
        <v>2</v>
      </c>
      <c r="M1839" s="8">
        <f>L1839*G1839</f>
        <v/>
      </c>
      <c r="P1839" s="9" t="n"/>
    </row>
    <row r="1840">
      <c r="A1840" s="13" t="inlineStr">
        <is>
          <t>Living History / História Viva</t>
        </is>
      </c>
      <c r="B1840" s="13" t="inlineStr">
        <is>
          <t>Enchantment / Encantamento</t>
        </is>
      </c>
      <c r="C1840" s="13" t="inlineStr">
        <is>
          <t>Uncommon / Incomum</t>
        </is>
      </c>
      <c r="D1840" s="13"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1840" s="13" t="inlineStr">
        <is>
          <t>{1}{R}</t>
        </is>
      </c>
      <c r="F1840" s="13" t="inlineStr">
        <is>
          <t>Vermelho</t>
        </is>
      </c>
      <c r="G1840" s="8" t="n">
        <v>0.14</v>
      </c>
      <c r="H1840" s="13" t="inlineStr">
        <is>
          <t>Shadows of Sothia (SOS)</t>
        </is>
      </c>
      <c r="I1840" s="13" t="inlineStr">
        <is>
          <t>No</t>
        </is>
      </c>
      <c r="J1840" s="13" t="n">
        <v>2026</v>
      </c>
      <c r="L1840" s="13" t="n">
        <v>1</v>
      </c>
      <c r="M1840" s="8">
        <f>L1840*G1840</f>
        <v/>
      </c>
      <c r="P1840" s="9" t="n"/>
    </row>
    <row r="1841">
      <c r="A1841" s="13" t="inlineStr">
        <is>
          <t>Living Lightning / Relâmpago Vivo</t>
        </is>
      </c>
      <c r="B1841" s="13" t="inlineStr">
        <is>
          <t>Creature — Elemental Shaman / Criatura — Elemental Xamã</t>
        </is>
      </c>
      <c r="C1841" s="13" t="inlineStr">
        <is>
          <t>Common / Comum</t>
        </is>
      </c>
      <c r="D1841" s="13" t="inlineStr">
        <is>
          <t>When this creature dies, return target instant or sorcery card from your graveyard to your hand. / Quando Relâmpago Vivo morrer, devolva o card de mágica instantânea ou de feitiço alvo de seu cemitério para sua mão.</t>
        </is>
      </c>
      <c r="E1841" s="13" t="inlineStr">
        <is>
          <t>{3}{R}</t>
        </is>
      </c>
      <c r="F1841" s="13" t="inlineStr">
        <is>
          <t>Vermelho</t>
        </is>
      </c>
      <c r="G1841" s="8" t="n">
        <v>0.13</v>
      </c>
      <c r="H1841" s="13" t="inlineStr">
        <is>
          <t>Commander Masters (CMM)</t>
        </is>
      </c>
      <c r="I1841" s="13" t="inlineStr">
        <is>
          <t>Não</t>
        </is>
      </c>
      <c r="J1841" s="13" t="n">
        <v>2023</v>
      </c>
      <c r="K1841" s="10" t="n">
        <v>46056</v>
      </c>
      <c r="L1841" s="13" t="n">
        <v>1</v>
      </c>
      <c r="M1841" s="8">
        <f>L1841*G1841</f>
        <v/>
      </c>
      <c r="P1841" s="9" t="n"/>
    </row>
    <row r="1842">
      <c r="A1842" s="13" t="inlineStr">
        <is>
          <t>Living Phone</t>
        </is>
      </c>
      <c r="B1842" s="13" t="inlineStr">
        <is>
          <t>Artifact Creature — Toy</t>
        </is>
      </c>
      <c r="C1842" s="13" t="inlineStr">
        <is>
          <t>Common / Comum</t>
        </is>
      </c>
      <c r="D1842" s="13" t="inlineStr">
        <is>
          <t>When this creature dies, look at the top five cards of your library. You may reveal a creature card with power 2 or less from among them and put it into your hand. Put the rest on the bottom of your library in a random order.</t>
        </is>
      </c>
      <c r="E1842" s="13" t="inlineStr">
        <is>
          <t>{2}{W}</t>
        </is>
      </c>
      <c r="F1842" s="13" t="inlineStr">
        <is>
          <t>Branco</t>
        </is>
      </c>
      <c r="G1842" s="8" t="n">
        <v>0.05</v>
      </c>
      <c r="H1842" s="13" t="inlineStr">
        <is>
          <t>Duskmourn: House of Horror (DSK)</t>
        </is>
      </c>
      <c r="I1842" s="13" t="inlineStr">
        <is>
          <t>Não</t>
        </is>
      </c>
      <c r="J1842" s="13" t="n">
        <v>2024</v>
      </c>
      <c r="K1842" s="10" t="n">
        <v>46024</v>
      </c>
      <c r="L1842" s="13" t="n">
        <v>1</v>
      </c>
      <c r="M1842" s="8">
        <f>L1842*G1842</f>
        <v/>
      </c>
      <c r="P1842" s="9" t="n"/>
    </row>
    <row r="1843">
      <c r="A1843" s="13" t="inlineStr">
        <is>
          <t>Living Wall</t>
        </is>
      </c>
      <c r="B1843" s="13" t="inlineStr">
        <is>
          <t>Artifact Creature — Wall</t>
        </is>
      </c>
      <c r="C1843" s="13" t="inlineStr">
        <is>
          <t>Uncommon / Incomum</t>
        </is>
      </c>
      <c r="D1843" s="13" t="inlineStr">
        <is>
          <t>Defender (This creature can't attack.) {1}: Regenerate this creature.</t>
        </is>
      </c>
      <c r="E1843" s="13" t="inlineStr">
        <is>
          <t>{4}</t>
        </is>
      </c>
      <c r="F1843" s="13" t="inlineStr">
        <is>
          <t>Incolor</t>
        </is>
      </c>
      <c r="G1843" s="8" t="n">
        <v>0.75</v>
      </c>
      <c r="H1843" s="13" t="inlineStr">
        <is>
          <t>Revised Edition</t>
        </is>
      </c>
      <c r="I1843" s="13" t="inlineStr">
        <is>
          <t>Não</t>
        </is>
      </c>
      <c r="J1843" s="13" t="n">
        <v>1994</v>
      </c>
      <c r="K1843" s="13" t="inlineStr">
        <is>
          <t>0/6</t>
        </is>
      </c>
      <c r="L1843" s="13" t="n">
        <v>1</v>
      </c>
      <c r="M1843" s="8">
        <f>L1843*G1843</f>
        <v/>
      </c>
      <c r="P1843" s="9" t="n"/>
    </row>
    <row r="1844">
      <c r="A1844" s="13" t="inlineStr">
        <is>
          <t>Livro de Mazarbul / Book of Mazarbul</t>
        </is>
      </c>
      <c r="B1844" s="13" t="inlineStr">
        <is>
          <t>Encantamento — Saga</t>
        </is>
      </c>
      <c r="C1844" s="13" t="inlineStr">
        <is>
          <t>Incomum</t>
        </is>
      </c>
      <c r="D1844" s="13"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1844" s="13" t="inlineStr">
        <is>
          <t>2{R}</t>
        </is>
      </c>
      <c r="F1844" s="13" t="inlineStr">
        <is>
          <t>Vermelho</t>
        </is>
      </c>
      <c r="G1844" s="8" t="n">
        <v>0.21</v>
      </c>
      <c r="H1844" s="13" t="inlineStr">
        <is>
          <t>The Lord of the Rings: Tales of Middle-earth (LTR)</t>
        </is>
      </c>
      <c r="I1844" s="13" t="inlineStr">
        <is>
          <t>Não</t>
        </is>
      </c>
      <c r="J1844" s="13" t="n">
        <v>2023</v>
      </c>
      <c r="L1844" s="13" t="n">
        <v>2</v>
      </c>
      <c r="M1844" s="8">
        <f>L1844*G1844</f>
        <v/>
      </c>
      <c r="P1844" s="9" t="n"/>
    </row>
    <row r="1845">
      <c r="A1845" s="13" t="inlineStr">
        <is>
          <t>Llanowar Ranger / Guarda-florestal de Llanowar</t>
        </is>
      </c>
      <c r="B1845" s="13" t="inlineStr">
        <is>
          <t>Creature — Elf Scout / Criatura — Elfo Batedor</t>
        </is>
      </c>
      <c r="C1845" s="13" t="inlineStr">
        <is>
          <t>Common / Comum</t>
        </is>
      </c>
      <c r="D1845" s="13" t="inlineStr">
        <is>
          <t>{1}{G}, {T}: Search your library for a basic land card, put it onto the battlefield tapped, then shuffle. / {1}{G}, {T}: Procure um card de terreno básico em seu grimório, coloque-o no campo de batalha virado e depois embaralhe seu grimório.</t>
        </is>
      </c>
      <c r="E1845" s="13" t="inlineStr">
        <is>
          <t>{2}{G}</t>
        </is>
      </c>
      <c r="F1845" s="13" t="inlineStr">
        <is>
          <t>Verde</t>
        </is>
      </c>
      <c r="G1845" s="8" t="n">
        <v>0.04</v>
      </c>
      <c r="H1845" s="13" t="inlineStr">
        <is>
          <t>Invasion (INV)</t>
        </is>
      </c>
      <c r="I1845" s="13" t="inlineStr">
        <is>
          <t>Não</t>
        </is>
      </c>
      <c r="J1845" s="13" t="n">
        <v>2000</v>
      </c>
      <c r="K1845" s="10" t="n">
        <v>46055</v>
      </c>
      <c r="L1845" s="13" t="n">
        <v>1</v>
      </c>
      <c r="M1845" s="8">
        <f>L1845*G1845</f>
        <v/>
      </c>
      <c r="P1845" s="9" t="n"/>
    </row>
    <row r="1846">
      <c r="A1846" s="13" t="inlineStr">
        <is>
          <t>Llewen, Imperfect Naturalist</t>
        </is>
      </c>
      <c r="B1846" s="13" t="inlineStr">
        <is>
          <t>Legendary Creature — Elf Druid</t>
        </is>
      </c>
      <c r="C1846" s="13" t="inlineStr">
        <is>
          <t>Rare</t>
        </is>
      </c>
      <c r="D1846" s="13"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1846" s="13" t="inlineStr">
        <is>
          <t>{G/B}{G/B}</t>
        </is>
      </c>
      <c r="F1846" s="13" t="inlineStr">
        <is>
          <t>Preto, Verde</t>
        </is>
      </c>
      <c r="G1846" s="8" t="n">
        <v>1.35</v>
      </c>
      <c r="H1846" s="13" t="inlineStr">
        <is>
          <t>Lorwin Lorwyn Eclipsed (ECL)ipsed</t>
        </is>
      </c>
      <c r="I1846" s="13" t="inlineStr">
        <is>
          <t>Não</t>
        </is>
      </c>
      <c r="K1846" s="10" t="n">
        <v>46082</v>
      </c>
      <c r="L1846" s="13" t="n">
        <v>1</v>
      </c>
      <c r="M1846" s="8">
        <f>L1846*G1846</f>
        <v/>
      </c>
      <c r="P1846" s="9" t="n"/>
    </row>
    <row r="1847">
      <c r="A1847" s="13" t="inlineStr">
        <is>
          <t>Loathsome Troll / Trol Odioso</t>
        </is>
      </c>
      <c r="B1847" s="13" t="inlineStr">
        <is>
          <t>Creature — Troll / Criatura — Trol</t>
        </is>
      </c>
      <c r="C1847" s="13" t="inlineStr">
        <is>
          <t>Uncommon / Incomum</t>
        </is>
      </c>
      <c r="D1847" s="13"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1847" s="13" t="inlineStr">
        <is>
          <t>{3}{G}</t>
        </is>
      </c>
      <c r="F1847" s="13" t="inlineStr">
        <is>
          <t>Verde</t>
        </is>
      </c>
      <c r="G1847" s="8" t="n">
        <v>0.04</v>
      </c>
      <c r="H1847" s="13" t="inlineStr">
        <is>
          <t>Adventures in the Forgotten Realms (AFR)</t>
        </is>
      </c>
      <c r="I1847" s="13" t="inlineStr">
        <is>
          <t>Não</t>
        </is>
      </c>
      <c r="J1847" s="13" t="n">
        <v>2021</v>
      </c>
      <c r="K1847" s="10" t="n">
        <v>46059</v>
      </c>
      <c r="L1847" s="13" t="n">
        <v>1</v>
      </c>
      <c r="M1847" s="8">
        <f>L1847*G1847</f>
        <v/>
      </c>
      <c r="P1847" s="9" t="n"/>
    </row>
    <row r="1848">
      <c r="A1848" s="13" t="inlineStr">
        <is>
          <t>Locke Cole / Locke Cole</t>
        </is>
      </c>
      <c r="B1848" s="13" t="inlineStr">
        <is>
          <t>Criatura Lendária — Humano Ladino</t>
        </is>
      </c>
      <c r="C1848" s="13" t="inlineStr">
        <is>
          <t>Incomum</t>
        </is>
      </c>
      <c r="D1848" s="13" t="inlineStr">
        <is>
          <t>Toque mortífero, vínculo com a vida. Sempre que Locke Cole causar dano de combate a um jogador, compre um card e depois descarte um card.</t>
        </is>
      </c>
      <c r="E1848" s="13" t="inlineStr">
        <is>
          <t>1UB</t>
        </is>
      </c>
      <c r="F1848" s="13" t="inlineStr">
        <is>
          <t>Azul e Preto</t>
        </is>
      </c>
      <c r="G1848" s="8" t="n">
        <v>0.23</v>
      </c>
      <c r="H1848" s="13" t="inlineStr">
        <is>
          <t>Final Fantasy</t>
        </is>
      </c>
      <c r="I1848" s="13" t="inlineStr">
        <is>
          <t>Não</t>
        </is>
      </c>
      <c r="J1848" s="13" t="n">
        <v>2025</v>
      </c>
      <c r="K1848" s="10" t="n">
        <v>46083</v>
      </c>
      <c r="L1848" s="13" t="n">
        <v>4</v>
      </c>
      <c r="M1848" s="8">
        <f>L1848*G1848</f>
        <v/>
      </c>
      <c r="P1848" s="9" t="n"/>
    </row>
    <row r="1849">
      <c r="A1849" s="13" t="inlineStr">
        <is>
          <t>Lone Missionary / Missionário Solitário</t>
        </is>
      </c>
      <c r="B1849" s="13" t="inlineStr">
        <is>
          <t>Criatura — Kor Monge</t>
        </is>
      </c>
      <c r="C1849" s="13" t="inlineStr">
        <is>
          <t>Comum</t>
        </is>
      </c>
      <c r="D1849" s="13" t="inlineStr">
        <is>
          <t>Quando Missionário Solitário entra no campo de batalha, você ganha 4 de vida.</t>
        </is>
      </c>
      <c r="E1849" s="13" t="inlineStr">
        <is>
          <t>1W</t>
        </is>
      </c>
      <c r="F1849" s="13" t="inlineStr">
        <is>
          <t>Branco</t>
        </is>
      </c>
      <c r="G1849" s="8" t="n">
        <v>0.9399999999999999</v>
      </c>
      <c r="H1849" s="13" t="inlineStr">
        <is>
          <t>Duel Decks: Speed vs. Cunning</t>
        </is>
      </c>
      <c r="I1849" s="13" t="inlineStr">
        <is>
          <t>Não</t>
        </is>
      </c>
      <c r="J1849" s="13" t="n">
        <v>2014</v>
      </c>
      <c r="K1849" s="10" t="n">
        <v>46024</v>
      </c>
      <c r="L1849" s="13" t="n">
        <v>1</v>
      </c>
      <c r="M1849" s="8">
        <f>L1849*G1849</f>
        <v/>
      </c>
      <c r="P1849" s="9" t="n"/>
    </row>
    <row r="1850">
      <c r="A1850" s="13" t="inlineStr">
        <is>
          <t>Long Feng, Grand Secretariat</t>
        </is>
      </c>
      <c r="B1850" s="13" t="inlineStr">
        <is>
          <t>Legendary Creature — Human Advisor</t>
        </is>
      </c>
      <c r="C1850" s="13" t="inlineStr">
        <is>
          <t>Uncommon / Incomum</t>
        </is>
      </c>
      <c r="D1850" s="13" t="inlineStr">
        <is>
          <t>Whenever another creature you control or a land you control is put into a graveyard from the battlefield, put a +1/+1 counter on target creature you control.</t>
        </is>
      </c>
      <c r="E1850" s="13" t="inlineStr">
        <is>
          <t>{1}{B/G}{B/G}</t>
        </is>
      </c>
      <c r="F1850" s="13" t="inlineStr">
        <is>
          <t>Preto, Verde</t>
        </is>
      </c>
      <c r="G1850" s="8" t="n">
        <v>0.15</v>
      </c>
      <c r="H1850" s="13" t="inlineStr">
        <is>
          <t>Avatar: The Last Airbender (TLA)</t>
        </is>
      </c>
      <c r="I1850" s="13" t="inlineStr">
        <is>
          <t>Não</t>
        </is>
      </c>
      <c r="J1850" s="13" t="n">
        <v>2025</v>
      </c>
      <c r="K1850" s="10" t="n">
        <v>46083</v>
      </c>
      <c r="L1850" s="13" t="n">
        <v>1</v>
      </c>
      <c r="M1850" s="8">
        <f>L1850*G1850</f>
        <v/>
      </c>
      <c r="P1850" s="9" t="n"/>
    </row>
    <row r="1851">
      <c r="A1851" s="13" t="inlineStr">
        <is>
          <t>Long Goodbye / Longo Adeus</t>
        </is>
      </c>
      <c r="B1851" s="13" t="inlineStr">
        <is>
          <t>Instant / Mágica Instantânea</t>
        </is>
      </c>
      <c r="C1851" s="13" t="inlineStr">
        <is>
          <t>Uncommon / Incomum</t>
        </is>
      </c>
      <c r="D1851" s="13"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1851" s="13" t="inlineStr">
        <is>
          <t>{1}{B}</t>
        </is>
      </c>
      <c r="F1851" s="13" t="inlineStr">
        <is>
          <t>Preto</t>
        </is>
      </c>
      <c r="G1851" s="8" t="n">
        <v>0.25</v>
      </c>
      <c r="H1851" s="13" t="inlineStr">
        <is>
          <t>Murders at Karlov Manor (MKM)</t>
        </is>
      </c>
      <c r="I1851" s="13" t="inlineStr">
        <is>
          <t>Não</t>
        </is>
      </c>
      <c r="J1851" s="13" t="n">
        <v>2024</v>
      </c>
      <c r="L1851" s="13" t="n">
        <v>1</v>
      </c>
      <c r="M1851" s="8">
        <f>L1851*G1851</f>
        <v/>
      </c>
      <c r="P1851" s="9" t="n"/>
    </row>
    <row r="1852">
      <c r="A1852" s="13" t="inlineStr">
        <is>
          <t>Longa Lista dos Ents / Long List of the Ents</t>
        </is>
      </c>
      <c r="B1852" s="13" t="inlineStr">
        <is>
          <t>Encantamento — Saga</t>
        </is>
      </c>
      <c r="C1852" s="13" t="inlineStr">
        <is>
          <t>Incomum</t>
        </is>
      </c>
      <c r="D1852" s="13"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1852" s="13" t="inlineStr">
        <is>
          <t>{G}</t>
        </is>
      </c>
      <c r="F1852" s="13" t="inlineStr">
        <is>
          <t>Verde</t>
        </is>
      </c>
      <c r="G1852" s="8" t="n">
        <v>0.2</v>
      </c>
      <c r="H1852" s="13" t="inlineStr">
        <is>
          <t>The Lord of the Rings: Tales of Middle-earth (LTR)</t>
        </is>
      </c>
      <c r="I1852" s="13" t="inlineStr">
        <is>
          <t>Não</t>
        </is>
      </c>
      <c r="J1852" s="13" t="n">
        <v>2023</v>
      </c>
      <c r="L1852" s="13" t="n">
        <v>1</v>
      </c>
      <c r="M1852" s="8">
        <f>L1852*G1852</f>
        <v/>
      </c>
      <c r="P1852" s="9" t="n"/>
    </row>
    <row r="1853">
      <c r="A1853" s="13" t="inlineStr">
        <is>
          <t>Look at Me, I'm the DCI</t>
        </is>
      </c>
      <c r="B1853" s="13" t="inlineStr">
        <is>
          <t>Sorcery</t>
        </is>
      </c>
      <c r="C1853" s="13" t="inlineStr">
        <is>
          <t>Rare</t>
        </is>
      </c>
      <c r="D1853" s="13" t="inlineStr">
        <is>
          <t>Ban one card, other than a basic land, for the remainder of the match. (For the remainder of the match, each player removes from the game all copies of that card in play or in any graveyard, hand, library, or sideboard.)</t>
        </is>
      </c>
      <c r="E1853" s="13" t="inlineStr">
        <is>
          <t>{5}{W}{W}</t>
        </is>
      </c>
      <c r="F1853" s="13" t="inlineStr">
        <is>
          <t>White</t>
        </is>
      </c>
      <c r="G1853" s="8" t="n">
        <v>6.8</v>
      </c>
      <c r="H1853" s="13" t="inlineStr">
        <is>
          <t>Unglued (UGL)</t>
        </is>
      </c>
      <c r="I1853" s="13" t="inlineStr">
        <is>
          <t>No</t>
        </is>
      </c>
      <c r="J1853" s="13" t="n">
        <v>1998</v>
      </c>
      <c r="L1853" s="13" t="n">
        <v>1</v>
      </c>
      <c r="M1853" s="8">
        <f>L1853*G1853</f>
        <v/>
      </c>
      <c r="P1853" s="9" t="n"/>
    </row>
    <row r="1854">
      <c r="A1854" s="13" t="inlineStr">
        <is>
          <t>Looming Altisaur / Altissauro Assomador</t>
        </is>
      </c>
      <c r="B1854" s="13" t="inlineStr">
        <is>
          <t>Creature — Dinosaur / Criatura — Dinossauro</t>
        </is>
      </c>
      <c r="C1854" s="13" t="inlineStr">
        <is>
          <t>Common / Comum</t>
        </is>
      </c>
      <c r="E1854" s="13" t="inlineStr">
        <is>
          <t>{3}{W}</t>
        </is>
      </c>
      <c r="F1854" s="13" t="inlineStr">
        <is>
          <t>Branco</t>
        </is>
      </c>
      <c r="G1854" s="8" t="n">
        <v>0.03</v>
      </c>
      <c r="H1854" s="13" t="inlineStr">
        <is>
          <t>Ixalan (XLN)</t>
        </is>
      </c>
      <c r="I1854" s="13" t="inlineStr">
        <is>
          <t>Não</t>
        </is>
      </c>
      <c r="J1854" s="13" t="n">
        <v>2017</v>
      </c>
      <c r="K1854" s="10" t="n">
        <v>46204</v>
      </c>
      <c r="L1854" s="13" t="n">
        <v>1</v>
      </c>
      <c r="M1854" s="8">
        <f>L1854*G1854</f>
        <v/>
      </c>
      <c r="P1854" s="9" t="n"/>
    </row>
    <row r="1855">
      <c r="A1855" s="13" t="inlineStr">
        <is>
          <t>Loporrit Scout / Batedor Loporrit</t>
        </is>
      </c>
      <c r="B1855" s="13" t="inlineStr">
        <is>
          <t>Criatura — Coelho Batedor</t>
        </is>
      </c>
      <c r="C1855" s="13" t="inlineStr">
        <is>
          <t>Comum</t>
        </is>
      </c>
      <c r="D1855" s="13" t="inlineStr">
        <is>
          <t>Sempre que outra criatura que você controla entrar, esta criatura recebe +1/+1 até o final do turno.</t>
        </is>
      </c>
      <c r="E1855" s="13" t="inlineStr">
        <is>
          <t>2{G}</t>
        </is>
      </c>
      <c r="F1855" s="13" t="inlineStr">
        <is>
          <t>Verde</t>
        </is>
      </c>
      <c r="G1855" s="8" t="n">
        <v>0.1</v>
      </c>
      <c r="H1855" s="13" t="inlineStr">
        <is>
          <t>Final Fantasy</t>
        </is>
      </c>
      <c r="I1855" s="13" t="inlineStr">
        <is>
          <t>Não</t>
        </is>
      </c>
      <c r="J1855" s="13" t="n">
        <v>2025</v>
      </c>
      <c r="K1855" s="10" t="n">
        <v>46056</v>
      </c>
      <c r="L1855" s="13" t="n">
        <v>2</v>
      </c>
      <c r="M1855" s="8">
        <f>L1855*G1855</f>
        <v/>
      </c>
      <c r="P1855" s="9" t="n"/>
    </row>
    <row r="1856">
      <c r="A1856" s="13" t="inlineStr">
        <is>
          <t>Lord Dregg, Insect Invader</t>
        </is>
      </c>
      <c r="B1856" s="13" t="inlineStr">
        <is>
          <t>Legendary Creature — Insect Warrior</t>
        </is>
      </c>
      <c r="C1856" s="13" t="inlineStr">
        <is>
          <t>Uncommon / Incomum</t>
        </is>
      </c>
      <c r="D1856" s="13" t="inlineStr">
        <is>
          <t>Flying Disappear — At the beginning of your end step, if a permanent left the battlefield under your control this turn, create a 1/1 black Insect Warrior creature token with flying. {3}{G}, Sacrifice a token: Draw a card.</t>
        </is>
      </c>
      <c r="E1856" s="13" t="inlineStr">
        <is>
          <t>{3}{B}</t>
        </is>
      </c>
      <c r="F1856" s="13" t="inlineStr">
        <is>
          <t>Preto</t>
        </is>
      </c>
      <c r="G1856" s="8" t="n">
        <v>0.11</v>
      </c>
      <c r="H1856" s="13" t="inlineStr">
        <is>
          <t>Teenage Mutant Ninja Turtles (TMT)</t>
        </is>
      </c>
      <c r="I1856" s="13" t="inlineStr">
        <is>
          <t>Não</t>
        </is>
      </c>
      <c r="J1856" s="13" t="n">
        <v>2026</v>
      </c>
      <c r="K1856" s="10" t="n">
        <v>46056</v>
      </c>
      <c r="L1856" s="13" t="n">
        <v>2</v>
      </c>
      <c r="M1856" s="8">
        <f>L1856*G1856</f>
        <v/>
      </c>
      <c r="P1856" s="9" t="n"/>
    </row>
    <row r="1857">
      <c r="A1857" s="13" t="inlineStr">
        <is>
          <t>Lord of the Pit / Senhor das Profundezas</t>
        </is>
      </c>
      <c r="B1857" s="13" t="inlineStr">
        <is>
          <t>Creature — Demon / Criatura — Demônio</t>
        </is>
      </c>
      <c r="C1857" s="13" t="inlineStr">
        <is>
          <t>Rare / Rara</t>
        </is>
      </c>
      <c r="D1857" s="13"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1857" s="13" t="inlineStr">
        <is>
          <t>{4}{B}{B}{B}</t>
        </is>
      </c>
      <c r="F1857" s="13" t="inlineStr">
        <is>
          <t>Preto</t>
        </is>
      </c>
      <c r="G1857" s="8" t="n">
        <v>2.49</v>
      </c>
      <c r="H1857" s="13" t="inlineStr">
        <is>
          <t>Quarta Edição</t>
        </is>
      </c>
      <c r="I1857" s="13" t="inlineStr">
        <is>
          <t>Não</t>
        </is>
      </c>
      <c r="J1857" s="13" t="n">
        <v>1995</v>
      </c>
      <c r="K1857" s="10" t="n">
        <v>46210</v>
      </c>
      <c r="L1857" s="13" t="n">
        <v>1</v>
      </c>
      <c r="M1857" s="8">
        <f>L1857*G1857</f>
        <v/>
      </c>
      <c r="P1857" s="9" t="n"/>
    </row>
    <row r="1858">
      <c r="A1858" s="13" t="inlineStr">
        <is>
          <t>Lord of Tresserhorn / Senhor de Tresserhorn</t>
        </is>
      </c>
      <c r="B1858" s="13" t="inlineStr">
        <is>
          <t>Legendary Creature — Zombie</t>
        </is>
      </c>
      <c r="C1858" s="13" t="inlineStr">
        <is>
          <t>Rare / Rara</t>
        </is>
      </c>
      <c r="D1858" s="13" t="inlineStr">
        <is>
          <t>When Lord of Tresserhorn enters, you lose 2 life, you sacrifice two creatures, and target opponent draws two cards. {B}: Regenerate Lord of Tresserhorn.</t>
        </is>
      </c>
      <c r="E1858" s="13" t="inlineStr">
        <is>
          <t>{1}{U}{B}{R}</t>
        </is>
      </c>
      <c r="F1858" s="13" t="inlineStr">
        <is>
          <t>Preto, Vermelho, Azul</t>
        </is>
      </c>
      <c r="G1858" s="8" t="n">
        <v>5.74</v>
      </c>
      <c r="H1858" s="13" t="inlineStr">
        <is>
          <t>Alliances (ALL)</t>
        </is>
      </c>
      <c r="I1858" s="13" t="inlineStr">
        <is>
          <t>Não</t>
        </is>
      </c>
      <c r="J1858" s="13" t="n">
        <v>1996</v>
      </c>
      <c r="K1858" s="10" t="n">
        <v>46122</v>
      </c>
      <c r="L1858" s="13" t="n">
        <v>1</v>
      </c>
      <c r="M1858" s="8">
        <f>L1858*G1858</f>
        <v/>
      </c>
      <c r="N1858" s="13" t="inlineStr">
        <is>
          <t>Pasta</t>
        </is>
      </c>
      <c r="P1858" s="9" t="n"/>
    </row>
    <row r="1859">
      <c r="A1859" s="13" t="inlineStr">
        <is>
          <t>Losheel, Clockwork Scholar / Losheel, Erudita da Mecânica</t>
        </is>
      </c>
      <c r="B1859" s="13" t="inlineStr">
        <is>
          <t>Legendary Creature — Elephant Artificer / Criatura Lendária — Elefante Artesão</t>
        </is>
      </c>
      <c r="C1859" s="13" t="inlineStr">
        <is>
          <t>Uncommon / Incomum</t>
        </is>
      </c>
      <c r="D1859" s="13"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1859" s="13" t="inlineStr">
        <is>
          <t>{2}{W}</t>
        </is>
      </c>
      <c r="F1859" s="13" t="inlineStr">
        <is>
          <t>Branco</t>
        </is>
      </c>
      <c r="G1859" s="8" t="n">
        <v>13.95</v>
      </c>
      <c r="H1859" s="13" t="inlineStr">
        <is>
          <t>Commander Masters (CMM)</t>
        </is>
      </c>
      <c r="I1859" s="13" t="inlineStr">
        <is>
          <t>Não</t>
        </is>
      </c>
      <c r="J1859" s="13" t="n">
        <v>2023</v>
      </c>
      <c r="K1859" s="10" t="n">
        <v>46114</v>
      </c>
      <c r="L1859" s="13" t="n">
        <v>1</v>
      </c>
      <c r="M1859" s="8">
        <f>L1859*G1859</f>
        <v/>
      </c>
      <c r="N1859" s="13" t="inlineStr">
        <is>
          <t>Pasta</t>
        </is>
      </c>
      <c r="P1859" s="9" t="n"/>
    </row>
    <row r="1860">
      <c r="A1860" s="13" t="inlineStr">
        <is>
          <t>Lost Days</t>
        </is>
      </c>
      <c r="B1860" s="13" t="inlineStr">
        <is>
          <t>Instant — Lesson</t>
        </is>
      </c>
      <c r="C1860" s="13" t="inlineStr">
        <is>
          <t>Common / Comum</t>
        </is>
      </c>
      <c r="D1860" s="13" t="inlineStr">
        <is>
          <t>The owner of target creature or enchantment puts it into their library second from the top or on the bottom. You create a Clue token. (It's an artifact with "{2}, Sacrifice this token: Draw a card.")</t>
        </is>
      </c>
      <c r="E1860" s="13" t="inlineStr">
        <is>
          <t>{4}{U}</t>
        </is>
      </c>
      <c r="F1860" s="13" t="inlineStr">
        <is>
          <t>Azul</t>
        </is>
      </c>
      <c r="G1860" s="8" t="n">
        <v>0.1</v>
      </c>
      <c r="H1860" s="13" t="inlineStr">
        <is>
          <t>Avatar: The Last Airbender (TLA)</t>
        </is>
      </c>
      <c r="I1860" s="13" t="inlineStr">
        <is>
          <t>Não</t>
        </is>
      </c>
      <c r="J1860" s="13" t="n">
        <v>2025</v>
      </c>
      <c r="L1860" s="13" t="n">
        <v>2</v>
      </c>
      <c r="M1860" s="8">
        <f>L1860*G1860</f>
        <v/>
      </c>
      <c r="P1860" s="9" t="n"/>
    </row>
    <row r="1861">
      <c r="A1861" s="13" t="inlineStr">
        <is>
          <t>Lost Legion / Legião Perdida</t>
        </is>
      </c>
      <c r="B1861" s="13" t="inlineStr">
        <is>
          <t>Creature — Spirit Knight / Criatura — Espírito Cavaleiro</t>
        </is>
      </c>
      <c r="C1861" s="13" t="inlineStr">
        <is>
          <t>Common / Comum</t>
        </is>
      </c>
      <c r="D1861" s="13"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861" s="13" t="inlineStr">
        <is>
          <t>{1}{B}{B}</t>
        </is>
      </c>
      <c r="F1861" s="13" t="inlineStr">
        <is>
          <t>Preto</t>
        </is>
      </c>
      <c r="G1861" s="8" t="n">
        <v>0.05</v>
      </c>
      <c r="H1861" s="13" t="inlineStr">
        <is>
          <t>Throne of Eldraine (ELD)</t>
        </is>
      </c>
      <c r="I1861" s="13" t="inlineStr">
        <is>
          <t>Não</t>
        </is>
      </c>
      <c r="J1861" s="13" t="n">
        <v>2019</v>
      </c>
      <c r="K1861" s="10" t="n">
        <v>46083</v>
      </c>
      <c r="L1861" s="13" t="n">
        <v>1</v>
      </c>
      <c r="M1861" s="8">
        <f>L1861*G1861</f>
        <v/>
      </c>
      <c r="P1861" s="9" t="n"/>
    </row>
    <row r="1862">
      <c r="A1862" s="13" t="inlineStr">
        <is>
          <t>Lost Soul / Alma Desgarrada</t>
        </is>
      </c>
      <c r="B1862" s="13" t="inlineStr">
        <is>
          <t>Creature — Spirit Minion</t>
        </is>
      </c>
      <c r="C1862" s="13" t="inlineStr">
        <is>
          <t>Common / Comum</t>
        </is>
      </c>
      <c r="D1862" s="13" t="inlineStr">
        <is>
          <t>Swampwalk (This creature can't be blocked as long as defending player controls a Swamp.)</t>
        </is>
      </c>
      <c r="E1862" s="13" t="inlineStr">
        <is>
          <t>{1}{B}{B}</t>
        </is>
      </c>
      <c r="F1862" s="13" t="inlineStr">
        <is>
          <t>Preto</t>
        </is>
      </c>
      <c r="G1862" s="8" t="n">
        <v>0.05</v>
      </c>
      <c r="H1862" s="13" t="inlineStr">
        <is>
          <t>Quarta Edição</t>
        </is>
      </c>
      <c r="I1862" s="13" t="inlineStr">
        <is>
          <t>Não</t>
        </is>
      </c>
      <c r="J1862" s="13" t="n">
        <v>1995</v>
      </c>
      <c r="K1862" s="10" t="n">
        <v>46024</v>
      </c>
      <c r="L1862" s="13" t="n">
        <v>2</v>
      </c>
      <c r="M1862" s="8">
        <f>L1862*G1862</f>
        <v/>
      </c>
      <c r="P1862" s="9" t="n"/>
    </row>
    <row r="1863">
      <c r="A1863" s="13" t="inlineStr">
        <is>
          <t>Lost Soul / Alma Desgarrada</t>
        </is>
      </c>
      <c r="B1863" s="13" t="inlineStr">
        <is>
          <t>Creature — Spirit Minion</t>
        </is>
      </c>
      <c r="C1863" s="13" t="inlineStr">
        <is>
          <t>Common / Comum</t>
        </is>
      </c>
      <c r="D1863" s="13" t="inlineStr">
        <is>
          <t>Swampwalk (This creature can't be blocked as long as defending player controls a Swamp.)</t>
        </is>
      </c>
      <c r="E1863" s="13" t="inlineStr">
        <is>
          <t>{1}{B}{B}</t>
        </is>
      </c>
      <c r="F1863" s="13" t="inlineStr">
        <is>
          <t>Preto</t>
        </is>
      </c>
      <c r="G1863" s="8" t="n">
        <v>0.06</v>
      </c>
      <c r="H1863" s="13" t="inlineStr">
        <is>
          <t>Quarta Edição (BB)</t>
        </is>
      </c>
      <c r="I1863" s="13" t="inlineStr">
        <is>
          <t>Não</t>
        </is>
      </c>
      <c r="J1863" s="13" t="n">
        <v>1995</v>
      </c>
      <c r="K1863" s="10" t="n">
        <v>46024</v>
      </c>
      <c r="L1863" s="13" t="n">
        <v>2</v>
      </c>
      <c r="M1863" s="8">
        <f>L1863*G1863</f>
        <v/>
      </c>
      <c r="P1863" s="9" t="n"/>
    </row>
    <row r="1864">
      <c r="A1864" s="13" t="inlineStr">
        <is>
          <t>Lotusguard Disciple</t>
        </is>
      </c>
      <c r="B1864" s="13" t="inlineStr">
        <is>
          <t>Creature — Bird Cleric</t>
        </is>
      </c>
      <c r="C1864" s="13" t="inlineStr">
        <is>
          <t>Common / Comum</t>
        </is>
      </c>
      <c r="D1864" s="13" t="inlineStr">
        <is>
          <t>Flying When this creature enters, target creature or Vehicle gains lifelink and indestructible until end of turn.</t>
        </is>
      </c>
      <c r="E1864" s="13" t="inlineStr">
        <is>
          <t>{2}{W}</t>
        </is>
      </c>
      <c r="F1864" s="13" t="inlineStr">
        <is>
          <t>Branco</t>
        </is>
      </c>
      <c r="G1864" s="8" t="n">
        <v>0.05</v>
      </c>
      <c r="H1864" s="13" t="inlineStr">
        <is>
          <t>Aetherdrift (DFT)</t>
        </is>
      </c>
      <c r="I1864" s="13" t="inlineStr">
        <is>
          <t>Não</t>
        </is>
      </c>
      <c r="J1864" s="13" t="n">
        <v>2025</v>
      </c>
      <c r="K1864" s="10" t="n">
        <v>46055</v>
      </c>
      <c r="L1864" s="13" t="n">
        <v>1</v>
      </c>
      <c r="M1864" s="8">
        <f>L1864*G1864</f>
        <v/>
      </c>
      <c r="P1864" s="9" t="n"/>
    </row>
    <row r="1865">
      <c r="A1865" s="13" t="inlineStr">
        <is>
          <t>Loxodon Sergeant / Sargento Loxodonte</t>
        </is>
      </c>
      <c r="B1865" s="13" t="inlineStr">
        <is>
          <t>Creature — Elephant Soldier / Criatura — Elefante Soldado</t>
        </is>
      </c>
      <c r="C1865" s="13" t="inlineStr">
        <is>
          <t>Common / Comum</t>
        </is>
      </c>
      <c r="D1865" s="13" t="inlineStr">
        <is>
          <t>Vigilance When this creature enters, other creatures you control gain vigilance until end of turn. / Vigilância Quando Sargento Loxodonte entra no campo de batalha, as outras criaturas que você controla ganham vigilância até o final do turno.</t>
        </is>
      </c>
      <c r="E1865" s="13" t="inlineStr">
        <is>
          <t>{3}{W}</t>
        </is>
      </c>
      <c r="F1865" s="13" t="inlineStr">
        <is>
          <t>Branco</t>
        </is>
      </c>
      <c r="G1865" s="8" t="n">
        <v>0.03</v>
      </c>
      <c r="H1865" s="13" t="inlineStr">
        <is>
          <t>War of the Spark (WAR)</t>
        </is>
      </c>
      <c r="I1865" s="13" t="inlineStr">
        <is>
          <t>Não</t>
        </is>
      </c>
      <c r="J1865" s="13" t="n">
        <v>2019</v>
      </c>
      <c r="K1865" s="10" t="n">
        <v>46084</v>
      </c>
      <c r="L1865" s="13" t="n">
        <v>1</v>
      </c>
      <c r="M1865" s="8">
        <f>L1865*G1865</f>
        <v/>
      </c>
      <c r="P1865" s="9" t="n"/>
    </row>
    <row r="1866">
      <c r="A1866" s="13" t="inlineStr">
        <is>
          <t>Loyal Guardian / Guardião Leal</t>
        </is>
      </c>
      <c r="B1866" s="13" t="inlineStr">
        <is>
          <t>Creature — Rhino / Criatura — Rinoceronte</t>
        </is>
      </c>
      <c r="C1866" s="13" t="inlineStr">
        <is>
          <t>Uncommon / Incomum</t>
        </is>
      </c>
      <c r="D1866" s="13"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1866" s="13" t="inlineStr">
        <is>
          <t>{4}{G}</t>
        </is>
      </c>
      <c r="F1866" s="13" t="inlineStr">
        <is>
          <t>Verde</t>
        </is>
      </c>
      <c r="G1866" s="8" t="n">
        <v>1.32</v>
      </c>
      <c r="H1866" s="13" t="inlineStr">
        <is>
          <t>Commander Masters (CMM)</t>
        </is>
      </c>
      <c r="I1866" s="13" t="inlineStr">
        <is>
          <t>Não</t>
        </is>
      </c>
      <c r="J1866" s="13" t="n">
        <v>2023</v>
      </c>
      <c r="K1866" s="10" t="n">
        <v>46116</v>
      </c>
      <c r="L1866" s="13" t="n">
        <v>1</v>
      </c>
      <c r="M1866" s="8">
        <f>L1866*G1866</f>
        <v/>
      </c>
      <c r="N1866" s="13" t="inlineStr">
        <is>
          <t>Pasta</t>
        </is>
      </c>
      <c r="P1866" s="9" t="n"/>
    </row>
    <row r="1867">
      <c r="A1867" s="13" t="inlineStr">
        <is>
          <t>Luka Stadium // Strixhaven Stadium / Estádio de Luka // Estádio de Strixhaven</t>
        </is>
      </c>
      <c r="B1867" s="13" t="inlineStr">
        <is>
          <t>Artefato</t>
        </is>
      </c>
      <c r="C1867" s="13" t="inlineStr">
        <is>
          <t>Incomum</t>
        </is>
      </c>
      <c r="D1867" s="13"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867" s="13" t="n">
        <v>3</v>
      </c>
      <c r="F1867" s="13" t="inlineStr">
        <is>
          <t>Incolor</t>
        </is>
      </c>
      <c r="G1867" s="8" t="n">
        <v>0.85</v>
      </c>
      <c r="H1867" s="13" t="inlineStr">
        <is>
          <t>Final Fantasy</t>
        </is>
      </c>
      <c r="I1867" s="13" t="inlineStr">
        <is>
          <t>Não</t>
        </is>
      </c>
      <c r="J1867" s="13" t="n">
        <v>2025</v>
      </c>
      <c r="L1867" s="13" t="n">
        <v>1</v>
      </c>
      <c r="M1867" s="8">
        <f>L1867*G1867</f>
        <v/>
      </c>
      <c r="P1867" s="9" t="n"/>
    </row>
    <row r="1868">
      <c r="A1868" s="13" t="inlineStr">
        <is>
          <t>Luke Cage, Power Man / Luke Cage, Poderoso</t>
        </is>
      </c>
      <c r="B1868" s="13" t="inlineStr">
        <is>
          <t>Criatura Lendária — Humano Herói</t>
        </is>
      </c>
      <c r="C1868" s="13" t="inlineStr">
        <is>
          <t>Incomum</t>
        </is>
      </c>
      <c r="D1868" s="13" t="inlineStr">
        <is>
          <t>Pele Inquebrável — Sempre que Luke Cage atacar sozinho, ele recebe +2/+0 e ganha indestrutível até o final do turno. (Dano e efeitos que dizem "destrua" não o destroem.)</t>
        </is>
      </c>
      <c r="E1868" s="13" t="inlineStr">
        <is>
          <t>3{W}</t>
        </is>
      </c>
      <c r="F1868" s="13" t="inlineStr">
        <is>
          <t>Branco</t>
        </is>
      </c>
      <c r="G1868" s="8" t="n">
        <v>0.44</v>
      </c>
      <c r="H1868" s="13" t="inlineStr">
        <is>
          <t>Marvel</t>
        </is>
      </c>
      <c r="I1868" s="13" t="inlineStr">
        <is>
          <t>Não</t>
        </is>
      </c>
      <c r="J1868" s="13" t="n">
        <v>2026</v>
      </c>
      <c r="K1868" s="10" t="n">
        <v>46144</v>
      </c>
      <c r="L1868" s="13" t="n">
        <v>1</v>
      </c>
      <c r="M1868" s="8">
        <f>L1868*G1868</f>
        <v/>
      </c>
      <c r="P1868" s="9" t="n"/>
    </row>
    <row r="1869">
      <c r="A1869" s="13" t="inlineStr">
        <is>
          <t>Lull / Calmaria</t>
        </is>
      </c>
      <c r="B1869" s="13" t="inlineStr">
        <is>
          <t>Instant / Mágica Instantânea</t>
        </is>
      </c>
      <c r="C1869" s="13" t="inlineStr">
        <is>
          <t>Common / Comum</t>
        </is>
      </c>
      <c r="D1869" s="13" t="inlineStr">
        <is>
          <t>Prevent all combat damage that would be dealt this turn. Cycling {2} ({2}, Discard this card: Draw a card.) / Previna todo o dano de combate que seria causado neste turno. Reciclar {2} ({2}, descarte este card: Compre um card.)</t>
        </is>
      </c>
      <c r="E1869" s="13" t="inlineStr">
        <is>
          <t>{1}{G}</t>
        </is>
      </c>
      <c r="F1869" s="13" t="inlineStr">
        <is>
          <t>Verde</t>
        </is>
      </c>
      <c r="G1869" s="8" t="n">
        <v>0.15</v>
      </c>
      <c r="H1869" s="13" t="inlineStr">
        <is>
          <t>Dominaria Remastered (DMR)</t>
        </is>
      </c>
      <c r="I1869" s="13" t="inlineStr">
        <is>
          <t>Não</t>
        </is>
      </c>
      <c r="J1869" s="13" t="n">
        <v>2023</v>
      </c>
      <c r="L1869" s="13" t="n">
        <v>1</v>
      </c>
      <c r="M1869" s="8">
        <f>L1869*G1869</f>
        <v/>
      </c>
      <c r="P1869" s="9" t="n"/>
    </row>
    <row r="1870">
      <c r="A1870" s="13" t="inlineStr">
        <is>
          <t>Luminous Rebuke</t>
        </is>
      </c>
      <c r="B1870" s="13" t="inlineStr">
        <is>
          <t>Instant</t>
        </is>
      </c>
      <c r="C1870" s="13" t="inlineStr">
        <is>
          <t>Common / Comum</t>
        </is>
      </c>
      <c r="D1870" s="13" t="inlineStr">
        <is>
          <t>This spell costs {3} less to cast if it targets a tapped creature. Destroy target creature.</t>
        </is>
      </c>
      <c r="E1870" s="13" t="inlineStr">
        <is>
          <t>{4}{W}</t>
        </is>
      </c>
      <c r="F1870" s="13" t="inlineStr">
        <is>
          <t>Branco</t>
        </is>
      </c>
      <c r="G1870" s="8" t="n">
        <v>0.05</v>
      </c>
      <c r="H1870" s="13" t="inlineStr">
        <is>
          <t>Foundations (FDN)</t>
        </is>
      </c>
      <c r="I1870" s="13" t="inlineStr">
        <is>
          <t>Não</t>
        </is>
      </c>
      <c r="J1870" s="13" t="n">
        <v>2024</v>
      </c>
      <c r="L1870" s="13" t="n">
        <v>1</v>
      </c>
      <c r="M1870" s="8">
        <f>L1870*G1870</f>
        <v/>
      </c>
      <c r="P1870" s="9" t="n"/>
    </row>
    <row r="1871">
      <c r="A1871" s="13" t="inlineStr">
        <is>
          <t>Lunar Frenzy / Frenesi Lunar</t>
        </is>
      </c>
      <c r="B1871" s="13" t="inlineStr">
        <is>
          <t>Instant / Mágica Instantânea</t>
        </is>
      </c>
      <c r="C1871" s="13" t="inlineStr">
        <is>
          <t>Uncommon / Incomum</t>
        </is>
      </c>
      <c r="D1871" s="13" t="inlineStr">
        <is>
          <t>Target creature you control gets +X/+0 and gains first strike and trample until end of turn. / A criatura alvo que você controla recebe +X/+0 e ganha iniciativa e atropelar até o final do turno.</t>
        </is>
      </c>
      <c r="E1871" s="13" t="inlineStr">
        <is>
          <t>{X}{R}</t>
        </is>
      </c>
      <c r="F1871" s="13" t="inlineStr">
        <is>
          <t>Vermelho</t>
        </is>
      </c>
      <c r="G1871" s="8" t="n">
        <v>0.15</v>
      </c>
      <c r="H1871" s="13" t="inlineStr">
        <is>
          <t>Innistrad: Midnight Hunt (MID)</t>
        </is>
      </c>
      <c r="I1871" s="13" t="inlineStr">
        <is>
          <t>Não</t>
        </is>
      </c>
      <c r="J1871" s="13" t="n">
        <v>2021</v>
      </c>
      <c r="L1871" s="13" t="n">
        <v>1</v>
      </c>
      <c r="M1871" s="8">
        <f>L1871*G1871</f>
        <v/>
      </c>
      <c r="P1871" s="9" t="n"/>
    </row>
    <row r="1872">
      <c r="A1872" s="13" t="inlineStr">
        <is>
          <t>Lunar Mystic / Místico Lunar</t>
        </is>
      </c>
      <c r="B1872" s="13" t="inlineStr">
        <is>
          <t>Creature — Human Wizard / Criatura — Humano Mago</t>
        </is>
      </c>
      <c r="C1872" s="13" t="inlineStr">
        <is>
          <t>Rare / Rara</t>
        </is>
      </c>
      <c r="D1872" s="13" t="inlineStr">
        <is>
          <t>Whenever you cast an instant spell, you may pay {1}. If you do, draw a card. / Toda vez que conjura uma mágica instantânea, você pode pagar {1}. Se fizer isso, compre um card.</t>
        </is>
      </c>
      <c r="E1872" s="13" t="inlineStr">
        <is>
          <t>{2}{U}{U}</t>
        </is>
      </c>
      <c r="F1872" s="13" t="inlineStr">
        <is>
          <t>Azul</t>
        </is>
      </c>
      <c r="G1872" s="8" t="n">
        <v>0.17</v>
      </c>
      <c r="H1872" s="13" t="inlineStr">
        <is>
          <t>Avacyn Restored (AVR)</t>
        </is>
      </c>
      <c r="I1872" s="13" t="inlineStr">
        <is>
          <t>Não</t>
        </is>
      </c>
      <c r="J1872" s="13" t="n">
        <v>2012</v>
      </c>
      <c r="K1872" s="10" t="n">
        <v>46055</v>
      </c>
      <c r="L1872" s="13" t="n">
        <v>1</v>
      </c>
      <c r="M1872" s="8">
        <f>L1872*G1872</f>
        <v/>
      </c>
      <c r="P1872" s="9" t="n"/>
    </row>
    <row r="1873">
      <c r="A1873" s="13" t="inlineStr">
        <is>
          <t>Lunatic Pandora / Pandora Lunática</t>
        </is>
      </c>
      <c r="B1873" s="13" t="inlineStr">
        <is>
          <t>Artefato Lendário</t>
        </is>
      </c>
      <c r="C1873" s="13" t="inlineStr">
        <is>
          <t>Comum</t>
        </is>
      </c>
      <c r="D1873" s="13" t="inlineStr">
        <is>
          <t>{2}, {T}: Vigie 1. (Olhe o card do topo de seu grimório. Você pode colocá-lo em seu cemitério.) {6}, {T}, Sacrifique Pandora Lunática: Destrua a permanente alvo que não seja um terreno.</t>
        </is>
      </c>
      <c r="E1873" s="13" t="n">
        <v>1</v>
      </c>
      <c r="F1873" s="13" t="inlineStr">
        <is>
          <t>Incolor</t>
        </is>
      </c>
      <c r="G1873" s="8" t="n">
        <v>0.1</v>
      </c>
      <c r="H1873" s="13" t="inlineStr">
        <is>
          <t>Final Fantasy</t>
        </is>
      </c>
      <c r="I1873" s="13" t="inlineStr">
        <is>
          <t>Não</t>
        </is>
      </c>
      <c r="J1873" s="13" t="n">
        <v>2025</v>
      </c>
      <c r="L1873" s="13" t="n">
        <v>12</v>
      </c>
      <c r="M1873" s="8">
        <f>L1873*G1873</f>
        <v/>
      </c>
      <c r="P1873" s="9" t="n"/>
    </row>
    <row r="1874">
      <c r="A1874" s="13" t="inlineStr">
        <is>
          <t>Lunatic Pandora / Pandora Lunática</t>
        </is>
      </c>
      <c r="B1874" s="13" t="inlineStr">
        <is>
          <t>Artefato Lendário</t>
        </is>
      </c>
      <c r="C1874" s="13" t="inlineStr">
        <is>
          <t>Comum</t>
        </is>
      </c>
      <c r="D1874" s="13" t="inlineStr">
        <is>
          <t>{2}, {T}: Vigie 1. (Olhe o card do topo de seu grimório. Você pode colocá-lo em seu cemitério.) {6}, {T}, Sacrifique Pandora Lunática: Destrua a permanente alvo que não seja um terreno.</t>
        </is>
      </c>
      <c r="E1874" s="13" t="n">
        <v>1</v>
      </c>
      <c r="F1874" s="13" t="inlineStr">
        <is>
          <t>Incolor</t>
        </is>
      </c>
      <c r="G1874" s="8" t="n">
        <v>0.4</v>
      </c>
      <c r="H1874" s="13" t="inlineStr">
        <is>
          <t>Final Fantasy</t>
        </is>
      </c>
      <c r="I1874" s="13" t="inlineStr">
        <is>
          <t>Sim</t>
        </is>
      </c>
      <c r="J1874" s="13" t="n">
        <v>2025</v>
      </c>
      <c r="L1874" s="13" t="n">
        <v>8</v>
      </c>
      <c r="M1874" s="8">
        <f>L1874*G1874</f>
        <v/>
      </c>
      <c r="P1874" s="9" t="n"/>
    </row>
    <row r="1875">
      <c r="A1875" s="13" t="inlineStr">
        <is>
          <t>Lurking Roper / Estrangulador à Espreita</t>
        </is>
      </c>
      <c r="B1875" s="13" t="inlineStr">
        <is>
          <t>Creature — Horror / Criatura — Horror</t>
        </is>
      </c>
      <c r="C1875" s="13" t="inlineStr">
        <is>
          <t>Uncommon / Incomum</t>
        </is>
      </c>
      <c r="D1875" s="13" t="inlineStr">
        <is>
          <t>This creature doesn't untap during your untap step. Whenever you gain life, untap this creature. / Estrangulador à Espreita não é desvirado durante sua etapa de desvirar. Toda vez que você ganhar pontos de vida, desvire Estrangulador à Espreita.</t>
        </is>
      </c>
      <c r="E1875" s="13" t="inlineStr">
        <is>
          <t>{2}{G}</t>
        </is>
      </c>
      <c r="F1875" s="13" t="inlineStr">
        <is>
          <t>Verde</t>
        </is>
      </c>
      <c r="G1875" s="8" t="n">
        <v>0.04</v>
      </c>
      <c r="H1875" s="13" t="inlineStr">
        <is>
          <t>Adventures in the Forgotten Realms (AFR)</t>
        </is>
      </c>
      <c r="I1875" s="13" t="inlineStr">
        <is>
          <t>Não</t>
        </is>
      </c>
      <c r="J1875" s="13" t="n">
        <v>2021</v>
      </c>
      <c r="K1875" s="10" t="n">
        <v>46146</v>
      </c>
      <c r="L1875" s="13" t="n">
        <v>1</v>
      </c>
      <c r="M1875" s="8">
        <f>L1875*G1875</f>
        <v/>
      </c>
      <c r="P1875" s="9" t="n"/>
    </row>
    <row r="1876">
      <c r="A1876" s="13" t="inlineStr">
        <is>
          <t>Luxurious Locomotive / Locomotiva Luxuosa</t>
        </is>
      </c>
      <c r="B1876" s="13" t="inlineStr">
        <is>
          <t>Artifact — Vehicle / Artefato — Veículo</t>
        </is>
      </c>
      <c r="C1876" s="13" t="inlineStr">
        <is>
          <t>Uncommon / Incomum</t>
        </is>
      </c>
      <c r="D1876" s="13"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1876" s="13" t="inlineStr">
        <is>
          <t>{5}</t>
        </is>
      </c>
      <c r="F1876" s="13" t="inlineStr">
        <is>
          <t>Incolor</t>
        </is>
      </c>
      <c r="G1876" s="8" t="n">
        <v>0.1</v>
      </c>
      <c r="H1876" s="13" t="inlineStr">
        <is>
          <t>Outlaws of Thunder Junction (OTJ)</t>
        </is>
      </c>
      <c r="I1876" s="13" t="inlineStr">
        <is>
          <t>Não</t>
        </is>
      </c>
      <c r="J1876" s="13" t="n">
        <v>2024</v>
      </c>
      <c r="K1876" s="10" t="n">
        <v>46148</v>
      </c>
      <c r="L1876" s="13" t="n">
        <v>1</v>
      </c>
      <c r="M1876" s="8">
        <f>L1876*G1876</f>
        <v/>
      </c>
      <c r="P1876" s="9" t="n"/>
    </row>
    <row r="1877">
      <c r="A1877" s="13" t="inlineStr">
        <is>
          <t>Lys Alana Bowmaster / Arqueiro-Mor de Lys Alana</t>
        </is>
      </c>
      <c r="B1877" s="13" t="inlineStr">
        <is>
          <t>Creature — Elf Archer / Criatura — Elfo Arqueiro</t>
        </is>
      </c>
      <c r="C1877" s="13" t="inlineStr">
        <is>
          <t>Common / Comum</t>
        </is>
      </c>
      <c r="D1877" s="13"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1877" s="13" t="inlineStr">
        <is>
          <t>{2}{G}</t>
        </is>
      </c>
      <c r="F1877" s="13" t="inlineStr">
        <is>
          <t>Verde</t>
        </is>
      </c>
      <c r="G1877" s="8" t="n">
        <v>0.05</v>
      </c>
      <c r="H1877" s="13" t="inlineStr">
        <is>
          <t>Commander Legends (CMR)</t>
        </is>
      </c>
      <c r="I1877" s="13" t="inlineStr">
        <is>
          <t>Não</t>
        </is>
      </c>
      <c r="J1877" s="13" t="n">
        <v>2020</v>
      </c>
      <c r="K1877" s="10" t="n">
        <v>46055</v>
      </c>
      <c r="L1877" s="13" t="n">
        <v>2</v>
      </c>
      <c r="M1877" s="8">
        <f>L1877*G1877</f>
        <v/>
      </c>
      <c r="P1877" s="9" t="n"/>
    </row>
    <row r="1878">
      <c r="A1878" s="13" t="inlineStr">
        <is>
          <t>Lys Alana Informant</t>
        </is>
      </c>
      <c r="B1878" s="13" t="inlineStr">
        <is>
          <t>Creature — Elf Scout</t>
        </is>
      </c>
      <c r="C1878" s="13" t="inlineStr">
        <is>
          <t>Common</t>
        </is>
      </c>
      <c r="D1878" s="13" t="inlineStr">
        <is>
          <t>When this creature enters or dies, surveil 1. (Look at the top card of your library. You may put it into your graveyard.)</t>
        </is>
      </c>
      <c r="E1878" s="13" t="inlineStr">
        <is>
          <t>{1}{G}</t>
        </is>
      </c>
      <c r="F1878" s="13" t="inlineStr">
        <is>
          <t>Verde</t>
        </is>
      </c>
      <c r="G1878" s="8" t="n">
        <v>0.12</v>
      </c>
      <c r="H1878" s="8" t="inlineStr">
        <is>
          <t>Aetherclash (Lorwyn Eclipsed (ECL))</t>
        </is>
      </c>
      <c r="I1878" s="13" t="inlineStr">
        <is>
          <t>Não</t>
        </is>
      </c>
      <c r="J1878" s="13" t="n">
        <v>2026</v>
      </c>
      <c r="K1878" s="10" t="n">
        <v>46025</v>
      </c>
      <c r="L1878" s="13" t="n">
        <v>4</v>
      </c>
      <c r="M1878" s="8">
        <f>L1878*G1878</f>
        <v/>
      </c>
      <c r="P1878" s="9" t="n"/>
    </row>
    <row r="1879">
      <c r="A1879" s="13" t="inlineStr">
        <is>
          <t>Macabre Waltz / Valsa Macabra</t>
        </is>
      </c>
      <c r="B1879" s="13" t="inlineStr">
        <is>
          <t>Sorcery / Feitiço</t>
        </is>
      </c>
      <c r="C1879" s="13" t="inlineStr">
        <is>
          <t>Common / Comum</t>
        </is>
      </c>
      <c r="D1879" s="13" t="inlineStr">
        <is>
          <t>Return up to two target creature cards from your graveyard to your hand, then discard a card. / Devolva até dois cards de criatura alvo de seu cemitério para sua mão e depois descarte um card.</t>
        </is>
      </c>
      <c r="E1879" s="13" t="inlineStr">
        <is>
          <t>{1}{B}</t>
        </is>
      </c>
      <c r="F1879" s="13" t="inlineStr">
        <is>
          <t>Preto</t>
        </is>
      </c>
      <c r="G1879" s="8" t="n">
        <v>0.08</v>
      </c>
      <c r="H1879" s="13" t="inlineStr">
        <is>
          <t>Foundations (FDN)</t>
        </is>
      </c>
      <c r="I1879" s="13" t="inlineStr">
        <is>
          <t>Não</t>
        </is>
      </c>
      <c r="J1879" s="13" t="n">
        <v>2024</v>
      </c>
      <c r="L1879" s="13" t="n">
        <v>1</v>
      </c>
      <c r="M1879" s="8">
        <f>L1879*G1879</f>
        <v/>
      </c>
      <c r="P1879" s="9" t="n"/>
    </row>
    <row r="1880">
      <c r="A1880" s="13" t="inlineStr">
        <is>
          <t>Machine Over Matter / Máquina Sobre Matéria</t>
        </is>
      </c>
      <c r="B1880" s="13" t="inlineStr">
        <is>
          <t>Instant / Mágica Instantânea</t>
        </is>
      </c>
      <c r="C1880" s="13" t="inlineStr">
        <is>
          <t>Common / Comum</t>
        </is>
      </c>
      <c r="D1880" s="13"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1880" s="13" t="inlineStr">
        <is>
          <t>{1}{U}</t>
        </is>
      </c>
      <c r="F1880" s="13" t="inlineStr">
        <is>
          <t>Azul</t>
        </is>
      </c>
      <c r="G1880" s="8" t="n">
        <v>0.05</v>
      </c>
      <c r="H1880" s="13" t="inlineStr">
        <is>
          <t>The Brothers' War (BRO)</t>
        </is>
      </c>
      <c r="I1880" s="13" t="inlineStr">
        <is>
          <t>Não</t>
        </is>
      </c>
      <c r="J1880" s="13" t="n">
        <v>2022</v>
      </c>
      <c r="L1880" s="13" t="n">
        <v>1</v>
      </c>
      <c r="M1880" s="8">
        <f>L1880*G1880</f>
        <v/>
      </c>
      <c r="P1880" s="9" t="n"/>
    </row>
    <row r="1881">
      <c r="A1881" s="13" t="inlineStr">
        <is>
          <t>Machinist's Arsenal / Arsenal do Maquinista</t>
        </is>
      </c>
      <c r="B1881" s="13" t="inlineStr">
        <is>
          <t>Artefato — Equipamento</t>
        </is>
      </c>
      <c r="C1881" s="13" t="inlineStr">
        <is>
          <t>Rara</t>
        </is>
      </c>
      <c r="D1881" s="13"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1881" s="13" t="inlineStr">
        <is>
          <t>4{W}</t>
        </is>
      </c>
      <c r="F1881" s="13" t="inlineStr">
        <is>
          <t>Branco</t>
        </is>
      </c>
      <c r="G1881" s="8" t="n">
        <v>1</v>
      </c>
      <c r="H1881" s="13" t="inlineStr">
        <is>
          <t>Final Fantasy</t>
        </is>
      </c>
      <c r="I1881" s="13" t="inlineStr">
        <is>
          <t>Não</t>
        </is>
      </c>
      <c r="J1881" s="13" t="n">
        <v>2025</v>
      </c>
      <c r="L1881" s="13" t="n">
        <v>1</v>
      </c>
      <c r="M1881" s="8">
        <f>L1881*G1881</f>
        <v/>
      </c>
      <c r="P1881" s="9" t="n"/>
    </row>
    <row r="1882">
      <c r="A1882" s="13" t="inlineStr">
        <is>
          <t>Maestros Theater / Teatro dos Maestros</t>
        </is>
      </c>
      <c r="B1882" s="13" t="inlineStr">
        <is>
          <t>Land / Terreno</t>
        </is>
      </c>
      <c r="C1882" s="13" t="inlineStr">
        <is>
          <t>Common / Comum</t>
        </is>
      </c>
      <c r="D1882" s="13"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882" s="13" t="inlineStr">
        <is>
          <t>Incolor</t>
        </is>
      </c>
      <c r="G1882" s="8" t="n">
        <v>1.09</v>
      </c>
      <c r="H1882" s="13" t="inlineStr">
        <is>
          <t>Streets of New Capenna (SNC)</t>
        </is>
      </c>
      <c r="I1882" s="13" t="inlineStr">
        <is>
          <t>Não</t>
        </is>
      </c>
      <c r="J1882" s="13" t="n">
        <v>2022</v>
      </c>
      <c r="L1882" s="13" t="n">
        <v>2</v>
      </c>
      <c r="M1882" s="8">
        <f>L1882*G1882</f>
        <v/>
      </c>
      <c r="P1882" s="9" t="n"/>
    </row>
    <row r="1883">
      <c r="A1883" s="13" t="inlineStr">
        <is>
          <t>Mage Hunters' Onslaught / Investida dos Caça-magos</t>
        </is>
      </c>
      <c r="B1883" s="13" t="inlineStr">
        <is>
          <t>Sorcery / Feitiço</t>
        </is>
      </c>
      <c r="C1883" s="13" t="inlineStr">
        <is>
          <t>Common / Comum</t>
        </is>
      </c>
      <c r="D1883" s="13" t="inlineStr">
        <is>
          <t>Destroy target creature or planeswalker. Whenever a creature blocks this turn, its controller loses 1 life. / Destrua a criatura ou o planeswalker alvo. Toda vez que uma criatura bloqueia neste turno, seu controlador perde 1 ponto de vida.</t>
        </is>
      </c>
      <c r="E1883" s="13" t="inlineStr">
        <is>
          <t>{2}{B}{B}</t>
        </is>
      </c>
      <c r="F1883" s="13" t="inlineStr">
        <is>
          <t>Preto</t>
        </is>
      </c>
      <c r="G1883" s="8" t="n">
        <v>0.05</v>
      </c>
      <c r="H1883" s="13" t="inlineStr">
        <is>
          <t>Strixhaven: School of Mages (STX)</t>
        </is>
      </c>
      <c r="I1883" s="13" t="inlineStr">
        <is>
          <t>Não</t>
        </is>
      </c>
      <c r="J1883" s="13" t="n">
        <v>2021</v>
      </c>
      <c r="L1883" s="13" t="n">
        <v>1</v>
      </c>
      <c r="M1883" s="8">
        <f>L1883*G1883</f>
        <v/>
      </c>
      <c r="P1883" s="9" t="n"/>
    </row>
    <row r="1884">
      <c r="A1884" s="13" t="inlineStr">
        <is>
          <t>Mage-Ring Network / Rede dos Anéis de Mago</t>
        </is>
      </c>
      <c r="B1884" s="13" t="inlineStr">
        <is>
          <t>Land / Terreno</t>
        </is>
      </c>
      <c r="C1884" s="13" t="inlineStr">
        <is>
          <t>Uncommon / Incomum</t>
        </is>
      </c>
      <c r="D1884" s="13"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884" s="13" t="inlineStr">
        <is>
          <t>Incolor</t>
        </is>
      </c>
      <c r="G1884" s="8" t="n">
        <v>0.2</v>
      </c>
      <c r="H1884" s="13" t="inlineStr">
        <is>
          <t>Magic Origins (ORI)</t>
        </is>
      </c>
      <c r="I1884" s="13" t="inlineStr">
        <is>
          <t>Não</t>
        </is>
      </c>
      <c r="J1884" s="13" t="n">
        <v>2015</v>
      </c>
      <c r="L1884" s="13" t="n">
        <v>1</v>
      </c>
      <c r="M1884" s="8">
        <f>L1884*G1884</f>
        <v/>
      </c>
      <c r="P1884" s="9" t="n"/>
    </row>
    <row r="1885">
      <c r="A1885" s="13" t="inlineStr">
        <is>
          <t>Magic Damper</t>
        </is>
      </c>
      <c r="B1885" s="13" t="inlineStr">
        <is>
          <t>Instant</t>
        </is>
      </c>
      <c r="C1885" s="13" t="inlineStr">
        <is>
          <t>Comum</t>
        </is>
      </c>
      <c r="D1885" s="13" t="inlineStr">
        <is>
          <t>Target creature you control gets +1/+1 and gains hexproof until end of turn. Untap it.</t>
        </is>
      </c>
      <c r="E1885" s="13" t="inlineStr">
        <is>
          <t>U</t>
        </is>
      </c>
      <c r="F1885" s="13" t="inlineStr">
        <is>
          <t>Azul</t>
        </is>
      </c>
      <c r="G1885" s="8" t="n">
        <v>0.2</v>
      </c>
      <c r="H1885" s="13" t="inlineStr">
        <is>
          <t>Final Fantasy (FFXIII)</t>
        </is>
      </c>
      <c r="I1885" s="13" t="inlineStr">
        <is>
          <t>Não</t>
        </is>
      </c>
      <c r="J1885" s="13" t="n">
        <v>2025</v>
      </c>
      <c r="L1885" s="13" t="n">
        <v>6</v>
      </c>
      <c r="M1885" s="8">
        <f>L1885*G1885</f>
        <v/>
      </c>
      <c r="P1885" s="9" t="n"/>
    </row>
    <row r="1886">
      <c r="A1886" s="13" t="inlineStr">
        <is>
          <t>Magic Missile / Mísseis Mágicos</t>
        </is>
      </c>
      <c r="B1886" s="13" t="inlineStr">
        <is>
          <t>Sorcery / Feitiço</t>
        </is>
      </c>
      <c r="C1886" s="13" t="inlineStr">
        <is>
          <t>Uncommon / Incomum</t>
        </is>
      </c>
      <c r="D1886" s="13" t="inlineStr">
        <is>
          <t>This spell can't be countered. Magic Missile deals 3 damage divided as you choose among one, two, or three targets. / Esta mágica não pode ser anulada. Mísseis Mágicos causa 3 pontos de dano divididos à sua escolha entre um, dois ou três alvos.</t>
        </is>
      </c>
      <c r="E1886" s="13" t="inlineStr">
        <is>
          <t>{1}{R}{R}</t>
        </is>
      </c>
      <c r="F1886" s="13" t="inlineStr">
        <is>
          <t>Vermelho</t>
        </is>
      </c>
      <c r="G1886" s="8" t="n">
        <v>0.13</v>
      </c>
      <c r="H1886" s="13" t="inlineStr">
        <is>
          <t>Adventures in the Forgotten Realms (AFR)</t>
        </is>
      </c>
      <c r="I1886" s="13" t="inlineStr">
        <is>
          <t>Não</t>
        </is>
      </c>
      <c r="J1886" s="13" t="n">
        <v>2021</v>
      </c>
      <c r="L1886" s="13" t="n">
        <v>1</v>
      </c>
      <c r="M1886" s="8">
        <f>L1886*G1886</f>
        <v/>
      </c>
      <c r="P1886" s="9" t="n"/>
    </row>
    <row r="1887">
      <c r="A1887" s="13" t="inlineStr">
        <is>
          <t>Magic Pot / Pote Mágico</t>
        </is>
      </c>
      <c r="B1887" s="13" t="inlineStr">
        <is>
          <t>Criatura Artefato — Golem Goblin</t>
        </is>
      </c>
      <c r="C1887" s="13" t="inlineStr">
        <is>
          <t>Comum</t>
        </is>
      </c>
      <c r="D1887" s="13" t="inlineStr">
        <is>
          <t>Quando esta criatura morrer, crie uma ficha de Tesouro. (Ela é um artefato com "{T}, Sacrifique esta ficha: Adicione um mana de qualquer cor.") {2}, {T}: Exile o card alvo de um cemitério.</t>
        </is>
      </c>
      <c r="E1887" s="13" t="n">
        <v>3</v>
      </c>
      <c r="F1887" s="13" t="inlineStr">
        <is>
          <t>Incolor</t>
        </is>
      </c>
      <c r="G1887" s="8" t="n">
        <v>0.03</v>
      </c>
      <c r="H1887" s="13" t="inlineStr">
        <is>
          <t>Final Fantasy</t>
        </is>
      </c>
      <c r="I1887" s="13" t="inlineStr">
        <is>
          <t>Não</t>
        </is>
      </c>
      <c r="J1887" s="13" t="n">
        <v>2025</v>
      </c>
      <c r="K1887" s="10" t="n">
        <v>46113</v>
      </c>
      <c r="L1887" s="13" t="n">
        <v>10</v>
      </c>
      <c r="M1887" s="8">
        <f>L1887*G1887</f>
        <v/>
      </c>
      <c r="P1887" s="9" t="n"/>
    </row>
    <row r="1888">
      <c r="A1888" s="13" t="inlineStr">
        <is>
          <t>Magitek Armor / Armadura Magitek</t>
        </is>
      </c>
      <c r="B1888" s="13" t="inlineStr">
        <is>
          <t>Artefato — Veículo</t>
        </is>
      </c>
      <c r="C1888" s="13" t="inlineStr">
        <is>
          <t>Incomum</t>
        </is>
      </c>
      <c r="D1888" s="13" t="inlineStr">
        <is>
          <t>Quando este Veículo entrar, crie uma ficha de criatura Herói incolor 1/1. Tripular 1 (Vire qualquer número de criaturas que você controla com poder total igual ou superior a 1: Este Veículo se torna uma criatura artefato até o final do turno.)</t>
        </is>
      </c>
      <c r="E1888" s="13" t="inlineStr">
        <is>
          <t>3{W}</t>
        </is>
      </c>
      <c r="F1888" s="13" t="inlineStr">
        <is>
          <t>Branco</t>
        </is>
      </c>
      <c r="G1888" s="8" t="n">
        <v>0.15</v>
      </c>
      <c r="H1888" s="13" t="inlineStr">
        <is>
          <t>Final Fantasy</t>
        </is>
      </c>
      <c r="I1888" s="13" t="inlineStr">
        <is>
          <t>Não</t>
        </is>
      </c>
      <c r="J1888" s="13" t="n">
        <v>2025</v>
      </c>
      <c r="K1888" s="10" t="n">
        <v>46116</v>
      </c>
      <c r="L1888" s="13" t="n">
        <v>1</v>
      </c>
      <c r="M1888" s="8">
        <f>L1888*G1888</f>
        <v/>
      </c>
      <c r="P1888" s="9" t="n"/>
    </row>
    <row r="1889">
      <c r="A1889" s="13" t="inlineStr">
        <is>
          <t>Magitek Infantry / Infantaria Magitek</t>
        </is>
      </c>
      <c r="B1889" s="13" t="inlineStr">
        <is>
          <t>Criatura Artefato — Robô Soldado</t>
        </is>
      </c>
      <c r="C1889" s="13" t="inlineStr">
        <is>
          <t>Comum</t>
        </is>
      </c>
      <c r="D1889" s="13" t="inlineStr">
        <is>
          <t>Esta criatura recebe +1/+0 enquanto você controlar outro artefato. {2}{W}: Procure em seu grimório por um card chamado Infantaria Magitek, coloque-o no campo de batalha virado e depois embaralhe.</t>
        </is>
      </c>
      <c r="E1889" s="13" t="inlineStr">
        <is>
          <t>{W}</t>
        </is>
      </c>
      <c r="F1889" s="13" t="inlineStr">
        <is>
          <t>Branco</t>
        </is>
      </c>
      <c r="G1889" s="8" t="n">
        <v>0.05</v>
      </c>
      <c r="H1889" s="13" t="inlineStr">
        <is>
          <t>Final Fantasy</t>
        </is>
      </c>
      <c r="I1889" s="13" t="inlineStr">
        <is>
          <t>Não</t>
        </is>
      </c>
      <c r="J1889" s="13" t="n">
        <v>2025</v>
      </c>
      <c r="K1889" s="10" t="n">
        <v>46023</v>
      </c>
      <c r="L1889" s="13" t="n">
        <v>9</v>
      </c>
      <c r="M1889" s="8">
        <f>L1889*G1889</f>
        <v/>
      </c>
      <c r="P1889" s="9" t="n"/>
    </row>
    <row r="1890">
      <c r="A1890" s="13" t="inlineStr">
        <is>
          <t>Magitek Infantry / Infantaria Magitek</t>
        </is>
      </c>
      <c r="B1890" s="13" t="inlineStr">
        <is>
          <t>Criatura Artefato — Robô Soldado</t>
        </is>
      </c>
      <c r="C1890" s="13" t="inlineStr">
        <is>
          <t>Comum</t>
        </is>
      </c>
      <c r="D1890" s="13" t="inlineStr">
        <is>
          <t>Esta criatura recebe +1/+0 enquanto você controlar outro artefato. {2}{W}: Procure em seu grimório por um card chamado Infantaria Magitek, coloque-o no campo de batalha virado e depois embaralhe.</t>
        </is>
      </c>
      <c r="E1890" s="13" t="inlineStr">
        <is>
          <t>{W}</t>
        </is>
      </c>
      <c r="F1890" s="13" t="inlineStr">
        <is>
          <t>Branco</t>
        </is>
      </c>
      <c r="G1890" s="8" t="n">
        <v>0.4</v>
      </c>
      <c r="H1890" s="13" t="inlineStr">
        <is>
          <t>Final Fantasy</t>
        </is>
      </c>
      <c r="I1890" s="13" t="inlineStr">
        <is>
          <t>Sim</t>
        </is>
      </c>
      <c r="J1890" s="13" t="n">
        <v>2025</v>
      </c>
      <c r="K1890" s="10" t="n">
        <v>46023</v>
      </c>
      <c r="L1890" s="13" t="n">
        <v>1</v>
      </c>
      <c r="M1890" s="8">
        <f>L1890*G1890</f>
        <v/>
      </c>
      <c r="P1890" s="9" t="n"/>
    </row>
    <row r="1891">
      <c r="A1891" s="13" t="inlineStr">
        <is>
          <t>Magma Jet</t>
        </is>
      </c>
      <c r="B1891" s="13" t="inlineStr">
        <is>
          <t>Instant</t>
        </is>
      </c>
      <c r="C1891" s="13" t="inlineStr">
        <is>
          <t>Common</t>
        </is>
      </c>
      <c r="D1891" s="13" t="inlineStr">
        <is>
          <t>Magma Jet deals 2 damage to target creature or player. Scry 2. (To scry 2, look at the top two cards of your library, then put any number of them on the bottom of your library and the rest on top in any order.)</t>
        </is>
      </c>
      <c r="E1891" s="13" t="inlineStr">
        <is>
          <t>{1}{R}</t>
        </is>
      </c>
      <c r="F1891" s="13" t="inlineStr">
        <is>
          <t>Red</t>
        </is>
      </c>
      <c r="G1891" s="8" t="n">
        <v>0.15</v>
      </c>
      <c r="H1891" s="13" t="inlineStr">
        <is>
          <t xml:space="preserve">Duel Decks: Jace vs. Chandra </t>
        </is>
      </c>
      <c r="I1891" s="13" t="inlineStr">
        <is>
          <t>No</t>
        </is>
      </c>
      <c r="J1891" s="13" t="n">
        <v>2014</v>
      </c>
      <c r="L1891" s="13" t="n">
        <v>4</v>
      </c>
      <c r="M1891" s="8">
        <f>L1891*G1891</f>
        <v/>
      </c>
      <c r="P1891" s="9" t="n"/>
    </row>
    <row r="1892">
      <c r="A1892" s="13" t="inlineStr">
        <is>
          <t>Magma Mine / Mina de Magma</t>
        </is>
      </c>
      <c r="B1892" s="13" t="inlineStr">
        <is>
          <t>Artifact / Artefato</t>
        </is>
      </c>
      <c r="C1892" s="13" t="inlineStr">
        <is>
          <t>Rare / Rara</t>
        </is>
      </c>
      <c r="D1892" s="13"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1892" s="13" t="inlineStr">
        <is>
          <t>{1}</t>
        </is>
      </c>
      <c r="F1892" s="13" t="inlineStr">
        <is>
          <t>Incolor</t>
        </is>
      </c>
      <c r="G1892" s="8" t="n">
        <v>0.13</v>
      </c>
      <c r="H1892" s="13" t="inlineStr">
        <is>
          <t>Visions (VIS)</t>
        </is>
      </c>
      <c r="I1892" s="13" t="inlineStr">
        <is>
          <t>No</t>
        </is>
      </c>
      <c r="J1892" s="13" t="n">
        <v>1997</v>
      </c>
      <c r="L1892" s="13" t="n">
        <v>1</v>
      </c>
      <c r="M1892" s="8">
        <f>L1892*G1892</f>
        <v/>
      </c>
      <c r="P1892" s="9" t="n"/>
    </row>
    <row r="1893">
      <c r="A1893" s="13" t="inlineStr">
        <is>
          <t>Magma Spray / Esguicho de Magma</t>
        </is>
      </c>
      <c r="B1893" s="13" t="inlineStr">
        <is>
          <t>Instant / Mágica Instantânea</t>
        </is>
      </c>
      <c r="C1893" s="13" t="inlineStr">
        <is>
          <t>Common / Comum</t>
        </is>
      </c>
      <c r="D1893" s="13" t="inlineStr">
        <is>
          <t>Magma Spray deals 2 damage to target creature. If that creature would die this turn, exile it instead. / Esguicho de Magma causa 2 pontos de dano à criatura alvo. Se aquela criatura for morrer neste turno, em vez disso, exile-a.</t>
        </is>
      </c>
      <c r="E1893" s="13" t="inlineStr">
        <is>
          <t>{R}</t>
        </is>
      </c>
      <c r="F1893" s="13" t="inlineStr">
        <is>
          <t>Vermelho</t>
        </is>
      </c>
      <c r="G1893" s="8" t="n">
        <v>0.06</v>
      </c>
      <c r="H1893" s="13" t="inlineStr">
        <is>
          <t>Amonkhet (AKH)</t>
        </is>
      </c>
      <c r="I1893" s="13" t="inlineStr">
        <is>
          <t>Não</t>
        </is>
      </c>
      <c r="J1893" s="13" t="n">
        <v>2017</v>
      </c>
      <c r="L1893" s="13" t="n">
        <v>1</v>
      </c>
      <c r="M1893" s="8">
        <f>L1893*G1893</f>
        <v/>
      </c>
      <c r="N1893" s="13" t="inlineStr">
        <is>
          <t>Bulk Shopee</t>
        </is>
      </c>
      <c r="P1893" s="9" t="n"/>
    </row>
    <row r="1894">
      <c r="A1894" s="13" t="inlineStr">
        <is>
          <t>Magmatic Sprinter / Corredor Magmático</t>
        </is>
      </c>
      <c r="B1894" s="13" t="inlineStr">
        <is>
          <t>Creature — Phyrexian Warrior / Criatura — Phyrexiano Guerreiro</t>
        </is>
      </c>
      <c r="C1894" s="13" t="inlineStr">
        <is>
          <t>Uncommon / Incomum</t>
        </is>
      </c>
      <c r="D1894" s="13"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1894" s="13" t="inlineStr">
        <is>
          <t>{2}{R}</t>
        </is>
      </c>
      <c r="F1894" s="13" t="inlineStr">
        <is>
          <t>Vermelho</t>
        </is>
      </c>
      <c r="G1894" s="8" t="n">
        <v>0.04</v>
      </c>
      <c r="H1894" s="13" t="inlineStr">
        <is>
          <t>Phyrexia: All Will Be One (ONE)</t>
        </is>
      </c>
      <c r="I1894" s="13" t="inlineStr">
        <is>
          <t>Não</t>
        </is>
      </c>
      <c r="J1894" s="13" t="n">
        <v>2023</v>
      </c>
      <c r="K1894" s="10" t="n">
        <v>46056</v>
      </c>
      <c r="L1894" s="13" t="n">
        <v>1</v>
      </c>
      <c r="M1894" s="8">
        <f>L1894*G1894</f>
        <v/>
      </c>
      <c r="P1894" s="9" t="n"/>
    </row>
    <row r="1895">
      <c r="A1895" s="13" t="inlineStr">
        <is>
          <t>Magnetic Mountain / Montanha Magnética</t>
        </is>
      </c>
      <c r="B1895" s="13" t="inlineStr">
        <is>
          <t>Enchantment</t>
        </is>
      </c>
      <c r="C1895" s="13" t="inlineStr">
        <is>
          <t>Uncommon / Incomum</t>
        </is>
      </c>
      <c r="D1895" s="13"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1895" s="13" t="inlineStr">
        <is>
          <t>{1}{R}{R}</t>
        </is>
      </c>
      <c r="F1895" s="13" t="inlineStr">
        <is>
          <t>Vermelho</t>
        </is>
      </c>
      <c r="G1895" s="8" t="n">
        <v>0.7</v>
      </c>
      <c r="H1895" s="13" t="inlineStr">
        <is>
          <t>Quarta Edição</t>
        </is>
      </c>
      <c r="I1895" s="13" t="inlineStr">
        <is>
          <t>Não</t>
        </is>
      </c>
      <c r="J1895" s="13" t="n">
        <v>1995</v>
      </c>
      <c r="L1895" s="13" t="n">
        <v>1</v>
      </c>
      <c r="M1895" s="8">
        <f>L1895*G1895</f>
        <v/>
      </c>
      <c r="P1895" s="9" t="n"/>
    </row>
    <row r="1896">
      <c r="A1896" s="13" t="inlineStr">
        <is>
          <t>Magnetic Mountain / Montanha Magnética</t>
        </is>
      </c>
      <c r="B1896" s="13" t="inlineStr">
        <is>
          <t>Enchantment</t>
        </is>
      </c>
      <c r="C1896" s="13" t="inlineStr">
        <is>
          <t>Uncommon / Incomum</t>
        </is>
      </c>
      <c r="D1896" s="13"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1896" s="13" t="inlineStr">
        <is>
          <t>{1}{R}{R}</t>
        </is>
      </c>
      <c r="F1896" s="13" t="inlineStr">
        <is>
          <t>Vermelho</t>
        </is>
      </c>
      <c r="G1896" s="8" t="n">
        <v>1.85</v>
      </c>
      <c r="H1896" s="13" t="inlineStr">
        <is>
          <t>Quarta Edição (BB)</t>
        </is>
      </c>
      <c r="I1896" s="13" t="inlineStr">
        <is>
          <t>Não</t>
        </is>
      </c>
      <c r="J1896" s="13" t="n">
        <v>1995</v>
      </c>
      <c r="L1896" s="13" t="n">
        <v>1</v>
      </c>
      <c r="M1896" s="8">
        <f>L1896*G1896</f>
        <v/>
      </c>
      <c r="P1896" s="9" t="n"/>
    </row>
    <row r="1897">
      <c r="A1897" s="13" t="inlineStr">
        <is>
          <t>Mai, Jaded Edge</t>
        </is>
      </c>
      <c r="B1897" s="13" t="inlineStr">
        <is>
          <t>Legendary Creature — Human Noble</t>
        </is>
      </c>
      <c r="C1897" s="13" t="inlineStr">
        <is>
          <t>Uncommon / Incomum</t>
        </is>
      </c>
      <c r="D1897" s="13" t="inlineStr">
        <is>
          <t>Prowess (Whenever you cast a noncreature spell, this creature gets +1/+1 until end of turn.) Exhaust — {3}: Put a double strike counter on Mai. (Activate each exhaust ability only once.)</t>
        </is>
      </c>
      <c r="E1897" s="13" t="inlineStr">
        <is>
          <t>{1}{R}</t>
        </is>
      </c>
      <c r="F1897" s="13" t="inlineStr">
        <is>
          <t>Vermelho</t>
        </is>
      </c>
      <c r="G1897" s="8" t="n">
        <v>0.15</v>
      </c>
      <c r="H1897" s="13" t="inlineStr">
        <is>
          <t>Avatar: The Last Airbender (TLA)</t>
        </is>
      </c>
      <c r="I1897" s="13" t="inlineStr">
        <is>
          <t>Não</t>
        </is>
      </c>
      <c r="J1897" s="13" t="n">
        <v>2025</v>
      </c>
      <c r="K1897" s="10" t="n">
        <v>46082</v>
      </c>
      <c r="L1897" s="13" t="n">
        <v>1</v>
      </c>
      <c r="M1897" s="8">
        <f>L1897*G1897</f>
        <v/>
      </c>
      <c r="P1897" s="9" t="n"/>
    </row>
    <row r="1898">
      <c r="A1898" s="13" t="inlineStr">
        <is>
          <t>Make Disappear / Fazer Desaparecer</t>
        </is>
      </c>
      <c r="B1898" s="13" t="inlineStr">
        <is>
          <t>Instant / Mágica Instantânea</t>
        </is>
      </c>
      <c r="C1898" s="13" t="inlineStr">
        <is>
          <t>Common / Comum</t>
        </is>
      </c>
      <c r="D1898" s="13"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898" s="13" t="inlineStr">
        <is>
          <t>{1}{U}</t>
        </is>
      </c>
      <c r="F1898" s="13" t="inlineStr">
        <is>
          <t>Azul</t>
        </is>
      </c>
      <c r="G1898" s="8" t="n">
        <v>0.4</v>
      </c>
      <c r="H1898" s="13" t="inlineStr">
        <is>
          <t>Streets of New Capenna (SNC)</t>
        </is>
      </c>
      <c r="I1898" s="13" t="inlineStr">
        <is>
          <t>Sim</t>
        </is>
      </c>
      <c r="J1898" s="13" t="n">
        <v>2022</v>
      </c>
      <c r="L1898" s="13" t="n">
        <v>4</v>
      </c>
      <c r="M1898" s="8">
        <f>L1898*G1898</f>
        <v/>
      </c>
      <c r="P1898" s="9" t="n"/>
    </row>
    <row r="1899">
      <c r="A1899" s="13" t="inlineStr">
        <is>
          <t>Make Your Move / Faça Sua Jogada</t>
        </is>
      </c>
      <c r="B1899" s="13" t="inlineStr">
        <is>
          <t>Instant / Mágica Instantânea</t>
        </is>
      </c>
      <c r="C1899" s="13" t="inlineStr">
        <is>
          <t>Common / Comum</t>
        </is>
      </c>
      <c r="D1899" s="13" t="inlineStr">
        <is>
          <t>Destroy target artifact, enchantment, or creature with power 4 or greater. / Destrua o artefato, o encantamento ou a criatura com poder igual ou superior a 4 alvo.</t>
        </is>
      </c>
      <c r="E1899" s="13" t="inlineStr">
        <is>
          <t>{2}{W}</t>
        </is>
      </c>
      <c r="F1899" s="13" t="inlineStr">
        <is>
          <t>Branco</t>
        </is>
      </c>
      <c r="G1899" s="8" t="n">
        <v>0.05</v>
      </c>
      <c r="H1899" s="13" t="inlineStr">
        <is>
          <t>Teenage Mutant Ninja Turtles (TMT)</t>
        </is>
      </c>
      <c r="I1899" s="13" t="inlineStr">
        <is>
          <t>Não</t>
        </is>
      </c>
      <c r="J1899" s="13" t="n">
        <v>2026</v>
      </c>
      <c r="L1899" s="13" t="n">
        <v>6</v>
      </c>
      <c r="M1899" s="8">
        <f>L1899*G1899</f>
        <v/>
      </c>
      <c r="P1899" s="9" t="n"/>
    </row>
    <row r="1900">
      <c r="A1900" s="13" t="inlineStr">
        <is>
          <t>Make Your Move / Faça Sua Jogada</t>
        </is>
      </c>
      <c r="B1900" s="13" t="inlineStr">
        <is>
          <t>Instant / Mágica Instantânea</t>
        </is>
      </c>
      <c r="C1900" s="13" t="inlineStr">
        <is>
          <t>Common / Comum</t>
        </is>
      </c>
      <c r="D1900" s="13" t="inlineStr">
        <is>
          <t>Destroy target artifact, enchantment, or creature with power 4 or greater. / Destrua o artefato, o encantamento ou a criatura com poder igual ou superior a 4 alvo.</t>
        </is>
      </c>
      <c r="E1900" s="13" t="inlineStr">
        <is>
          <t>{2}{W}</t>
        </is>
      </c>
      <c r="F1900" s="13" t="inlineStr">
        <is>
          <t>Branco</t>
        </is>
      </c>
      <c r="G1900" s="8" t="n">
        <v>0.05</v>
      </c>
      <c r="H1900" s="13" t="inlineStr">
        <is>
          <t>Teenage Mutant Ninja Turtles (TMT)</t>
        </is>
      </c>
      <c r="I1900" s="13" t="inlineStr">
        <is>
          <t>Não</t>
        </is>
      </c>
      <c r="J1900" s="13" t="n">
        <v>2026</v>
      </c>
      <c r="L1900" s="13" t="n">
        <v>2</v>
      </c>
      <c r="M1900" s="8">
        <f>L1900*G1900</f>
        <v/>
      </c>
      <c r="P1900" s="9" t="n"/>
    </row>
    <row r="1901">
      <c r="A1901" s="13" t="inlineStr">
        <is>
          <t>Makeshift Battalion / Batalhão Improvisado</t>
        </is>
      </c>
      <c r="B1901" s="13" t="inlineStr">
        <is>
          <t>Creature — Human Soldier / Criatura — Humano Soldado</t>
        </is>
      </c>
      <c r="C1901" s="13" t="inlineStr">
        <is>
          <t>Common / Comum</t>
        </is>
      </c>
      <c r="D1901" s="13" t="inlineStr">
        <is>
          <t>Battalion — Whenever this creature and at least two other creatures attack, put a +1/+1 counter on this creature. / Toda vez que Batalhão Improvisado e ao menos duas outras criaturas atacarem, coloque um marcador +1/+1 em Batalhão Improvisado.</t>
        </is>
      </c>
      <c r="E1901" s="13" t="inlineStr">
        <is>
          <t>{2}{W}</t>
        </is>
      </c>
      <c r="F1901" s="13" t="inlineStr">
        <is>
          <t>Branco</t>
        </is>
      </c>
      <c r="G1901" s="8" t="n">
        <v>0.02</v>
      </c>
      <c r="H1901" s="13" t="inlineStr">
        <is>
          <t>War of the Spark (WAR)</t>
        </is>
      </c>
      <c r="I1901" s="13" t="inlineStr">
        <is>
          <t>Não</t>
        </is>
      </c>
      <c r="J1901" s="13" t="n">
        <v>2019</v>
      </c>
      <c r="K1901" s="10" t="n">
        <v>46056</v>
      </c>
      <c r="L1901" s="13" t="n">
        <v>1</v>
      </c>
      <c r="M1901" s="8">
        <f>L1901*G1901</f>
        <v/>
      </c>
      <c r="P1901" s="9" t="n"/>
    </row>
    <row r="1902">
      <c r="A1902" s="13" t="inlineStr">
        <is>
          <t>Makeshift Munitions / Munições Improvisadas</t>
        </is>
      </c>
      <c r="B1902" s="13" t="inlineStr">
        <is>
          <t>Enchantment / Encantamento</t>
        </is>
      </c>
      <c r="C1902" s="13" t="inlineStr">
        <is>
          <t>Common / Comum</t>
        </is>
      </c>
      <c r="D1902" s="13" t="inlineStr">
        <is>
          <t>{1}, Sacrifice an artifact or creature: This enchantment deals 1 damage to any target. / {1}, sacrifique um artefato ou uma criatura: Munições Improvisadas causa 1 ponto de dano à criatura ou ao jogador alvo.</t>
        </is>
      </c>
      <c r="E1902" s="13" t="inlineStr">
        <is>
          <t>{1}{R}</t>
        </is>
      </c>
      <c r="F1902" s="13" t="inlineStr">
        <is>
          <t>Vermelho</t>
        </is>
      </c>
      <c r="G1902" s="8" t="n">
        <v>0.9</v>
      </c>
      <c r="H1902" s="13" t="inlineStr">
        <is>
          <t>Commander Masters (CMM)</t>
        </is>
      </c>
      <c r="I1902" s="13" t="inlineStr">
        <is>
          <t>Não</t>
        </is>
      </c>
      <c r="J1902" s="13" t="n">
        <v>2023</v>
      </c>
      <c r="L1902" s="13" t="n">
        <v>1</v>
      </c>
      <c r="M1902" s="8">
        <f>L1902*G1902</f>
        <v/>
      </c>
      <c r="P1902" s="9" t="n"/>
    </row>
    <row r="1903">
      <c r="A1903" s="13" t="inlineStr">
        <is>
          <t>Mal Imortal / Undying Evil</t>
        </is>
      </c>
      <c r="B1903" s="13" t="inlineStr">
        <is>
          <t>Mágica Instantânea / Instant</t>
        </is>
      </c>
      <c r="C1903" s="13" t="inlineStr">
        <is>
          <t>Comum / Common</t>
        </is>
      </c>
      <c r="D1903" s="13"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903" s="13" t="inlineStr">
        <is>
          <t>{B}</t>
        </is>
      </c>
      <c r="F1903" s="13" t="inlineStr">
        <is>
          <t>Preto / Black</t>
        </is>
      </c>
      <c r="G1903" s="8" t="n">
        <v>0.55</v>
      </c>
      <c r="H1903" s="13" t="inlineStr">
        <is>
          <t>Dark Ascension (DKA)</t>
        </is>
      </c>
      <c r="I1903" s="13" t="inlineStr">
        <is>
          <t>Não</t>
        </is>
      </c>
      <c r="J1903" s="13" t="n">
        <v>2012</v>
      </c>
      <c r="L1903" s="13" t="n">
        <v>3</v>
      </c>
      <c r="M1903" s="8">
        <f>L1903*G1903</f>
        <v/>
      </c>
      <c r="P1903" s="9" t="n"/>
    </row>
    <row r="1904">
      <c r="A1904" s="13" t="inlineStr">
        <is>
          <t>Malboro / Malboro</t>
        </is>
      </c>
      <c r="B1904" s="13" t="inlineStr">
        <is>
          <t>Criatura — Planta Horror</t>
        </is>
      </c>
      <c r="C1904" s="13" t="inlineStr">
        <is>
          <t>Comum</t>
        </is>
      </c>
      <c r="D1904" s="13"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1904" s="13" t="inlineStr">
        <is>
          <t>4{B}{B}</t>
        </is>
      </c>
      <c r="F1904" s="13" t="inlineStr">
        <is>
          <t>Preto</t>
        </is>
      </c>
      <c r="G1904" s="8" t="n">
        <v>0.1</v>
      </c>
      <c r="H1904" s="13" t="inlineStr">
        <is>
          <t>Final Fantasy</t>
        </is>
      </c>
      <c r="I1904" s="13" t="inlineStr">
        <is>
          <t>Não</t>
        </is>
      </c>
      <c r="J1904" s="13" t="n">
        <v>2025</v>
      </c>
      <c r="K1904" s="10" t="n">
        <v>46116</v>
      </c>
      <c r="L1904" s="13" t="n">
        <v>13</v>
      </c>
      <c r="M1904" s="8">
        <f>L1904*G1904</f>
        <v/>
      </c>
      <c r="P1904" s="9" t="n"/>
    </row>
    <row r="1905">
      <c r="A1905" s="13" t="inlineStr">
        <is>
          <t>Maldição da Sede / Curse of Thirst</t>
        </is>
      </c>
      <c r="B1905" s="13" t="inlineStr">
        <is>
          <t>Encantamento — Aura Maldição / Enchantment — Aura Curse</t>
        </is>
      </c>
      <c r="C1905" s="13" t="inlineStr">
        <is>
          <t>Incomum / Uncommon</t>
        </is>
      </c>
      <c r="D1905" s="13"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905" s="13" t="inlineStr">
        <is>
          <t>{4}{B}</t>
        </is>
      </c>
      <c r="F1905" s="13" t="inlineStr">
        <is>
          <t>Preto / Black</t>
        </is>
      </c>
      <c r="G1905" s="8" t="n">
        <v>0.1</v>
      </c>
      <c r="H1905" s="13" t="inlineStr">
        <is>
          <t>Dark Ascension (DKA)</t>
        </is>
      </c>
      <c r="I1905" s="13" t="inlineStr">
        <is>
          <t>Não</t>
        </is>
      </c>
      <c r="J1905" s="13" t="n">
        <v>2012</v>
      </c>
      <c r="L1905" s="13" t="n">
        <v>1</v>
      </c>
      <c r="M1905" s="8">
        <f>L1905*G1905</f>
        <v/>
      </c>
      <c r="P1905" s="9" t="n"/>
    </row>
    <row r="1906">
      <c r="A1906" s="13" t="inlineStr">
        <is>
          <t>Malevolent Chandelier</t>
        </is>
      </c>
      <c r="B1906" s="13" t="inlineStr">
        <is>
          <t>Artifact Creature — Construct</t>
        </is>
      </c>
      <c r="C1906" s="13" t="inlineStr">
        <is>
          <t>Common / Comum</t>
        </is>
      </c>
      <c r="D1906" s="13" t="inlineStr">
        <is>
          <t>Flying {2}: Put target card from a graveyard on the bottom of its owner's library. Activate only as a sorcery.</t>
        </is>
      </c>
      <c r="E1906" s="13" t="inlineStr">
        <is>
          <t>{6}</t>
        </is>
      </c>
      <c r="F1906" s="13" t="inlineStr">
        <is>
          <t>Incolor</t>
        </is>
      </c>
      <c r="G1906" s="8" t="n">
        <v>0.03</v>
      </c>
      <c r="H1906" s="13" t="inlineStr">
        <is>
          <t>Duskmourn: House of Horror (DSK)</t>
        </is>
      </c>
      <c r="I1906" s="13" t="inlineStr">
        <is>
          <t>Não</t>
        </is>
      </c>
      <c r="J1906" s="13" t="n">
        <v>2024</v>
      </c>
      <c r="K1906" s="10" t="n">
        <v>46116</v>
      </c>
      <c r="L1906" s="13" t="n">
        <v>1</v>
      </c>
      <c r="M1906" s="8">
        <f>L1906*G1906</f>
        <v/>
      </c>
      <c r="P1906" s="9" t="n"/>
    </row>
    <row r="1907">
      <c r="A1907" s="13" t="inlineStr">
        <is>
          <t>Malicious Malfunction / Anomalia Maligna</t>
        </is>
      </c>
      <c r="B1907" s="13" t="inlineStr">
        <is>
          <t>Sorcery / Feitiço</t>
        </is>
      </c>
      <c r="C1907" s="13" t="inlineStr">
        <is>
          <t>Uncommon / Incomum</t>
        </is>
      </c>
      <c r="D1907" s="13" t="inlineStr">
        <is>
          <t>All creatures get -2/-2 until end of turn. If a creature would die this turn, exile it instead. / Todas as criaturas recebem -2/-2 até o final do turno. Se uma criatura morreria neste turno, em vez disso, exile-a.</t>
        </is>
      </c>
      <c r="E1907" s="13" t="inlineStr">
        <is>
          <t>{1}{B}{B}</t>
        </is>
      </c>
      <c r="F1907" s="13" t="inlineStr">
        <is>
          <t>Preto</t>
        </is>
      </c>
      <c r="G1907" s="8" t="n">
        <v>0.09</v>
      </c>
      <c r="H1907" s="13" t="inlineStr">
        <is>
          <t>Kamigawa: Neon Dynasty (NEO)</t>
        </is>
      </c>
      <c r="I1907" s="13" t="inlineStr">
        <is>
          <t>Não</t>
        </is>
      </c>
      <c r="J1907" s="13" t="n">
        <v>2022</v>
      </c>
      <c r="L1907" s="13" t="n">
        <v>1</v>
      </c>
      <c r="M1907" s="8">
        <f>L1907*G1907</f>
        <v/>
      </c>
      <c r="P1907" s="9" t="n"/>
    </row>
    <row r="1908">
      <c r="A1908" s="13" t="inlineStr">
        <is>
          <t>Mammoth Growth / Crescimento Mastodôntico</t>
        </is>
      </c>
      <c r="B1908" s="13" t="inlineStr">
        <is>
          <t>Instant / Mágica Instantânea</t>
        </is>
      </c>
      <c r="C1908" s="13" t="inlineStr">
        <is>
          <t>Common / Comum</t>
        </is>
      </c>
      <c r="D1908" s="13"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1908" s="13" t="inlineStr">
        <is>
          <t>{2}{G}</t>
        </is>
      </c>
      <c r="F1908" s="13" t="inlineStr">
        <is>
          <t>Verde</t>
        </is>
      </c>
      <c r="G1908" s="8" t="n">
        <v>0.06</v>
      </c>
      <c r="H1908" s="13" t="inlineStr">
        <is>
          <t>Kaldheim (KHM)</t>
        </is>
      </c>
      <c r="I1908" s="13" t="inlineStr">
        <is>
          <t>Não</t>
        </is>
      </c>
      <c r="J1908" s="13" t="n">
        <v>2021</v>
      </c>
      <c r="L1908" s="13" t="n">
        <v>1</v>
      </c>
      <c r="M1908" s="8">
        <f>L1908*G1908</f>
        <v/>
      </c>
      <c r="P1908" s="9" t="n"/>
    </row>
    <row r="1909">
      <c r="A1909" s="13" t="inlineStr">
        <is>
          <t>Mammoth Spider / Aranha Mamute</t>
        </is>
      </c>
      <c r="B1909" s="13" t="inlineStr">
        <is>
          <t>Creature — Spider / Criatura — Aranha</t>
        </is>
      </c>
      <c r="C1909" s="13" t="inlineStr">
        <is>
          <t>Common / Comum</t>
        </is>
      </c>
      <c r="D1909" s="13" t="inlineStr">
        <is>
          <t>Reach (This creature can block creatures with flying.) / Alcance</t>
        </is>
      </c>
      <c r="E1909" s="13" t="inlineStr">
        <is>
          <t>{4}{G}</t>
        </is>
      </c>
      <c r="F1909" s="13" t="inlineStr">
        <is>
          <t>Verde</t>
        </is>
      </c>
      <c r="G1909" s="8" t="n">
        <v>0.03</v>
      </c>
      <c r="H1909" s="13" t="inlineStr">
        <is>
          <t>Core Set 2020 (M20)</t>
        </is>
      </c>
      <c r="I1909" s="13" t="inlineStr">
        <is>
          <t>Não</t>
        </is>
      </c>
      <c r="J1909" s="13" t="n">
        <v>2019</v>
      </c>
      <c r="K1909" s="10" t="n">
        <v>46145</v>
      </c>
      <c r="L1909" s="13" t="n">
        <v>1</v>
      </c>
      <c r="M1909" s="8">
        <f>L1909*G1909</f>
        <v/>
      </c>
      <c r="P1909" s="9" t="n"/>
    </row>
    <row r="1910">
      <c r="A1910" s="13" t="inlineStr">
        <is>
          <t>Mana Leak / Fuga de Mana</t>
        </is>
      </c>
      <c r="B1910" s="13" t="inlineStr">
        <is>
          <t>Mágica Instantânea</t>
        </is>
      </c>
      <c r="C1910" s="13" t="inlineStr">
        <is>
          <t>Comum</t>
        </is>
      </c>
      <c r="D1910" s="13" t="inlineStr">
        <is>
          <t>Anule a mágica alvo, a menos que seu controlador pague {3}.</t>
        </is>
      </c>
      <c r="E1910" s="13" t="inlineStr">
        <is>
          <t>1U</t>
        </is>
      </c>
      <c r="F1910" s="13" t="inlineStr">
        <is>
          <t>Azul</t>
        </is>
      </c>
      <c r="G1910" s="8" t="n">
        <v>1.05</v>
      </c>
      <c r="H1910" s="13" t="inlineStr">
        <is>
          <t>Duel Decks: Speed vs. Cunning</t>
        </is>
      </c>
      <c r="I1910" s="13" t="inlineStr">
        <is>
          <t>Não</t>
        </is>
      </c>
      <c r="J1910" s="13" t="n">
        <v>2014</v>
      </c>
      <c r="L1910" s="13" t="n">
        <v>1</v>
      </c>
      <c r="M1910" s="8">
        <f>L1910*G1910</f>
        <v/>
      </c>
      <c r="P1910" s="9" t="n"/>
    </row>
    <row r="1911">
      <c r="A1911" s="13" t="inlineStr">
        <is>
          <t>Mana Leak / Fuga de Mana</t>
        </is>
      </c>
      <c r="B1911" s="13" t="inlineStr">
        <is>
          <t>Instant / Mágica Instantânea</t>
        </is>
      </c>
      <c r="C1911" s="13" t="inlineStr">
        <is>
          <t>Common / Comum</t>
        </is>
      </c>
      <c r="D1911" s="13" t="inlineStr">
        <is>
          <t>Counter target spell unless its controller pays {3}. / Anule a mágica alvo, a menos que seu controlador pague {3}.</t>
        </is>
      </c>
      <c r="E1911" s="13" t="inlineStr">
        <is>
          <t>{1}{U}</t>
        </is>
      </c>
      <c r="F1911" s="13" t="inlineStr">
        <is>
          <t>Azul</t>
        </is>
      </c>
      <c r="G1911" s="8" t="n">
        <v>0.5</v>
      </c>
      <c r="H1911" s="13" t="inlineStr">
        <is>
          <t>Magic 2012 (M12)</t>
        </is>
      </c>
      <c r="I1911" s="13" t="inlineStr">
        <is>
          <t>Não</t>
        </is>
      </c>
      <c r="J1911" s="13" t="n">
        <v>2011</v>
      </c>
      <c r="L1911" s="13" t="n">
        <v>4</v>
      </c>
      <c r="M1911" s="8">
        <f>L1911*G1911</f>
        <v/>
      </c>
      <c r="P1911" s="9" t="n"/>
    </row>
    <row r="1912">
      <c r="A1912" s="13" t="inlineStr">
        <is>
          <t>Manacles of Decay / Algemas da Decadência</t>
        </is>
      </c>
      <c r="B1912" s="13" t="inlineStr">
        <is>
          <t>Enchantment — Aura / Encantamento — Aura</t>
        </is>
      </c>
      <c r="C1912" s="13" t="inlineStr">
        <is>
          <t>Uncommon / Incomum</t>
        </is>
      </c>
      <c r="D1912" s="13"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1912" s="13" t="inlineStr">
        <is>
          <t>{1}{W}</t>
        </is>
      </c>
      <c r="F1912" s="13" t="inlineStr">
        <is>
          <t>Branco</t>
        </is>
      </c>
      <c r="G1912" s="8" t="n">
        <v>0.05</v>
      </c>
      <c r="H1912" s="13" t="inlineStr">
        <is>
          <t>Apocalypse (APC)</t>
        </is>
      </c>
      <c r="I1912" s="13" t="inlineStr">
        <is>
          <t>No</t>
        </is>
      </c>
      <c r="J1912" s="13" t="n">
        <v>2001</v>
      </c>
      <c r="L1912" s="13" t="n">
        <v>1</v>
      </c>
      <c r="M1912" s="8">
        <f>L1912*G1912</f>
        <v/>
      </c>
      <c r="P1912" s="9" t="n"/>
    </row>
    <row r="1913">
      <c r="A1913" s="13" t="inlineStr">
        <is>
          <t>Mandibular Kite / Dragão Mandibular</t>
        </is>
      </c>
      <c r="B1913" s="13" t="inlineStr">
        <is>
          <t>Artifact — Equipment / Artefato — Equipamento</t>
        </is>
      </c>
      <c r="C1913" s="13" t="inlineStr">
        <is>
          <t>Common / Comum</t>
        </is>
      </c>
      <c r="D1913" s="13"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13" s="13" t="inlineStr">
        <is>
          <t>{W}</t>
        </is>
      </c>
      <c r="F1913" s="13" t="inlineStr">
        <is>
          <t>Branco</t>
        </is>
      </c>
      <c r="G1913" s="8" t="n">
        <v>0.05</v>
      </c>
      <c r="H1913" s="13" t="inlineStr">
        <is>
          <t>Modern Horizons 3 (MH3)</t>
        </is>
      </c>
      <c r="I1913" s="13" t="inlineStr">
        <is>
          <t>Não</t>
        </is>
      </c>
      <c r="J1913" s="13" t="n">
        <v>2024</v>
      </c>
      <c r="L1913" s="13" t="n">
        <v>2</v>
      </c>
      <c r="M1913" s="8">
        <f>L1913*G1913</f>
        <v/>
      </c>
      <c r="P1913" s="9" t="n"/>
    </row>
    <row r="1914">
      <c r="A1914" s="13" t="inlineStr">
        <is>
          <t>Manhole Cover / Tampa de Bueiro</t>
        </is>
      </c>
      <c r="B1914" s="13" t="inlineStr">
        <is>
          <t>Artefato</t>
        </is>
      </c>
      <c r="C1914" s="13" t="inlineStr">
        <is>
          <t>Incomum</t>
        </is>
      </c>
      <c r="D1914" s="13"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1914" s="13" t="inlineStr">
        <is>
          <t>{2}</t>
        </is>
      </c>
      <c r="F1914" s="13" t="inlineStr">
        <is>
          <t>Incolor</t>
        </is>
      </c>
      <c r="G1914" s="8" t="n">
        <v>0.9</v>
      </c>
      <c r="H1914" s="13" t="inlineStr">
        <is>
          <t>Teenage Mutant Ninja Turtles</t>
        </is>
      </c>
      <c r="I1914" s="13" t="inlineStr">
        <is>
          <t>Não</t>
        </is>
      </c>
      <c r="J1914" s="13" t="n">
        <v>2026</v>
      </c>
      <c r="L1914" s="13" t="n">
        <v>1</v>
      </c>
      <c r="M1914" s="8">
        <f>L1914*G1914</f>
        <v/>
      </c>
      <c r="P1914" s="9" t="n"/>
    </row>
    <row r="1915">
      <c r="A1915" s="13" t="inlineStr">
        <is>
          <t>Manhole Missile</t>
        </is>
      </c>
      <c r="B1915" s="13" t="inlineStr">
        <is>
          <t>Instant</t>
        </is>
      </c>
      <c r="C1915" s="13" t="inlineStr">
        <is>
          <t>Common / Comum</t>
        </is>
      </c>
      <c r="D1915" s="13" t="inlineStr">
        <is>
          <t>Manhole Missile deals 3 damage to target creature. You may put a card from your hand on the bottom of your library. If you do, draw a card.</t>
        </is>
      </c>
      <c r="E1915" s="13" t="inlineStr">
        <is>
          <t>{1}{R}</t>
        </is>
      </c>
      <c r="F1915" s="13" t="inlineStr">
        <is>
          <t>Vermelho</t>
        </is>
      </c>
      <c r="G1915" s="8" t="n">
        <v>0.1</v>
      </c>
      <c r="H1915" s="13" t="inlineStr">
        <is>
          <t>Teenage Mutant Ninja Turtles (TMT)</t>
        </is>
      </c>
      <c r="I1915" s="13" t="inlineStr">
        <is>
          <t>Não</t>
        </is>
      </c>
      <c r="J1915" s="13" t="n">
        <v>2026</v>
      </c>
      <c r="L1915" s="13" t="n">
        <v>7</v>
      </c>
      <c r="M1915" s="8">
        <f>L1915*G1915</f>
        <v/>
      </c>
      <c r="P1915" s="9" t="n"/>
    </row>
    <row r="1916">
      <c r="A1916" s="13" t="inlineStr">
        <is>
          <t>Manifest Dread</t>
        </is>
      </c>
      <c r="B1916" s="13" t="inlineStr">
        <is>
          <t>Sorcery</t>
        </is>
      </c>
      <c r="C1916" s="13" t="inlineStr">
        <is>
          <t>Common / Comum</t>
        </is>
      </c>
      <c r="D1916" s="13" t="inlineStr">
        <is>
          <t>Manifest dread. (Look at the top two cards of your library. Put one onto the battlefield face down as a 2/2 creature and the other into your graveyard. Turn it face up any time for its mana cost if it's a creature card.)</t>
        </is>
      </c>
      <c r="E1916" s="13" t="inlineStr">
        <is>
          <t>{1}{G}</t>
        </is>
      </c>
      <c r="F1916" s="13" t="inlineStr">
        <is>
          <t>Verde</t>
        </is>
      </c>
      <c r="G1916" s="8" t="n">
        <v>0.05</v>
      </c>
      <c r="H1916" s="13" t="inlineStr">
        <is>
          <t>Duskmourn: House of Horror (DSK)</t>
        </is>
      </c>
      <c r="I1916" s="13" t="inlineStr">
        <is>
          <t>Não</t>
        </is>
      </c>
      <c r="J1916" s="13" t="n">
        <v>2024</v>
      </c>
      <c r="L1916" s="13" t="n">
        <v>1</v>
      </c>
      <c r="M1916" s="8">
        <f>L1916*G1916</f>
        <v/>
      </c>
      <c r="P1916" s="9" t="n"/>
    </row>
    <row r="1917">
      <c r="A1917" s="13" t="inlineStr">
        <is>
          <t>Máquina do Tirano / Tyrant's Machine</t>
        </is>
      </c>
      <c r="B1917" s="13" t="inlineStr">
        <is>
          <t>Artifact / Artefato</t>
        </is>
      </c>
      <c r="C1917" s="13" t="inlineStr">
        <is>
          <t>Common / Comum</t>
        </is>
      </c>
      <c r="D1917" s="13" t="inlineStr">
        <is>
          <t>{4}, {T}: Tap target creature. / {4}, {T}: Vire a criatura alvo.</t>
        </is>
      </c>
      <c r="E1917" s="13" t="inlineStr">
        <is>
          <t>{2}</t>
        </is>
      </c>
      <c r="F1917" s="13" t="inlineStr">
        <is>
          <t>Incolor</t>
        </is>
      </c>
      <c r="G1917" s="8" t="n">
        <v>0.06</v>
      </c>
      <c r="H1917" s="13" t="inlineStr">
        <is>
          <t>Magic 2015 (M15)</t>
        </is>
      </c>
      <c r="I1917" s="13" t="inlineStr">
        <is>
          <t>No</t>
        </is>
      </c>
      <c r="J1917" s="13" t="n">
        <v>2014</v>
      </c>
      <c r="L1917" s="13" t="n">
        <v>1</v>
      </c>
      <c r="M1917" s="8">
        <f>L1917*G1917</f>
        <v/>
      </c>
      <c r="P1917" s="9" t="n"/>
    </row>
    <row r="1918">
      <c r="A1918" s="13" t="inlineStr">
        <is>
          <t>Marauder's Axe / Machado do Saqueador</t>
        </is>
      </c>
      <c r="B1918" s="13" t="inlineStr">
        <is>
          <t>Artifact — Equipment / Artefato — Equipamento</t>
        </is>
      </c>
      <c r="C1918" s="13" t="inlineStr">
        <is>
          <t>Common / Comum</t>
        </is>
      </c>
      <c r="D1918" s="13" t="inlineStr">
        <is>
          <t>Equipped creature gets +2/+0. Equip {2} ({2}: Attach to target creature you control. Equip only as a sorcery.) / A criatura equipada recebe +2/+0. Equipar {2} ({2}: Anexe este equipamento à criatura alvo que você controla. Equipe somente como um feitiço.)</t>
        </is>
      </c>
      <c r="E1918" s="13" t="inlineStr">
        <is>
          <t>{2}</t>
        </is>
      </c>
      <c r="F1918" s="13" t="inlineStr">
        <is>
          <t>Incolor</t>
        </is>
      </c>
      <c r="G1918" s="8" t="n">
        <v>0.03</v>
      </c>
      <c r="H1918" s="13" t="inlineStr">
        <is>
          <t>Core Set 2019 (M19)</t>
        </is>
      </c>
      <c r="I1918" s="13" t="inlineStr">
        <is>
          <t>Não</t>
        </is>
      </c>
      <c r="J1918" s="13" t="n">
        <v>2018</v>
      </c>
      <c r="L1918" s="13" t="n">
        <v>1</v>
      </c>
      <c r="M1918" s="8">
        <f>L1918*G1918</f>
        <v/>
      </c>
      <c r="N1918" s="13" t="inlineStr">
        <is>
          <t>Bulk Shopee</t>
        </is>
      </c>
      <c r="P1918" s="9" t="n"/>
    </row>
    <row r="1919">
      <c r="A1919" s="13" t="inlineStr">
        <is>
          <t>Mardu Banner / Estandarte Mardu</t>
        </is>
      </c>
      <c r="B1919" s="13" t="inlineStr">
        <is>
          <t>Artifact / Artefato</t>
        </is>
      </c>
      <c r="C1919" s="13" t="inlineStr">
        <is>
          <t>Common / Comum</t>
        </is>
      </c>
      <c r="D1919" s="13" t="inlineStr">
        <is>
          <t>{T}: Add {R}, {W}, or {B}. {R}{W}{B}, {T}, Sacrifice this artifact: Draw a card. / {T}: Adicione {R}, {W} ou {B} à sua reserva de mana. {R}{W}{B}, {T}, Sacrifique Estandarte Mardu: Compre um card.</t>
        </is>
      </c>
      <c r="E1919" s="13" t="inlineStr">
        <is>
          <t>{3}</t>
        </is>
      </c>
      <c r="F1919" s="13" t="inlineStr">
        <is>
          <t>Preto, Vermelho, Branco</t>
        </is>
      </c>
      <c r="G1919" s="8" t="n">
        <v>0.08</v>
      </c>
      <c r="H1919" s="13" t="inlineStr">
        <is>
          <t>Khans of Tarkir (KTK)</t>
        </is>
      </c>
      <c r="I1919" s="13" t="inlineStr">
        <is>
          <t>Não</t>
        </is>
      </c>
      <c r="J1919" s="13" t="n">
        <v>2014</v>
      </c>
      <c r="L1919" s="13" t="n">
        <v>1</v>
      </c>
      <c r="M1919" s="8">
        <f>L1919*G1919</f>
        <v/>
      </c>
      <c r="N1919" s="13" t="inlineStr">
        <is>
          <t>Bulk Shopee</t>
        </is>
      </c>
      <c r="P1919" s="9" t="n"/>
    </row>
    <row r="1920">
      <c r="A1920" s="13" t="inlineStr">
        <is>
          <t>Mardu Blazebringer / Arauto da Chama Mardu</t>
        </is>
      </c>
      <c r="B1920" s="13" t="inlineStr">
        <is>
          <t>Creature — Ogre Warrior / Criatura — Ogro Guerreiro</t>
        </is>
      </c>
      <c r="C1920" s="13" t="inlineStr">
        <is>
          <t>Uncommon / Incomum</t>
        </is>
      </c>
      <c r="D1920" s="13" t="inlineStr">
        <is>
          <t>When this creature attacks or blocks, sacrifice it at end of combat. / Quando Arauto da Chama Mardu atacar ou bloquear, sacrifique-o no final do combate.</t>
        </is>
      </c>
      <c r="E1920" s="13" t="inlineStr">
        <is>
          <t>{2}{R}</t>
        </is>
      </c>
      <c r="F1920" s="13" t="inlineStr">
        <is>
          <t>Vermelho</t>
        </is>
      </c>
      <c r="G1920" s="8" t="n">
        <v>0.06</v>
      </c>
      <c r="H1920" s="13" t="inlineStr">
        <is>
          <t>Khans of Tarkir (KTK)</t>
        </is>
      </c>
      <c r="I1920" s="13" t="inlineStr">
        <is>
          <t>Não</t>
        </is>
      </c>
      <c r="J1920" s="13" t="n">
        <v>2023</v>
      </c>
      <c r="K1920" s="10" t="n">
        <v>46116</v>
      </c>
      <c r="L1920" s="13" t="n">
        <v>1</v>
      </c>
      <c r="M1920" s="8">
        <f>L1920*G1920</f>
        <v/>
      </c>
      <c r="P1920" s="9" t="n"/>
    </row>
    <row r="1921">
      <c r="A1921" s="13" t="inlineStr">
        <is>
          <t>Mardu Heart-Piercer / Perfurador de Corações Mardu</t>
        </is>
      </c>
      <c r="B1921" s="13" t="inlineStr">
        <is>
          <t>Criatura — Humano Arqueiro</t>
        </is>
      </c>
      <c r="C1921" s="13" t="inlineStr">
        <is>
          <t>Incomum</t>
        </is>
      </c>
      <c r="D1921" s="13" t="inlineStr">
        <is>
          <t>Incursão — Quando Perfurador de Corações Mardu entra no campo de batalha, se você atacou com uma criatura neste turno, Perfurador de Corações Mardu causa 2 de dano à criatura ou ao jogador alvo.</t>
        </is>
      </c>
      <c r="E1921" s="13" t="inlineStr">
        <is>
          <t>3R</t>
        </is>
      </c>
      <c r="F1921" s="13" t="inlineStr">
        <is>
          <t>Vermelho</t>
        </is>
      </c>
      <c r="G1921" s="8" t="n">
        <v>0.06</v>
      </c>
      <c r="H1921" s="13" t="inlineStr">
        <is>
          <t>Duel Decks: Speed vs. Cunning</t>
        </is>
      </c>
      <c r="I1921" s="13" t="inlineStr">
        <is>
          <t>Não</t>
        </is>
      </c>
      <c r="J1921" s="13" t="n">
        <v>2014</v>
      </c>
      <c r="K1921" s="10" t="n">
        <v>46083</v>
      </c>
      <c r="L1921" s="13" t="n">
        <v>1</v>
      </c>
      <c r="M1921" s="8">
        <f>L1921*G1921</f>
        <v/>
      </c>
      <c r="P1921" s="9" t="n"/>
    </row>
    <row r="1922">
      <c r="A1922" s="13" t="inlineStr">
        <is>
          <t>Mardu Skullhunter / Caçador de Crânios Mardu</t>
        </is>
      </c>
      <c r="B1922" s="13" t="inlineStr">
        <is>
          <t>Creature — Human Warrior / Criatura — Humano Guerreiro</t>
        </is>
      </c>
      <c r="C1922" s="13" t="inlineStr">
        <is>
          <t>Common / Comum</t>
        </is>
      </c>
      <c r="D1922" s="13"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922" s="13" t="inlineStr">
        <is>
          <t>{1}{B}</t>
        </is>
      </c>
      <c r="F1922" s="13" t="inlineStr">
        <is>
          <t>Preto</t>
        </is>
      </c>
      <c r="G1922" s="8" t="n">
        <v>0.05</v>
      </c>
      <c r="H1922" s="13" t="inlineStr">
        <is>
          <t>Khans of Tarkir (KTK)</t>
        </is>
      </c>
      <c r="I1922" s="13" t="inlineStr">
        <is>
          <t>Não</t>
        </is>
      </c>
      <c r="J1922" s="13" t="n">
        <v>2014</v>
      </c>
      <c r="K1922" s="10" t="n">
        <v>46024</v>
      </c>
      <c r="L1922" s="13" t="n">
        <v>1</v>
      </c>
      <c r="M1922" s="8">
        <f>L1922*G1922</f>
        <v/>
      </c>
      <c r="P1922" s="9" t="n"/>
    </row>
    <row r="1923">
      <c r="A1923" s="13" t="inlineStr">
        <is>
          <t>Mardu Warshrieker / Bradador de Guerra Mardu</t>
        </is>
      </c>
      <c r="B1923" s="13" t="inlineStr">
        <is>
          <t>Creature — Orc Shaman / Criatura — Orc Xamã</t>
        </is>
      </c>
      <c r="C1923" s="13" t="inlineStr">
        <is>
          <t>Common / Comum</t>
        </is>
      </c>
      <c r="D1923" s="13" t="inlineStr">
        <is>
          <t>Raid — When this creature enters, if you attacked this turn, add {R}{W}{B}. / Raide — Quando Bradador de Guerra Mardu entra no campo de batalha, se você atacou com uma criatura neste turno, adicione {R}{W}{B} à sua reserva de mana.</t>
        </is>
      </c>
      <c r="E1923" s="13" t="inlineStr">
        <is>
          <t>{3}{R}</t>
        </is>
      </c>
      <c r="F1923" s="13" t="inlineStr">
        <is>
          <t>Vermelho</t>
        </is>
      </c>
      <c r="G1923" s="8" t="n">
        <v>0.03</v>
      </c>
      <c r="H1923" s="13" t="inlineStr">
        <is>
          <t>Khans of Tarkir (KTK)</t>
        </is>
      </c>
      <c r="I1923" s="13" t="inlineStr">
        <is>
          <t>Não</t>
        </is>
      </c>
      <c r="J1923" s="13" t="n">
        <v>2014</v>
      </c>
      <c r="K1923" s="10" t="n">
        <v>46084</v>
      </c>
      <c r="L1923" s="13" t="n">
        <v>3</v>
      </c>
      <c r="M1923" s="8">
        <f>L1923*G1923</f>
        <v/>
      </c>
      <c r="P1923" s="9" t="n"/>
    </row>
    <row r="1924">
      <c r="A1924" s="13" t="inlineStr">
        <is>
          <t>Mark of the Vampire</t>
        </is>
      </c>
      <c r="B1924" s="13" t="inlineStr">
        <is>
          <t>Enchantment — Aura</t>
        </is>
      </c>
      <c r="C1924" s="13" t="inlineStr">
        <is>
          <t>Common</t>
        </is>
      </c>
      <c r="D1924" s="13" t="inlineStr">
        <is>
          <t>Enchant creature. Enchanted creature gets +2/+2 and has lifelink.</t>
        </is>
      </c>
      <c r="E1924" s="13" t="inlineStr">
        <is>
          <t>{3}{B}</t>
        </is>
      </c>
      <c r="F1924" s="13" t="inlineStr">
        <is>
          <t>Black</t>
        </is>
      </c>
      <c r="G1924" s="8" t="n">
        <v>0.03</v>
      </c>
      <c r="H1924" s="13" t="inlineStr">
        <is>
          <t>Ultimate Masters (UMA)</t>
        </is>
      </c>
      <c r="I1924" s="13" t="inlineStr">
        <is>
          <t>No</t>
        </is>
      </c>
      <c r="J1924" s="13" t="n">
        <v>2018</v>
      </c>
      <c r="L1924" s="13" t="n">
        <v>4</v>
      </c>
      <c r="M1924" s="8">
        <f>L1924*G1924</f>
        <v/>
      </c>
      <c r="P1924" s="9" t="n"/>
    </row>
    <row r="1925">
      <c r="A1925" s="13" t="inlineStr">
        <is>
          <t>Market Festival / Festival do Mercado</t>
        </is>
      </c>
      <c r="B1925" s="13" t="inlineStr">
        <is>
          <t>Encantamento — Aura</t>
        </is>
      </c>
      <c r="C1925" s="13" t="inlineStr">
        <is>
          <t>Comum</t>
        </is>
      </c>
      <c r="D1925" s="13" t="inlineStr">
        <is>
          <t>Encantar terreno Toda vez que o terreno encantado é virado para gerar mana, seu controlador adiciona dois manas de qualquer combinação de cores à sua reserva de mana (além do mana que o terreno gera).</t>
        </is>
      </c>
      <c r="E1925" s="13" t="inlineStr">
        <is>
          <t>3G</t>
        </is>
      </c>
      <c r="F1925" s="13" t="inlineStr">
        <is>
          <t>Verde</t>
        </is>
      </c>
      <c r="G1925" s="8" t="n">
        <v>0.03</v>
      </c>
      <c r="H1925" s="13" t="inlineStr">
        <is>
          <t>Journey into Nyx</t>
        </is>
      </c>
      <c r="I1925" s="13" t="inlineStr">
        <is>
          <t>Não</t>
        </is>
      </c>
      <c r="J1925" s="13" t="n">
        <v>2014</v>
      </c>
      <c r="L1925" s="13" t="n">
        <v>4</v>
      </c>
      <c r="M1925" s="8">
        <f>L1925*G1925</f>
        <v/>
      </c>
      <c r="P1925" s="9" t="n"/>
    </row>
    <row r="1926">
      <c r="A1926" s="13" t="inlineStr">
        <is>
          <t>Marsh Gas / Gás do Pântano</t>
        </is>
      </c>
      <c r="B1926" s="13" t="inlineStr">
        <is>
          <t>Instant</t>
        </is>
      </c>
      <c r="C1926" s="13" t="inlineStr">
        <is>
          <t>Common / Comum</t>
        </is>
      </c>
      <c r="D1926" s="13" t="inlineStr">
        <is>
          <t>All creatures get -2/-0 until end of turn.</t>
        </is>
      </c>
      <c r="E1926" s="13" t="inlineStr">
        <is>
          <t>{B}</t>
        </is>
      </c>
      <c r="F1926" s="13" t="inlineStr">
        <is>
          <t>Preto</t>
        </is>
      </c>
      <c r="G1926" s="8" t="n">
        <v>0.08</v>
      </c>
      <c r="H1926" s="13" t="inlineStr">
        <is>
          <t>Quarta Edição</t>
        </is>
      </c>
      <c r="I1926" s="13" t="inlineStr">
        <is>
          <t>Não</t>
        </is>
      </c>
      <c r="J1926" s="13" t="n">
        <v>1995</v>
      </c>
      <c r="L1926" s="13" t="n">
        <v>4</v>
      </c>
      <c r="M1926" s="8">
        <f>L1926*G1926</f>
        <v/>
      </c>
      <c r="P1926" s="9" t="n"/>
    </row>
    <row r="1927">
      <c r="A1927" s="13" t="inlineStr">
        <is>
          <t>Marsh Gas / Gás do Pântano</t>
        </is>
      </c>
      <c r="B1927" s="13" t="inlineStr">
        <is>
          <t>Instant</t>
        </is>
      </c>
      <c r="C1927" s="13" t="inlineStr">
        <is>
          <t>Common / Comum</t>
        </is>
      </c>
      <c r="D1927" s="13" t="inlineStr">
        <is>
          <t>All creatures get -2/-0 until end of turn.</t>
        </is>
      </c>
      <c r="E1927" s="13" t="inlineStr">
        <is>
          <t>{B}</t>
        </is>
      </c>
      <c r="F1927" s="13" t="inlineStr">
        <is>
          <t>Preto</t>
        </is>
      </c>
      <c r="G1927" s="8" t="n">
        <v>0.15</v>
      </c>
      <c r="H1927" s="13" t="inlineStr">
        <is>
          <t>Quarta Edição (BB)</t>
        </is>
      </c>
      <c r="I1927" s="13" t="inlineStr">
        <is>
          <t>Não</t>
        </is>
      </c>
      <c r="J1927" s="13" t="n">
        <v>1995</v>
      </c>
      <c r="L1927" s="13" t="n">
        <v>5</v>
      </c>
      <c r="M1927" s="8">
        <f>L1927*G1927</f>
        <v/>
      </c>
      <c r="P1927" s="9" t="n"/>
    </row>
    <row r="1928">
      <c r="A1928" s="13" t="inlineStr">
        <is>
          <t>Marsh Threader / Atravessador de Palude</t>
        </is>
      </c>
      <c r="B1928" s="13" t="inlineStr">
        <is>
          <t>Creature — Kor Scout / Criatura — Kor Batedor</t>
        </is>
      </c>
      <c r="C1928" s="13" t="inlineStr">
        <is>
          <t>Common / Comum</t>
        </is>
      </c>
      <c r="D1928" s="13" t="inlineStr">
        <is>
          <t>Swampwalk (This creature can't be blocked as long as defending player controls a Swamp.) / Travessia de pântano</t>
        </is>
      </c>
      <c r="E1928" s="13" t="inlineStr">
        <is>
          <t>{1}{W}</t>
        </is>
      </c>
      <c r="F1928" s="13" t="inlineStr">
        <is>
          <t>Branco</t>
        </is>
      </c>
      <c r="G1928" s="8" t="n">
        <v>0.06</v>
      </c>
      <c r="H1928" s="13" t="inlineStr">
        <is>
          <t>Worldwake (WWK)</t>
        </is>
      </c>
      <c r="I1928" s="13" t="inlineStr">
        <is>
          <t>Não</t>
        </is>
      </c>
      <c r="J1928" s="13" t="n">
        <v>2010</v>
      </c>
      <c r="K1928" s="10" t="n">
        <v>46024</v>
      </c>
      <c r="L1928" s="13" t="n">
        <v>1</v>
      </c>
      <c r="M1928" s="8">
        <f>L1928*G1928</f>
        <v/>
      </c>
      <c r="P1928" s="9" t="n"/>
    </row>
    <row r="1929">
      <c r="A1929" s="13" t="inlineStr">
        <is>
          <t>Marshal of Zhalfir / Marechal de Zhalfir</t>
        </is>
      </c>
      <c r="B1929" s="13" t="inlineStr">
        <is>
          <t>Creature — Human Knight / Criatura — Humano Cavaleiro</t>
        </is>
      </c>
      <c r="C1929" s="13" t="inlineStr">
        <is>
          <t>Uncommon / Incomum</t>
        </is>
      </c>
      <c r="D1929" s="13" t="inlineStr">
        <is>
          <t>Other Knights you control get +1/+1. {W}{U}, {T}: Tap another target creature. / Os outros Cavaleiros que você controla recebem +1/+1. {W}{U}, {T}: Vire outra criatura alvo.</t>
        </is>
      </c>
      <c r="E1929" s="13" t="inlineStr">
        <is>
          <t>{W}{U}</t>
        </is>
      </c>
      <c r="F1929" s="13" t="inlineStr">
        <is>
          <t>Azul, Branco</t>
        </is>
      </c>
      <c r="G1929" s="8" t="n">
        <v>0.15</v>
      </c>
      <c r="H1929" s="13" t="inlineStr">
        <is>
          <t>March of the Machine (MOM)</t>
        </is>
      </c>
      <c r="I1929" s="13" t="inlineStr">
        <is>
          <t>Não</t>
        </is>
      </c>
      <c r="J1929" s="13" t="n">
        <v>2023</v>
      </c>
      <c r="K1929" s="10" t="n">
        <v>46055</v>
      </c>
      <c r="L1929" s="13" t="n">
        <v>1</v>
      </c>
      <c r="M1929" s="8">
        <f>L1929*G1929</f>
        <v/>
      </c>
      <c r="P1929" s="9" t="n"/>
    </row>
    <row r="1930">
      <c r="A1930" s="13" t="inlineStr">
        <is>
          <t>Marshals' Pathcruiser</t>
        </is>
      </c>
      <c r="B1930" s="13" t="inlineStr">
        <is>
          <t>Artifact — Vehicle</t>
        </is>
      </c>
      <c r="C1930" s="13" t="inlineStr">
        <is>
          <t>Uncommon / Incomum</t>
        </is>
      </c>
      <c r="D1930" s="13" t="inlineStr">
        <is>
          <t>When this Vehicle enters, search your library for a basic land card, reveal it, put it into your hand, then shuffle. Exhaust — {W}{U}{B}{R}{G}: This Vehicle becomes an artifact creature. Put two +1/+1 counters on it. (Activate each exhaust ability only once.) Crew 5</t>
        </is>
      </c>
      <c r="E1930" s="13" t="inlineStr">
        <is>
          <t>{3}</t>
        </is>
      </c>
      <c r="F1930" s="13" t="inlineStr">
        <is>
          <t>Preto, Verde, Vermelho, Azul, Branco</t>
        </is>
      </c>
      <c r="G1930" s="8" t="n">
        <v>0.15</v>
      </c>
      <c r="H1930" s="13" t="inlineStr">
        <is>
          <t>Aetherdrift (DFT)</t>
        </is>
      </c>
      <c r="I1930" s="13" t="inlineStr">
        <is>
          <t>Não</t>
        </is>
      </c>
      <c r="J1930" s="13" t="n">
        <v>2025</v>
      </c>
      <c r="K1930" s="10" t="n">
        <v>46148</v>
      </c>
      <c r="L1930" s="13" t="n">
        <v>2</v>
      </c>
      <c r="M1930" s="8">
        <f>L1930*G1930</f>
        <v/>
      </c>
      <c r="P1930" s="9" t="n"/>
    </row>
    <row r="1931">
      <c r="A1931" s="13" t="inlineStr">
        <is>
          <t>Martyr for the Cause / Mártir da Causa</t>
        </is>
      </c>
      <c r="B1931" s="13" t="inlineStr">
        <is>
          <t>Creature — Human Soldier / Criatura — Humano Soldado</t>
        </is>
      </c>
      <c r="C1931" s="13" t="inlineStr">
        <is>
          <t>Common / Comum</t>
        </is>
      </c>
      <c r="D1931" s="13"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931" s="13" t="inlineStr">
        <is>
          <t>{1}{W}</t>
        </is>
      </c>
      <c r="F1931" s="13" t="inlineStr">
        <is>
          <t>Branco</t>
        </is>
      </c>
      <c r="G1931" s="8" t="n">
        <v>0.02</v>
      </c>
      <c r="H1931" s="13" t="inlineStr">
        <is>
          <t>War of the Spark (WAR)</t>
        </is>
      </c>
      <c r="I1931" s="13" t="inlineStr">
        <is>
          <t>Não</t>
        </is>
      </c>
      <c r="J1931" s="13" t="n">
        <v>2019</v>
      </c>
      <c r="K1931" s="10" t="n">
        <v>46055</v>
      </c>
      <c r="L1931" s="13" t="n">
        <v>1</v>
      </c>
      <c r="M1931" s="8">
        <f>L1931*G1931</f>
        <v/>
      </c>
      <c r="P1931" s="9" t="n"/>
    </row>
    <row r="1932">
      <c r="A1932" s="13" t="inlineStr">
        <is>
          <t>Massacre Horrendo / Gruesome Slaughter</t>
        </is>
      </c>
      <c r="B1932" s="13" t="inlineStr">
        <is>
          <t>Sorcery / Feitiço</t>
        </is>
      </c>
      <c r="C1932" s="13" t="inlineStr">
        <is>
          <t>Rare / Rara</t>
        </is>
      </c>
      <c r="D1932" s="13"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1932" s="13" t="inlineStr">
        <is>
          <t>{6}</t>
        </is>
      </c>
      <c r="F1932" s="13" t="inlineStr">
        <is>
          <t>Incolor</t>
        </is>
      </c>
      <c r="G1932" s="8" t="n">
        <v>0.14</v>
      </c>
      <c r="H1932" s="13" t="inlineStr">
        <is>
          <t>Battle for Zendikar (BFZ)</t>
        </is>
      </c>
      <c r="I1932" s="13" t="inlineStr">
        <is>
          <t>No</t>
        </is>
      </c>
      <c r="J1932" s="13" t="n">
        <v>2015</v>
      </c>
      <c r="L1932" s="13" t="n">
        <v>1</v>
      </c>
      <c r="M1932" s="8">
        <f>L1932*G1932</f>
        <v/>
      </c>
      <c r="P1932" s="9" t="n"/>
    </row>
    <row r="1933">
      <c r="A1933" s="13" t="inlineStr">
        <is>
          <t>Massacre Horrendo / Gruesome Slaughter</t>
        </is>
      </c>
      <c r="B1933" s="13" t="inlineStr">
        <is>
          <t>Sorcery / Feitiço</t>
        </is>
      </c>
      <c r="C1933" s="13" t="inlineStr">
        <is>
          <t>Rare / Rara</t>
        </is>
      </c>
      <c r="D1933" s="13"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1933" s="13" t="inlineStr">
        <is>
          <t>{6}</t>
        </is>
      </c>
      <c r="F1933" s="13" t="inlineStr">
        <is>
          <t>Incolor</t>
        </is>
      </c>
      <c r="G1933" s="8" t="n">
        <v>0.14</v>
      </c>
      <c r="H1933" s="13" t="inlineStr">
        <is>
          <t>Battle for Zendikar (BFZ)</t>
        </is>
      </c>
      <c r="I1933" s="13" t="inlineStr">
        <is>
          <t>No</t>
        </is>
      </c>
      <c r="J1933" s="13" t="n">
        <v>2015</v>
      </c>
      <c r="L1933" s="13" t="n">
        <v>1</v>
      </c>
      <c r="M1933" s="8">
        <f>L1933*G1933</f>
        <v/>
      </c>
      <c r="P1933" s="9" t="n"/>
    </row>
    <row r="1934">
      <c r="A1934" s="13" t="inlineStr">
        <is>
          <t>Massive Might / Força Possante</t>
        </is>
      </c>
      <c r="B1934" s="13" t="inlineStr">
        <is>
          <t>Instant / Mágica Instantânea</t>
        </is>
      </c>
      <c r="C1934" s="13" t="inlineStr">
        <is>
          <t>Common / Comum</t>
        </is>
      </c>
      <c r="D1934" s="13" t="inlineStr">
        <is>
          <t>Target creature gets +2/+2 and gains trample until end of turn. / A criatura alvo recebe +2/+2 e ganha atropelar até o final do turno.</t>
        </is>
      </c>
      <c r="E1934" s="13" t="inlineStr">
        <is>
          <t>{G}</t>
        </is>
      </c>
      <c r="F1934" s="13" t="inlineStr">
        <is>
          <t>Verde</t>
        </is>
      </c>
      <c r="G1934" s="8" t="n">
        <v>0.13</v>
      </c>
      <c r="H1934" s="13" t="inlineStr">
        <is>
          <t>Innistrad: Crimson Vow (VOW)</t>
        </is>
      </c>
      <c r="I1934" s="13" t="inlineStr">
        <is>
          <t>Não</t>
        </is>
      </c>
      <c r="J1934" s="13" t="n">
        <v>2021</v>
      </c>
      <c r="L1934" s="13" t="n">
        <v>1</v>
      </c>
      <c r="M1934" s="8">
        <f>L1934*G1934</f>
        <v/>
      </c>
      <c r="P1934" s="9" t="n"/>
    </row>
    <row r="1935">
      <c r="A1935" s="13" t="inlineStr">
        <is>
          <t>Master Decoy / Mestre de Iscas</t>
        </is>
      </c>
      <c r="B1935" s="13" t="inlineStr">
        <is>
          <t>Criatura — Humano Soldado</t>
        </is>
      </c>
      <c r="C1935" s="13" t="inlineStr">
        <is>
          <t>Comum</t>
        </is>
      </c>
      <c r="D1935" s="13" t="inlineStr">
        <is>
          <t>{W}, {T}: Vire a criatura alvo.</t>
        </is>
      </c>
      <c r="E1935" s="13" t="inlineStr">
        <is>
          <t>1W</t>
        </is>
      </c>
      <c r="F1935" s="13" t="inlineStr">
        <is>
          <t>Branco</t>
        </is>
      </c>
      <c r="G1935" s="8" t="n">
        <v>0.06</v>
      </c>
      <c r="H1935" s="13" t="inlineStr">
        <is>
          <t>Duel Decks: Speed vs. Cunning</t>
        </is>
      </c>
      <c r="I1935" s="13" t="inlineStr">
        <is>
          <t>Não</t>
        </is>
      </c>
      <c r="J1935" s="13" t="n">
        <v>2014</v>
      </c>
      <c r="K1935" s="10" t="n">
        <v>46054</v>
      </c>
      <c r="L1935" s="13" t="n">
        <v>1</v>
      </c>
      <c r="M1935" s="8">
        <f>L1935*G1935</f>
        <v/>
      </c>
      <c r="P1935" s="9" t="n"/>
    </row>
    <row r="1936">
      <c r="A1936" s="13" t="inlineStr">
        <is>
          <t>Master of the Feast / Mestre do Banquete</t>
        </is>
      </c>
      <c r="B1936" s="13" t="inlineStr">
        <is>
          <t>Enchantment Creature — Demon / Criatura Encantamento — Demônio</t>
        </is>
      </c>
      <c r="C1936" s="13" t="inlineStr">
        <is>
          <t>Rare / Rara</t>
        </is>
      </c>
      <c r="D1936" s="13" t="inlineStr">
        <is>
          <t>Flying At the beginning of your upkeep, each opponent draws a card. / Voar No início da sua manutenção, cada oponente compra um card.</t>
        </is>
      </c>
      <c r="E1936" s="13" t="inlineStr">
        <is>
          <t>{1}{B}{B}</t>
        </is>
      </c>
      <c r="F1936" s="13" t="inlineStr">
        <is>
          <t>Preto</t>
        </is>
      </c>
      <c r="G1936" s="8" t="n">
        <v>4.11</v>
      </c>
      <c r="H1936" s="13" t="inlineStr">
        <is>
          <t>Journey into Nyx (JOU)</t>
        </is>
      </c>
      <c r="I1936" s="13" t="inlineStr">
        <is>
          <t>Não</t>
        </is>
      </c>
      <c r="J1936" s="13" t="n">
        <v>2014</v>
      </c>
      <c r="K1936" s="10" t="n">
        <v>46147</v>
      </c>
      <c r="L1936" s="13" t="n">
        <v>1</v>
      </c>
      <c r="M1936" s="8">
        <f>L1936*G1936</f>
        <v/>
      </c>
      <c r="P1936" s="9" t="n"/>
    </row>
    <row r="1937">
      <c r="A1937" s="13" t="inlineStr">
        <is>
          <t>Master Pakku</t>
        </is>
      </c>
      <c r="B1937" s="13" t="inlineStr">
        <is>
          <t>Legendary Creature — Human Advisor Ally</t>
        </is>
      </c>
      <c r="C1937" s="13" t="inlineStr">
        <is>
          <t>Uncommon / Incomum</t>
        </is>
      </c>
      <c r="D1937" s="13"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1937" s="13" t="inlineStr">
        <is>
          <t>{1}{U}</t>
        </is>
      </c>
      <c r="F1937" s="13" t="inlineStr">
        <is>
          <t>Azul</t>
        </is>
      </c>
      <c r="G1937" s="8" t="n">
        <v>0.15</v>
      </c>
      <c r="H1937" s="13" t="inlineStr">
        <is>
          <t>Avatar: The Last Airbender (TLA)</t>
        </is>
      </c>
      <c r="I1937" s="13" t="inlineStr">
        <is>
          <t>Não</t>
        </is>
      </c>
      <c r="J1937" s="13" t="n">
        <v>2025</v>
      </c>
      <c r="K1937" s="10" t="n">
        <v>46082</v>
      </c>
      <c r="L1937" s="13" t="n">
        <v>1</v>
      </c>
      <c r="M1937" s="8">
        <f>L1937*G1937</f>
        <v/>
      </c>
      <c r="P1937" s="9" t="n"/>
    </row>
    <row r="1938">
      <c r="A1938" s="13" t="inlineStr">
        <is>
          <t>Master Piandao</t>
        </is>
      </c>
      <c r="B1938" s="13" t="inlineStr">
        <is>
          <t>Legendary Creature — Human Warrior Ally</t>
        </is>
      </c>
      <c r="C1938" s="13" t="inlineStr">
        <is>
          <t>Uncommon / Incomum</t>
        </is>
      </c>
      <c r="D1938" s="13" t="inlineStr">
        <is>
          <t>First strike Whenever Master Piandao attacks, look at the top four cards of your library. You may reveal an Ally, Equipment, or Lesson card from among them and put it into your hand. Put the rest on the bottom of your library in a random order.</t>
        </is>
      </c>
      <c r="E1938" s="13" t="inlineStr">
        <is>
          <t>{4}{W}</t>
        </is>
      </c>
      <c r="F1938" s="13" t="inlineStr">
        <is>
          <t>Branco</t>
        </is>
      </c>
      <c r="G1938" s="8" t="n">
        <v>0.15</v>
      </c>
      <c r="H1938" s="13" t="inlineStr">
        <is>
          <t>Avatar: The Last Airbender (TLA)</t>
        </is>
      </c>
      <c r="I1938" s="13" t="inlineStr">
        <is>
          <t>Não</t>
        </is>
      </c>
      <c r="J1938" s="13" t="n">
        <v>2025</v>
      </c>
      <c r="K1938" s="10" t="n">
        <v>46116</v>
      </c>
      <c r="L1938" s="13" t="n">
        <v>1</v>
      </c>
      <c r="M1938" s="8">
        <f>L1938*G1938</f>
        <v/>
      </c>
      <c r="P1938" s="9" t="n"/>
    </row>
    <row r="1939">
      <c r="A1939" s="13" t="inlineStr">
        <is>
          <t>Master's Guide-Mural // Master's Manufactory / Mural-guia do Mestre // Manufatura do Mestre</t>
        </is>
      </c>
      <c r="B1939" s="13" t="inlineStr">
        <is>
          <t>Artifact // Artifact / Artefato</t>
        </is>
      </c>
      <c r="C1939" s="13" t="inlineStr">
        <is>
          <t>Uncommon / Incomum</t>
        </is>
      </c>
      <c r="D1939" s="13"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1939" s="13" t="inlineStr">
        <is>
          <t>{3}{W}{U}</t>
        </is>
      </c>
      <c r="F1939" s="13" t="inlineStr">
        <is>
          <t>Azul, Branco</t>
        </is>
      </c>
      <c r="G1939" s="8" t="n">
        <v>0.1</v>
      </c>
      <c r="H1939" s="13" t="inlineStr">
        <is>
          <t>The Lost Caverns of Ixalan (LCI)</t>
        </is>
      </c>
      <c r="I1939" s="13" t="inlineStr">
        <is>
          <t>Não</t>
        </is>
      </c>
      <c r="J1939" s="13" t="n">
        <v>2023</v>
      </c>
      <c r="L1939" s="13" t="n">
        <v>1</v>
      </c>
      <c r="M1939" s="8">
        <f>L1939*G1939</f>
        <v/>
      </c>
      <c r="P1939" s="9" t="n"/>
    </row>
    <row r="1940">
      <c r="A1940" s="13" t="inlineStr">
        <is>
          <t>Master's Rebuke / Repreensão da Mestra</t>
        </is>
      </c>
      <c r="B1940" s="13" t="inlineStr">
        <is>
          <t>Instant / Mágica Instantânea</t>
        </is>
      </c>
      <c r="C1940" s="13" t="inlineStr">
        <is>
          <t>Common / Comum</t>
        </is>
      </c>
      <c r="D1940" s="13" t="inlineStr">
        <is>
          <t>Target creature you control deals damage equal to its power to target creature or planeswalker you don't control. / A criatura alvo que você controla causa dano igual ao seu poder à criatura ou ao planeswalker alvo que você não controla.</t>
        </is>
      </c>
      <c r="E1940" s="13" t="inlineStr">
        <is>
          <t>{1}{G}</t>
        </is>
      </c>
      <c r="F1940" s="13" t="inlineStr">
        <is>
          <t>Verde</t>
        </is>
      </c>
      <c r="G1940" s="8" t="n">
        <v>0.16</v>
      </c>
      <c r="H1940" s="13" t="inlineStr">
        <is>
          <t>Kamigawa: Neon Dynasty (NEO)</t>
        </is>
      </c>
      <c r="I1940" s="13" t="inlineStr">
        <is>
          <t>Não</t>
        </is>
      </c>
      <c r="J1940" s="13" t="n">
        <v>2022</v>
      </c>
      <c r="L1940" s="13" t="n">
        <v>1</v>
      </c>
      <c r="M1940" s="8">
        <f>L1940*G1940</f>
        <v/>
      </c>
      <c r="P1940" s="9" t="n"/>
    </row>
    <row r="1941">
      <c r="A1941" s="13" t="inlineStr">
        <is>
          <t>Masterful Flourish / Floreio Magistral</t>
        </is>
      </c>
      <c r="B1941" s="13" t="inlineStr">
        <is>
          <t>Instant / Instantânea</t>
        </is>
      </c>
      <c r="C1941" s="13" t="inlineStr">
        <is>
          <t>Common / Comum</t>
        </is>
      </c>
      <c r="D1941" s="13"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1941" s="13" t="inlineStr">
        <is>
          <t>{B}</t>
        </is>
      </c>
      <c r="F1941" s="13" t="inlineStr">
        <is>
          <t>Preto</t>
        </is>
      </c>
      <c r="G1941" s="8" t="n">
        <v>0.09</v>
      </c>
      <c r="H1941" s="13" t="inlineStr">
        <is>
          <t>Shadows of Sothia (SOS)</t>
        </is>
      </c>
      <c r="I1941" s="13" t="inlineStr">
        <is>
          <t>No</t>
        </is>
      </c>
      <c r="J1941" s="13" t="n">
        <v>2026</v>
      </c>
      <c r="L1941" s="13" t="n">
        <v>1</v>
      </c>
      <c r="M1941" s="8">
        <f>L1941*G1941</f>
        <v/>
      </c>
      <c r="P1941" s="9" t="n"/>
    </row>
    <row r="1942">
      <c r="A1942" s="13" t="inlineStr">
        <is>
          <t>Matterbending Mage / Mago da Modelagem da Matéria</t>
        </is>
      </c>
      <c r="B1942" s="13" t="inlineStr">
        <is>
          <t>Creature — Human Wizard / Criatura — Humano Mago</t>
        </is>
      </c>
      <c r="C1942" s="13" t="inlineStr">
        <is>
          <t>Uncommon / Incomum</t>
        </is>
      </c>
      <c r="D1942" s="13"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1942" s="13" t="inlineStr">
        <is>
          <t>{2}{U}</t>
        </is>
      </c>
      <c r="F1942" s="13" t="inlineStr">
        <is>
          <t>Azul</t>
        </is>
      </c>
      <c r="G1942" s="8" t="n">
        <v>0.21</v>
      </c>
      <c r="H1942" s="13" t="inlineStr">
        <is>
          <t>Shadows of Sothia (SOS)</t>
        </is>
      </c>
      <c r="I1942" s="13" t="inlineStr">
        <is>
          <t>No</t>
        </is>
      </c>
      <c r="J1942" s="13" t="n">
        <v>2026</v>
      </c>
      <c r="K1942" s="10" t="n">
        <v>46055</v>
      </c>
      <c r="L1942" s="13" t="n">
        <v>1</v>
      </c>
      <c r="M1942" s="8">
        <f>L1942*G1942</f>
        <v/>
      </c>
      <c r="P1942" s="9" t="n"/>
    </row>
    <row r="1943">
      <c r="A1943" s="13" t="inlineStr">
        <is>
          <t>Mauhúr, Capitão Uruk-hai / Mauhúr, Uruk-hai Captain</t>
        </is>
      </c>
      <c r="B1943" s="13" t="inlineStr">
        <is>
          <t>Criatura Lendária — Orc Soldado</t>
        </is>
      </c>
      <c r="C1943" s="13" t="inlineStr">
        <is>
          <t>Incomum</t>
        </is>
      </c>
      <c r="D1943" s="13" t="inlineStr">
        <is>
          <t>Ameaçar. Se um ou mais marcadores +1/+1 seriam colocados em um Exército, Goblin ou Orc que você controla, em vez disso, serão colocados aquele número mais um de marcadores +1/+1.</t>
        </is>
      </c>
      <c r="E1943" s="13" t="inlineStr">
        <is>
          <t>{B}{R}</t>
        </is>
      </c>
      <c r="F1943" s="13" t="inlineStr">
        <is>
          <t>Multicolorido (Preto e Vermelho)</t>
        </is>
      </c>
      <c r="G1943" s="8" t="n">
        <v>0.25</v>
      </c>
      <c r="H1943" s="13" t="inlineStr">
        <is>
          <t>The Lord of the Rings: Tales of Middle-earth (LTR)</t>
        </is>
      </c>
      <c r="I1943" s="13" t="inlineStr">
        <is>
          <t>Não</t>
        </is>
      </c>
      <c r="J1943" s="13" t="n">
        <v>2023</v>
      </c>
      <c r="K1943" s="10" t="n">
        <v>46055</v>
      </c>
      <c r="L1943" s="13" t="n">
        <v>1</v>
      </c>
      <c r="M1943" s="8">
        <f>L1943*G1943</f>
        <v/>
      </c>
      <c r="P1943" s="9" t="n"/>
    </row>
    <row r="1944">
      <c r="A1944" s="13" t="inlineStr">
        <is>
          <t>Maw of Kozilek / Gorja de Kozilek</t>
        </is>
      </c>
      <c r="B1944" s="13" t="inlineStr">
        <is>
          <t>Creature — Eldrazi Drone / Criatura — Eldrazi Zangão</t>
        </is>
      </c>
      <c r="C1944" s="13" t="inlineStr">
        <is>
          <t>Common / Comum</t>
        </is>
      </c>
      <c r="D1944" s="13" t="inlineStr">
        <is>
          <t>Devoid (This card has no color.) {C}: This creature gets +2/-2 until end of turn. ({C} represents colorless mana.) / Desprovido (Este card não tem cor.) {C}: Gorja de Kozilek recebe +2/-2 até o final do turno. ({C} representa mana incolor.)</t>
        </is>
      </c>
      <c r="E1944" s="13" t="inlineStr">
        <is>
          <t>{3}{R}</t>
        </is>
      </c>
      <c r="F1944" s="13" t="inlineStr">
        <is>
          <t>Vermelho</t>
        </is>
      </c>
      <c r="G1944" s="8" t="n">
        <v>0.06</v>
      </c>
      <c r="H1944" s="13" t="inlineStr">
        <is>
          <t>Oath of the Gatewatch (OGW)</t>
        </is>
      </c>
      <c r="I1944" s="13" t="inlineStr">
        <is>
          <t>Não</t>
        </is>
      </c>
      <c r="J1944" s="13" t="n">
        <v>2016</v>
      </c>
      <c r="K1944" s="10" t="n">
        <v>46144</v>
      </c>
      <c r="L1944" s="13" t="n">
        <v>12</v>
      </c>
      <c r="M1944" s="8">
        <f>L1944*G1944</f>
        <v/>
      </c>
      <c r="P1944" s="9" t="n"/>
    </row>
    <row r="1945">
      <c r="A1945" s="13" t="inlineStr">
        <is>
          <t>Maximum Overdrive</t>
        </is>
      </c>
      <c r="B1945" s="13" t="inlineStr">
        <is>
          <t>Instant</t>
        </is>
      </c>
      <c r="C1945" s="13" t="inlineStr">
        <is>
          <t>Common / Comum</t>
        </is>
      </c>
      <c r="D1945" s="13" t="inlineStr">
        <is>
          <t>Put a +1/+1 counter on target creature. It gains deathtouch and indestructible until end of turn.</t>
        </is>
      </c>
      <c r="E1945" s="13" t="inlineStr">
        <is>
          <t>{1}{B}</t>
        </is>
      </c>
      <c r="F1945" s="13" t="inlineStr">
        <is>
          <t>Preto</t>
        </is>
      </c>
      <c r="G1945" s="8" t="n">
        <v>0.15</v>
      </c>
      <c r="H1945" s="13" t="inlineStr">
        <is>
          <t>Aetherdrift (DFT)</t>
        </is>
      </c>
      <c r="I1945" s="13" t="inlineStr">
        <is>
          <t>Não</t>
        </is>
      </c>
      <c r="J1945" s="13" t="n">
        <v>2025</v>
      </c>
      <c r="L1945" s="13" t="n">
        <v>1</v>
      </c>
      <c r="M1945" s="8">
        <f>L1945*G1945</f>
        <v/>
      </c>
      <c r="P1945" s="9" t="n"/>
    </row>
    <row r="1946">
      <c r="A1946" s="13" t="inlineStr">
        <is>
          <t>Maze Glider / Planador do Labirinto</t>
        </is>
      </c>
      <c r="B1946" s="13" t="inlineStr">
        <is>
          <t>Creature — Elemental / Criatura — Elemental</t>
        </is>
      </c>
      <c r="C1946" s="13" t="inlineStr">
        <is>
          <t>Common / Comum</t>
        </is>
      </c>
      <c r="D1946" s="13" t="inlineStr">
        <is>
          <t>Flying Multicolored creatures you control have flying. / Voar As criaturas multicoloridas que você controla têm voar.</t>
        </is>
      </c>
      <c r="E1946" s="13" t="inlineStr">
        <is>
          <t>{5}{U}</t>
        </is>
      </c>
      <c r="F1946" s="13" t="inlineStr">
        <is>
          <t>Azul</t>
        </is>
      </c>
      <c r="G1946" s="8" t="n">
        <v>0.04</v>
      </c>
      <c r="H1946" s="13" t="inlineStr">
        <is>
          <t>Dragon's Maze (DGM)</t>
        </is>
      </c>
      <c r="I1946" s="13" t="inlineStr">
        <is>
          <t>Não</t>
        </is>
      </c>
      <c r="J1946" s="13" t="n">
        <v>2013</v>
      </c>
      <c r="K1946" s="10" t="n">
        <v>46145</v>
      </c>
      <c r="L1946" s="13" t="n">
        <v>2</v>
      </c>
      <c r="M1946" s="8">
        <f>L1946*G1946</f>
        <v/>
      </c>
      <c r="P1946" s="9" t="n"/>
    </row>
    <row r="1947">
      <c r="A1947" s="13" t="inlineStr">
        <is>
          <t>Meat Locker // Drowned Diner</t>
        </is>
      </c>
      <c r="B1947" s="13" t="inlineStr">
        <is>
          <t>Enchantment — Room // Enchantment — Room</t>
        </is>
      </c>
      <c r="C1947" s="13" t="inlineStr">
        <is>
          <t>Common / Comum</t>
        </is>
      </c>
      <c r="D1947" s="13"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1947" s="13" t="inlineStr">
        <is>
          <t>{2}{U} // {3}{U}{U}</t>
        </is>
      </c>
      <c r="F1947" s="13" t="inlineStr">
        <is>
          <t>Azul</t>
        </is>
      </c>
      <c r="G1947" s="8" t="n">
        <v>0.05</v>
      </c>
      <c r="H1947" s="13" t="inlineStr">
        <is>
          <t>Duskmourn: House of Horror (DSK)</t>
        </is>
      </c>
      <c r="I1947" s="13" t="inlineStr">
        <is>
          <t>Não</t>
        </is>
      </c>
      <c r="J1947" s="13" t="n">
        <v>2024</v>
      </c>
      <c r="L1947" s="13" t="n">
        <v>1</v>
      </c>
      <c r="M1947" s="8">
        <f>L1947*G1947</f>
        <v/>
      </c>
      <c r="P1947" s="9" t="n"/>
    </row>
    <row r="1948">
      <c r="A1948" s="13" t="inlineStr">
        <is>
          <t>Mechan Assembler / Montador Mecano</t>
        </is>
      </c>
      <c r="B1948" s="13" t="inlineStr">
        <is>
          <t>Criatura Artefato — Robô Artífice</t>
        </is>
      </c>
      <c r="C1948" s="13" t="inlineStr">
        <is>
          <t>Incomum</t>
        </is>
      </c>
      <c r="D1948" s="13" t="inlineStr">
        <is>
          <t>Sempre que outro artefato que você controla entrar, crie uma ficha de criatura artefato Robô incolor 2/2. Esta habilidade é desencadeada apenas uma vez a cada turno.</t>
        </is>
      </c>
      <c r="E1948" s="13" t="inlineStr">
        <is>
          <t>4{U}</t>
        </is>
      </c>
      <c r="F1948" s="13" t="inlineStr">
        <is>
          <t>Azul</t>
        </is>
      </c>
      <c r="G1948" s="8" t="n">
        <v>0.1</v>
      </c>
      <c r="H1948" s="13" t="inlineStr">
        <is>
          <t>Edge of Eternity</t>
        </is>
      </c>
      <c r="I1948" s="13" t="inlineStr">
        <is>
          <t>Não</t>
        </is>
      </c>
      <c r="J1948" s="13" t="n">
        <v>2025</v>
      </c>
      <c r="K1948" s="10" t="n">
        <v>46116</v>
      </c>
      <c r="L1948" s="13" t="n">
        <v>1</v>
      </c>
      <c r="M1948" s="8">
        <f>L1948*G1948</f>
        <v/>
      </c>
      <c r="P1948" s="9" t="n"/>
    </row>
    <row r="1949">
      <c r="A1949" s="13" t="inlineStr">
        <is>
          <t>Mechanical Mobster / Mafioso Mecânico</t>
        </is>
      </c>
      <c r="B1949" s="13" t="inlineStr">
        <is>
          <t>Criatura Artefato — Humano Robô Vilão</t>
        </is>
      </c>
      <c r="C1949" s="13" t="inlineStr">
        <is>
          <t>Comum</t>
        </is>
      </c>
      <c r="D1949" s="13" t="inlineStr">
        <is>
          <t>Quando esta criatura entrar, exile até um card alvo de um cemitério. A criatura alvo que você controla conspira. (Compre um card, depois descarte um card. Se você descartou um card não de terreno, coloque um marcador +1/+1 naquela criatura.)</t>
        </is>
      </c>
      <c r="E1949" s="13" t="inlineStr">
        <is>
          <t>{3}</t>
        </is>
      </c>
      <c r="F1949" s="13" t="inlineStr">
        <is>
          <t>Incolor</t>
        </is>
      </c>
      <c r="G1949" s="8" t="n">
        <v>0.05</v>
      </c>
      <c r="H1949" s="13" t="inlineStr">
        <is>
          <t>Marvel</t>
        </is>
      </c>
      <c r="I1949" s="13" t="inlineStr">
        <is>
          <t>Não</t>
        </is>
      </c>
      <c r="J1949" s="13" t="n">
        <v>2025</v>
      </c>
      <c r="K1949" s="10" t="n">
        <v>46024</v>
      </c>
      <c r="L1949" s="13" t="n">
        <v>1</v>
      </c>
      <c r="M1949" s="8">
        <f>L1949*G1949</f>
        <v/>
      </c>
      <c r="P1949" s="9" t="n"/>
    </row>
    <row r="1950">
      <c r="A1950" s="13" t="inlineStr">
        <is>
          <t>Mechanized Ninja Cavalry</t>
        </is>
      </c>
      <c r="B1950" s="13" t="inlineStr">
        <is>
          <t>Artifact Creature — Robot Ninja</t>
        </is>
      </c>
      <c r="C1950" s="13" t="inlineStr">
        <is>
          <t>Common / Comum</t>
        </is>
      </c>
      <c r="D1950" s="13" t="inlineStr">
        <is>
          <t>When this creature enters, create a 1/1 colorless Robot artifact creature token.</t>
        </is>
      </c>
      <c r="E1950" s="13" t="inlineStr">
        <is>
          <t>{1}{R/W}</t>
        </is>
      </c>
      <c r="F1950" s="13" t="inlineStr">
        <is>
          <t>Vermelho, Branco</t>
        </is>
      </c>
      <c r="G1950" s="8" t="n">
        <v>0.1</v>
      </c>
      <c r="H1950" s="13" t="inlineStr">
        <is>
          <t>Teenage Mutant Ninja Turtles (TMT)</t>
        </is>
      </c>
      <c r="I1950" s="13" t="inlineStr">
        <is>
          <t>Não</t>
        </is>
      </c>
      <c r="J1950" s="13" t="n">
        <v>2026</v>
      </c>
      <c r="K1950" s="10" t="n">
        <v>46023</v>
      </c>
      <c r="L1950" s="13" t="n">
        <v>10</v>
      </c>
      <c r="M1950" s="8">
        <f>L1950*G1950</f>
        <v/>
      </c>
      <c r="P1950" s="9" t="n"/>
    </row>
    <row r="1951">
      <c r="A1951" s="13" t="inlineStr">
        <is>
          <t>Mechanozoa / Mecanozoário</t>
        </is>
      </c>
      <c r="B1951" s="13" t="inlineStr">
        <is>
          <t>Criatura Artefato — Robô Água-viva</t>
        </is>
      </c>
      <c r="C1951" s="13" t="inlineStr">
        <is>
          <t>Comum</t>
        </is>
      </c>
      <c r="D1951" s="13"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1951" s="13" t="inlineStr">
        <is>
          <t>4{U}{U}</t>
        </is>
      </c>
      <c r="F1951" s="13" t="inlineStr">
        <is>
          <t>Azul</t>
        </is>
      </c>
      <c r="G1951" s="8" t="n">
        <v>0.05</v>
      </c>
      <c r="H1951" s="13" t="inlineStr">
        <is>
          <t>Edge of Eternity</t>
        </is>
      </c>
      <c r="I1951" s="13" t="inlineStr">
        <is>
          <t>Não</t>
        </is>
      </c>
      <c r="J1951" s="13" t="n">
        <v>2025</v>
      </c>
      <c r="K1951" s="10" t="n">
        <v>46147</v>
      </c>
      <c r="L1951" s="13" t="n">
        <v>1</v>
      </c>
      <c r="M1951" s="8">
        <f>L1951*G1951</f>
        <v/>
      </c>
      <c r="P1951" s="9" t="n"/>
    </row>
    <row r="1952">
      <c r="A1952" s="13" t="inlineStr">
        <is>
          <t>Mechanozoa / Mecanozoário</t>
        </is>
      </c>
      <c r="B1952" s="13" t="inlineStr">
        <is>
          <t>Criatura Artefato — Robô Água-viva</t>
        </is>
      </c>
      <c r="C1952" s="13" t="inlineStr">
        <is>
          <t>Comum</t>
        </is>
      </c>
      <c r="D1952" s="13"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1952" s="13" t="inlineStr">
        <is>
          <t>4{U}{U}</t>
        </is>
      </c>
      <c r="F1952" s="13" t="inlineStr">
        <is>
          <t>Azul</t>
        </is>
      </c>
      <c r="G1952" s="8" t="n">
        <v>0.05</v>
      </c>
      <c r="H1952" s="13" t="inlineStr">
        <is>
          <t>Edge of Eternity</t>
        </is>
      </c>
      <c r="I1952" s="13" t="inlineStr">
        <is>
          <t>Sim</t>
        </is>
      </c>
      <c r="J1952" s="13" t="n">
        <v>2025</v>
      </c>
      <c r="K1952" s="10" t="n">
        <v>46147</v>
      </c>
      <c r="L1952" s="13" t="n">
        <v>1</v>
      </c>
      <c r="M1952" s="8" t="n">
        <v>0.2</v>
      </c>
      <c r="P1952" s="9" t="n"/>
    </row>
    <row r="1953">
      <c r="A1953" s="13" t="inlineStr">
        <is>
          <t>Medalhão Azorius / Azorius Locket</t>
        </is>
      </c>
      <c r="B1953" s="13" t="inlineStr">
        <is>
          <t>Artefato</t>
        </is>
      </c>
      <c r="C1953" s="13" t="inlineStr">
        <is>
          <t>Comum</t>
        </is>
      </c>
      <c r="D1953" s="13" t="inlineStr">
        <is>
          <t>{T}: Adicione {W} ou {U}. {W/U}{W/U}{W/U}{W/U}, {T}, sacrifique Medalhão Azorius: Compre dois cards.</t>
        </is>
      </c>
      <c r="E1953" s="13" t="inlineStr">
        <is>
          <t>{3}</t>
        </is>
      </c>
      <c r="F1953" s="13" t="inlineStr">
        <is>
          <t>Incolor</t>
        </is>
      </c>
      <c r="G1953" s="8" t="n">
        <v>0.06</v>
      </c>
      <c r="H1953" s="13" t="inlineStr">
        <is>
          <t>Ravnica Allegiance (RNA)</t>
        </is>
      </c>
      <c r="I1953" s="13" t="inlineStr">
        <is>
          <t>Não</t>
        </is>
      </c>
      <c r="J1953" s="13" t="n">
        <v>2019</v>
      </c>
      <c r="L1953" s="13" t="n">
        <v>2</v>
      </c>
      <c r="M1953" s="8">
        <f>L1953*G1953</f>
        <v/>
      </c>
      <c r="P1953" s="9" t="n"/>
    </row>
    <row r="1954">
      <c r="A1954" s="13" t="inlineStr">
        <is>
          <t>Medalhão Gruul / Gruul Locket</t>
        </is>
      </c>
      <c r="B1954" s="13" t="inlineStr">
        <is>
          <t>Artefato</t>
        </is>
      </c>
      <c r="C1954" s="13" t="inlineStr">
        <is>
          <t>Comum</t>
        </is>
      </c>
      <c r="D1954" s="13" t="inlineStr">
        <is>
          <t>{T}: Adicione {R} ou {G}. {R/G}{R/G}{R/G}{R/G}, {T}, sacrifique Medalhão Gruul: Compre dois cards.</t>
        </is>
      </c>
      <c r="E1954" s="13" t="inlineStr">
        <is>
          <t>{3}</t>
        </is>
      </c>
      <c r="F1954" s="13" t="inlineStr">
        <is>
          <t>Incolor</t>
        </is>
      </c>
      <c r="G1954" s="8" t="n">
        <v>0.06</v>
      </c>
      <c r="H1954" s="13" t="inlineStr">
        <is>
          <t>Ravnica Allegiance (RNA)</t>
        </is>
      </c>
      <c r="I1954" s="13" t="inlineStr">
        <is>
          <t>Não</t>
        </is>
      </c>
      <c r="J1954" s="13" t="n">
        <v>2019</v>
      </c>
      <c r="L1954" s="13" t="n">
        <v>2</v>
      </c>
      <c r="M1954" s="8">
        <f>L1954*G1954</f>
        <v/>
      </c>
      <c r="P1954" s="9" t="n"/>
    </row>
    <row r="1955">
      <c r="A1955" s="13" t="inlineStr">
        <is>
          <t>Medalhão Orzhov / Orzhov Locket</t>
        </is>
      </c>
      <c r="B1955" s="13" t="inlineStr">
        <is>
          <t>Artefato</t>
        </is>
      </c>
      <c r="C1955" s="13" t="inlineStr">
        <is>
          <t>Comum</t>
        </is>
      </c>
      <c r="D1955" s="13" t="inlineStr">
        <is>
          <t>{T}: Adicione {W} ou {B}. {W/B}{W/B}{W/B}{W/B}, {T}, sacrifique Amuleto Orzhov: Compre dois cards.</t>
        </is>
      </c>
      <c r="E1955" s="13" t="inlineStr">
        <is>
          <t>{3}</t>
        </is>
      </c>
      <c r="F1955" s="13" t="inlineStr">
        <is>
          <t>Incolor</t>
        </is>
      </c>
      <c r="G1955" s="8" t="n">
        <v>0.06</v>
      </c>
      <c r="H1955" s="13" t="inlineStr">
        <is>
          <t>Ravnica Allegiance (RNA)</t>
        </is>
      </c>
      <c r="I1955" s="13" t="inlineStr">
        <is>
          <t>Não</t>
        </is>
      </c>
      <c r="J1955" s="13" t="n">
        <v>2019</v>
      </c>
      <c r="L1955" s="13" t="n">
        <v>3</v>
      </c>
      <c r="M1955" s="8">
        <f>L1955*G1955</f>
        <v/>
      </c>
      <c r="P1955" s="9" t="n"/>
    </row>
    <row r="1956">
      <c r="A1956" s="13" t="inlineStr">
        <is>
          <t>Medalhão Rakdos / Rakdos Locket</t>
        </is>
      </c>
      <c r="B1956" s="13" t="inlineStr">
        <is>
          <t>Artefato</t>
        </is>
      </c>
      <c r="C1956" s="13" t="inlineStr">
        <is>
          <t>Comum</t>
        </is>
      </c>
      <c r="D1956" s="13" t="inlineStr">
        <is>
          <t>{T}: Adicione {B} ou {R}. {B/R}{B/R}{B/R}{B/R}, {T}, sacrifique Medalhão Rakdos: Compre dois cards.</t>
        </is>
      </c>
      <c r="E1956" s="13" t="inlineStr">
        <is>
          <t>{3}</t>
        </is>
      </c>
      <c r="F1956" s="13" t="inlineStr">
        <is>
          <t>Incolor</t>
        </is>
      </c>
      <c r="G1956" s="8" t="n">
        <v>0.08</v>
      </c>
      <c r="H1956" s="13" t="inlineStr">
        <is>
          <t>Ravnica Allegiance (RNA)</t>
        </is>
      </c>
      <c r="I1956" s="13" t="inlineStr">
        <is>
          <t>Não</t>
        </is>
      </c>
      <c r="J1956" s="13" t="n">
        <v>2019</v>
      </c>
      <c r="L1956" s="13" t="n">
        <v>2</v>
      </c>
      <c r="M1956" s="8">
        <f>L1956*G1956</f>
        <v/>
      </c>
      <c r="P1956" s="9" t="n"/>
    </row>
    <row r="1957">
      <c r="A1957" s="13" t="inlineStr">
        <is>
          <t>Medalhão Simic / Simic Locket</t>
        </is>
      </c>
      <c r="B1957" s="13" t="inlineStr">
        <is>
          <t>Artefato</t>
        </is>
      </c>
      <c r="C1957" s="13" t="inlineStr">
        <is>
          <t>Comum</t>
        </is>
      </c>
      <c r="D1957" s="13" t="inlineStr">
        <is>
          <t>{T}: Adicione {G} ou {U}. {G/U}{G/U}{G/U}{G/U}, {T}, sacrifique Medalhão Simic: Compre dois cards.</t>
        </is>
      </c>
      <c r="E1957" s="13" t="inlineStr">
        <is>
          <t>{3}</t>
        </is>
      </c>
      <c r="F1957" s="13" t="inlineStr">
        <is>
          <t>Incolor</t>
        </is>
      </c>
      <c r="G1957" s="8" t="n">
        <v>0.06</v>
      </c>
      <c r="H1957" s="13" t="inlineStr">
        <is>
          <t>Ravnica Allegiance (RNA)</t>
        </is>
      </c>
      <c r="I1957" s="13" t="inlineStr">
        <is>
          <t>Não</t>
        </is>
      </c>
      <c r="J1957" s="13" t="n">
        <v>2019</v>
      </c>
      <c r="L1957" s="13" t="n">
        <v>4</v>
      </c>
      <c r="M1957" s="8">
        <f>L1957*G1957</f>
        <v/>
      </c>
      <c r="P1957" s="9" t="n"/>
    </row>
    <row r="1958">
      <c r="A1958" s="13" t="inlineStr">
        <is>
          <t>Melancholic Poet</t>
        </is>
      </c>
      <c r="B1958" s="13" t="inlineStr">
        <is>
          <t>Creature — Elf Bard</t>
        </is>
      </c>
      <c r="C1958" s="13" t="inlineStr">
        <is>
          <t>Common / Comum</t>
        </is>
      </c>
      <c r="D1958" s="13" t="inlineStr">
        <is>
          <t>Repartee — Whenever you cast an instant or sorcery spell that targets a creature, each opponent loses 1 life and you gain 1 life.</t>
        </is>
      </c>
      <c r="E1958" s="13" t="inlineStr">
        <is>
          <t>{1}{B}</t>
        </is>
      </c>
      <c r="F1958" s="13" t="inlineStr">
        <is>
          <t>Preto</t>
        </is>
      </c>
      <c r="G1958" s="8" t="n">
        <v>0.08</v>
      </c>
      <c r="H1958" s="13" t="inlineStr">
        <is>
          <t>Secrets of Strixhaven (SOS)</t>
        </is>
      </c>
      <c r="I1958" s="13" t="inlineStr">
        <is>
          <t>Não</t>
        </is>
      </c>
      <c r="J1958" s="13" t="n">
        <v>2026</v>
      </c>
      <c r="K1958" s="10" t="n">
        <v>46055</v>
      </c>
      <c r="L1958" s="13" t="n">
        <v>1</v>
      </c>
      <c r="M1958" s="8">
        <f>L1958*G1958</f>
        <v/>
      </c>
      <c r="P1958" s="9" t="n"/>
    </row>
    <row r="1959">
      <c r="A1959" s="13" t="inlineStr">
        <is>
          <t>Melek, Izzet Paragon / Melek, Paradigma dos Izzet</t>
        </is>
      </c>
      <c r="B1959" s="13" t="inlineStr">
        <is>
          <t>Legendary Creature — Weird Wizard / Criatura Lendária — Bizarro Mago</t>
        </is>
      </c>
      <c r="C1959" s="13" t="inlineStr">
        <is>
          <t>Uncommon / Incomum</t>
        </is>
      </c>
      <c r="D1959" s="13"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1959" s="13" t="inlineStr">
        <is>
          <t>{4}{U}{R}</t>
        </is>
      </c>
      <c r="F1959" s="13" t="inlineStr">
        <is>
          <t>Vermelho, Azul</t>
        </is>
      </c>
      <c r="G1959" s="8" t="n">
        <v>0.25</v>
      </c>
      <c r="H1959" s="13" t="inlineStr">
        <is>
          <t>Commander Masters (CMM)</t>
        </is>
      </c>
      <c r="I1959" s="13" t="inlineStr">
        <is>
          <t>Não</t>
        </is>
      </c>
      <c r="J1959" s="13" t="n">
        <v>2023</v>
      </c>
      <c r="K1959" s="10" t="n">
        <v>46114</v>
      </c>
      <c r="L1959" s="13" t="n">
        <v>1</v>
      </c>
      <c r="M1959" s="8">
        <f>L1959*G1959</f>
        <v/>
      </c>
      <c r="P1959" s="9" t="n"/>
    </row>
    <row r="1960">
      <c r="A1960" s="13" t="inlineStr">
        <is>
          <t>Meletis Charlatan / Charlatão de Meletis</t>
        </is>
      </c>
      <c r="B1960" s="13" t="inlineStr">
        <is>
          <t>Creature — Human Wizard / Criatura — Humano Mago</t>
        </is>
      </c>
      <c r="C1960" s="13" t="inlineStr">
        <is>
          <t>Rare / Rara</t>
        </is>
      </c>
      <c r="D1960" s="13" t="inlineStr">
        <is>
          <t>{2}{U}, {T}: The controller of target instant or sorcery spell copies it. That player may choose new targets for the copy. / {2}{U}, {T}: O controlador da mágica instantânea ou de feitiço alvo a copia. Aquele jogador pode escolher novos alvos para a cópia.</t>
        </is>
      </c>
      <c r="E1960" s="13" t="inlineStr">
        <is>
          <t>{2}{U}</t>
        </is>
      </c>
      <c r="F1960" s="13" t="inlineStr">
        <is>
          <t>Azul</t>
        </is>
      </c>
      <c r="G1960" s="8" t="n">
        <v>0.22</v>
      </c>
      <c r="H1960" s="13" t="inlineStr">
        <is>
          <t>Theros (THS)</t>
        </is>
      </c>
      <c r="I1960" s="13" t="inlineStr">
        <is>
          <t>Não</t>
        </is>
      </c>
      <c r="J1960" s="13" t="n">
        <v>2013</v>
      </c>
      <c r="K1960" s="10" t="n">
        <v>46083</v>
      </c>
      <c r="L1960" s="13" t="n">
        <v>1</v>
      </c>
      <c r="M1960" s="8">
        <f>L1960*G1960</f>
        <v/>
      </c>
      <c r="P1960" s="9" t="n"/>
    </row>
    <row r="1961">
      <c r="A1961" s="13" t="inlineStr">
        <is>
          <t>Melting / Degelo</t>
        </is>
      </c>
      <c r="B1961" s="13" t="inlineStr">
        <is>
          <t>Enchantment</t>
        </is>
      </c>
      <c r="C1961" s="13" t="inlineStr">
        <is>
          <t>Uncommon / Incomum</t>
        </is>
      </c>
      <c r="D1961" s="13" t="inlineStr">
        <is>
          <t>All lands are no longer snow.</t>
        </is>
      </c>
      <c r="E1961" s="13" t="inlineStr">
        <is>
          <t>{3}{R}</t>
        </is>
      </c>
      <c r="F1961" s="13" t="inlineStr">
        <is>
          <t>Vermelho</t>
        </is>
      </c>
      <c r="G1961" s="8" t="n">
        <v>0.1</v>
      </c>
      <c r="H1961" s="13" t="inlineStr">
        <is>
          <t>Ice Age (ICE)</t>
        </is>
      </c>
      <c r="I1961" s="13" t="inlineStr">
        <is>
          <t>Não</t>
        </is>
      </c>
      <c r="J1961" s="13" t="n">
        <v>1995</v>
      </c>
      <c r="L1961" s="13" t="n">
        <v>1</v>
      </c>
      <c r="M1961" s="8">
        <f>L1961*G1961</f>
        <v/>
      </c>
      <c r="P1961" s="9" t="n"/>
    </row>
    <row r="1962">
      <c r="A1962" s="13" t="inlineStr">
        <is>
          <t>Meltstrider's Gear / Equipamento do熔passo</t>
        </is>
      </c>
      <c r="B1962" s="13" t="inlineStr">
        <is>
          <t>Artefato — Equipamento</t>
        </is>
      </c>
      <c r="C1962" s="13" t="inlineStr">
        <is>
          <t>Comum</t>
        </is>
      </c>
      <c r="D1962" s="13" t="inlineStr">
        <is>
          <t>Quando este Equipamento entrar, anexe-o à criatura alvo que você controla. A criatura equipada recebe +2/+1 e tem alcance. Equipar {5} ({5}: Anexe à criatura alvo que você controla. Equipe somente como um feitiço.)</t>
        </is>
      </c>
      <c r="E1962" s="13" t="inlineStr">
        <is>
          <t>{G}</t>
        </is>
      </c>
      <c r="F1962" s="13" t="inlineStr">
        <is>
          <t>Verde</t>
        </is>
      </c>
      <c r="G1962" s="8" t="n">
        <v>0.05</v>
      </c>
      <c r="H1962" s="13" t="inlineStr">
        <is>
          <t>Edge of Eternity</t>
        </is>
      </c>
      <c r="I1962" s="13" t="inlineStr">
        <is>
          <t>Não</t>
        </is>
      </c>
      <c r="J1962" s="13" t="n">
        <v>2025</v>
      </c>
      <c r="L1962" s="13" t="n">
        <v>1</v>
      </c>
      <c r="M1962" s="8">
        <f>L1962*G1962</f>
        <v/>
      </c>
      <c r="P1962" s="9" t="n"/>
    </row>
    <row r="1963">
      <c r="A1963" s="13" t="inlineStr">
        <is>
          <t>Memoricídio / Memoricide</t>
        </is>
      </c>
      <c r="B1963" s="13" t="inlineStr">
        <is>
          <t>Feitiço / Sorcery</t>
        </is>
      </c>
      <c r="C1963" s="13" t="inlineStr">
        <is>
          <t>Rara / Rare</t>
        </is>
      </c>
      <c r="D1963" s="13"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963" s="13" t="inlineStr">
        <is>
          <t>{3}{B}</t>
        </is>
      </c>
      <c r="F1963" s="13" t="inlineStr">
        <is>
          <t>Preto / Black</t>
        </is>
      </c>
      <c r="G1963" s="8" t="n">
        <v>0.4</v>
      </c>
      <c r="H1963" s="13" t="inlineStr">
        <is>
          <t>Scars of Mirrodin (SOM)</t>
        </is>
      </c>
      <c r="I1963" s="13" t="inlineStr">
        <is>
          <t>Não</t>
        </is>
      </c>
      <c r="J1963" s="13" t="n">
        <v>2010</v>
      </c>
      <c r="L1963" s="13" t="n">
        <v>1</v>
      </c>
      <c r="M1963" s="8">
        <f>L1963*G1963</f>
        <v/>
      </c>
      <c r="P1963" s="9" t="n"/>
    </row>
    <row r="1964">
      <c r="A1964" s="13" t="inlineStr">
        <is>
          <t>Meneldor, Salvador Célere / Meneldor, Swift Savior</t>
        </is>
      </c>
      <c r="B1964" s="13" t="inlineStr">
        <is>
          <t>Criatura Lendária — Ave Soldado</t>
        </is>
      </c>
      <c r="C1964" s="13" t="inlineStr">
        <is>
          <t>Incomum</t>
        </is>
      </c>
      <c r="D1964" s="13" t="inlineStr">
        <is>
          <t>Voar Toda vez que Meneldor, Salvador Célere, causar dano de combate a um jogador, exile até uma criatura alvo que você possui e depois devolva-a ao campo de batalha sob seu controle.</t>
        </is>
      </c>
      <c r="E1964" s="13" t="inlineStr">
        <is>
          <t>3{U}</t>
        </is>
      </c>
      <c r="F1964" s="13" t="inlineStr">
        <is>
          <t>Azul</t>
        </is>
      </c>
      <c r="G1964" s="8" t="n">
        <v>0.13</v>
      </c>
      <c r="H1964" s="13" t="inlineStr">
        <is>
          <t>The Lord of the Rings: Tales of Middle-earth (LTR)</t>
        </is>
      </c>
      <c r="I1964" s="13" t="inlineStr">
        <is>
          <t>Não</t>
        </is>
      </c>
      <c r="J1964" s="13" t="n">
        <v>2023</v>
      </c>
      <c r="K1964" s="10" t="n">
        <v>46084</v>
      </c>
      <c r="L1964" s="13" t="n">
        <v>1</v>
      </c>
      <c r="M1964" s="8">
        <f>L1964*G1964</f>
        <v/>
      </c>
      <c r="P1964" s="9" t="n"/>
    </row>
    <row r="1965">
      <c r="A1965" s="13" t="inlineStr">
        <is>
          <t>Mental Modulation / Modulação Mental</t>
        </is>
      </c>
      <c r="B1965" s="13" t="inlineStr">
        <is>
          <t>Mágica Instantânea</t>
        </is>
      </c>
      <c r="C1965" s="13" t="inlineStr">
        <is>
          <t>Comum</t>
        </is>
      </c>
      <c r="D1965" s="13" t="inlineStr">
        <is>
          <t>Esta mágica custa {1} a menos para ser conjurada durante o seu turno. Vire o artefato ou a criatura alvo. Compre um card.</t>
        </is>
      </c>
      <c r="E1965" s="13" t="inlineStr">
        <is>
          <t>1{U}</t>
        </is>
      </c>
      <c r="F1965" s="13" t="inlineStr">
        <is>
          <t>Azul</t>
        </is>
      </c>
      <c r="G1965" s="8" t="n">
        <v>0.05</v>
      </c>
      <c r="H1965" s="13" t="inlineStr">
        <is>
          <t>Edge of Eternity</t>
        </is>
      </c>
      <c r="I1965" s="13" t="inlineStr">
        <is>
          <t>Não</t>
        </is>
      </c>
      <c r="J1965" s="13" t="n">
        <v>2025</v>
      </c>
      <c r="L1965" s="13" t="n">
        <v>2</v>
      </c>
      <c r="M1965" s="8">
        <f>L1965*G1965</f>
        <v/>
      </c>
      <c r="P1965" s="9" t="n"/>
    </row>
    <row r="1966">
      <c r="A1966" s="13" t="inlineStr">
        <is>
          <t>Mental Modulation / Modulação Mental</t>
        </is>
      </c>
      <c r="B1966" s="13" t="inlineStr">
        <is>
          <t>Mágica Instantânea</t>
        </is>
      </c>
      <c r="C1966" s="13" t="inlineStr">
        <is>
          <t>Comum</t>
        </is>
      </c>
      <c r="D1966" s="13" t="inlineStr">
        <is>
          <t>Esta mágica custa {1} a menos para ser conjurada durante o seu turno. Vire o artefato ou a criatura alvo. Compre um card.</t>
        </is>
      </c>
      <c r="E1966" s="13" t="inlineStr">
        <is>
          <t>1{U}</t>
        </is>
      </c>
      <c r="F1966" s="13" t="inlineStr">
        <is>
          <t>Azul</t>
        </is>
      </c>
      <c r="G1966" s="8" t="n">
        <v>0.17</v>
      </c>
      <c r="H1966" s="13" t="inlineStr">
        <is>
          <t>Edge of Eternity</t>
        </is>
      </c>
      <c r="I1966" s="13" t="inlineStr">
        <is>
          <t>Sim</t>
        </is>
      </c>
      <c r="J1966" s="13" t="n">
        <v>2025</v>
      </c>
      <c r="L1966" s="13" t="n">
        <v>2</v>
      </c>
      <c r="M1966" s="8">
        <f>L1966*G1966</f>
        <v/>
      </c>
      <c r="P1966" s="9" t="n"/>
    </row>
    <row r="1967">
      <c r="A1967" s="13" t="inlineStr">
        <is>
          <t>Mercenary Informer / Informante Mercenário</t>
        </is>
      </c>
      <c r="B1967" s="13" t="inlineStr">
        <is>
          <t>Creature — Rebel Mercenary / Criatura — Rebelde Mercenário</t>
        </is>
      </c>
      <c r="C1967" s="13" t="inlineStr">
        <is>
          <t>Uncommon / Incomum</t>
        </is>
      </c>
      <c r="D1967" s="13"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1967" s="13" t="inlineStr">
        <is>
          <t>{2}{W}</t>
        </is>
      </c>
      <c r="F1967" s="13" t="inlineStr">
        <is>
          <t>Branco</t>
        </is>
      </c>
      <c r="G1967" s="8" t="n">
        <v>0.24</v>
      </c>
      <c r="H1967" s="13" t="inlineStr">
        <is>
          <t>Prophecy (PCY)</t>
        </is>
      </c>
      <c r="I1967" s="13" t="inlineStr">
        <is>
          <t>No</t>
        </is>
      </c>
      <c r="J1967" s="13" t="n">
        <v>2000</v>
      </c>
      <c r="K1967" s="10" t="n">
        <v>46024</v>
      </c>
      <c r="L1967" s="13" t="n">
        <v>1</v>
      </c>
      <c r="M1967" s="8">
        <f>L1967*G1967</f>
        <v/>
      </c>
      <c r="P1967" s="9" t="n"/>
    </row>
    <row r="1968">
      <c r="A1968" s="13" t="inlineStr">
        <is>
          <t>Merchant of Many Hats</t>
        </is>
      </c>
      <c r="B1968" s="13" t="inlineStr">
        <is>
          <t>Creature — Human Peasant Ally</t>
        </is>
      </c>
      <c r="C1968" s="13" t="inlineStr">
        <is>
          <t>Common / Comum</t>
        </is>
      </c>
      <c r="D1968" s="13" t="inlineStr">
        <is>
          <t>{2}{B}: Return this card from your graveyard to your hand.</t>
        </is>
      </c>
      <c r="E1968" s="13" t="inlineStr">
        <is>
          <t>{1}{B}</t>
        </is>
      </c>
      <c r="F1968" s="13" t="inlineStr">
        <is>
          <t>Preto</t>
        </is>
      </c>
      <c r="G1968" s="8" t="n">
        <v>0.05</v>
      </c>
      <c r="H1968" s="13" t="inlineStr">
        <is>
          <t>Avatar: The Last Airbender (TLA)</t>
        </is>
      </c>
      <c r="I1968" s="13" t="inlineStr">
        <is>
          <t>Não</t>
        </is>
      </c>
      <c r="J1968" s="13" t="n">
        <v>2025</v>
      </c>
      <c r="K1968" s="10" t="n">
        <v>46055</v>
      </c>
      <c r="L1968" s="13" t="n">
        <v>2</v>
      </c>
      <c r="M1968" s="8">
        <f>L1968*G1968</f>
        <v/>
      </c>
      <c r="P1968" s="9" t="n"/>
    </row>
    <row r="1969">
      <c r="A1969" s="13" t="inlineStr">
        <is>
          <t>Meriadoc Brandebuque / Meriadoc Brandybuck</t>
        </is>
      </c>
      <c r="B1969" s="13" t="inlineStr">
        <is>
          <t>Criatura Lendária — Pequenino Cidadão</t>
        </is>
      </c>
      <c r="C1969" s="13" t="inlineStr">
        <is>
          <t>Incomum</t>
        </is>
      </c>
      <c r="D1969" s="13" t="inlineStr">
        <is>
          <t>Toda vez que um ou mais Pequeninos que você controla atacarem um jogador, crie uma ficha de Comida. (Ela é um artefato com "2, {T}, sacrifique este artefato: Você ganha 3 pontos de vida".)</t>
        </is>
      </c>
      <c r="E1969" s="13" t="inlineStr">
        <is>
          <t>1{G}</t>
        </is>
      </c>
      <c r="F1969" s="13" t="inlineStr">
        <is>
          <t>Verde</t>
        </is>
      </c>
      <c r="G1969" s="8" t="n">
        <v>0.09</v>
      </c>
      <c r="H1969" s="13" t="inlineStr">
        <is>
          <t>The Lord of the Rings: Tales of Middle-earth (LTR)</t>
        </is>
      </c>
      <c r="I1969" s="13" t="inlineStr">
        <is>
          <t>Não</t>
        </is>
      </c>
      <c r="J1969" s="13" t="n">
        <v>2023</v>
      </c>
      <c r="K1969" s="10" t="n">
        <v>46055</v>
      </c>
      <c r="L1969" s="13" t="n">
        <v>1</v>
      </c>
      <c r="M1969" s="8">
        <f>L1969*G1969</f>
        <v/>
      </c>
      <c r="P1969" s="9" t="n"/>
    </row>
    <row r="1970">
      <c r="A1970" s="13" t="inlineStr">
        <is>
          <t>Merrow Skyswimmer</t>
        </is>
      </c>
      <c r="B1970" s="13" t="inlineStr">
        <is>
          <t>Creature — Merfolk Soldier</t>
        </is>
      </c>
      <c r="C1970" s="13" t="inlineStr">
        <is>
          <t>Common / Comum</t>
        </is>
      </c>
      <c r="D1970" s="13" t="inlineStr">
        <is>
          <t>Convoke (Your creatures can help cast this spell. Each creature you tap while casting this spell pays for {1} or one mana of that creature's color.) Flying, vigilance When this creature enters, create a 1/1 white and blue Merfolk creature token.</t>
        </is>
      </c>
      <c r="E1970" s="13" t="inlineStr">
        <is>
          <t>{3}{W/U}{W/U}</t>
        </is>
      </c>
      <c r="F1970" s="13" t="inlineStr">
        <is>
          <t>Azul, Branco</t>
        </is>
      </c>
      <c r="G1970" s="8" t="n">
        <v>0.05</v>
      </c>
      <c r="H1970" s="13" t="inlineStr">
        <is>
          <t>Lorwyn Eclipsed (ECL)</t>
        </is>
      </c>
      <c r="I1970" s="13" t="inlineStr">
        <is>
          <t>Não</t>
        </is>
      </c>
      <c r="J1970" s="13" t="n">
        <v>2026</v>
      </c>
      <c r="K1970" s="10" t="n">
        <v>46055</v>
      </c>
      <c r="L1970" s="13" t="n">
        <v>3</v>
      </c>
      <c r="M1970" s="8">
        <f>L1970*G1970</f>
        <v/>
      </c>
      <c r="P1970" s="9" t="n"/>
    </row>
    <row r="1971">
      <c r="A1971" s="13" t="inlineStr">
        <is>
          <t>Merrow Wavebreakers / Sirenídeos Saltadores</t>
        </is>
      </c>
      <c r="B1971" s="13" t="inlineStr">
        <is>
          <t>Creature — Merfolk Soldier / Criatura — Tritão Soldado</t>
        </is>
      </c>
      <c r="C1971" s="13" t="inlineStr">
        <is>
          <t>Common / Comum</t>
        </is>
      </c>
      <c r="D1971" s="13" t="inlineStr">
        <is>
          <t>{1}{U}, {Q}: This creature gains flying until end of turn. ({Q} is the untap symbol.) / {1}{U}, {Q}: Sirenídeos Saltadores ganha voar até o final do turno. ({Q} é o símbolo de desvirar.)</t>
        </is>
      </c>
      <c r="E1971" s="13" t="inlineStr">
        <is>
          <t>{4}{U}</t>
        </is>
      </c>
      <c r="F1971" s="13" t="inlineStr">
        <is>
          <t>Azul</t>
        </is>
      </c>
      <c r="G1971" s="8" t="n">
        <v>0.05</v>
      </c>
      <c r="H1971" s="13" t="inlineStr">
        <is>
          <t>Shadowmoor (SHM)</t>
        </is>
      </c>
      <c r="I1971" s="13" t="inlineStr">
        <is>
          <t>Não</t>
        </is>
      </c>
      <c r="J1971" s="13" t="n">
        <v>2008</v>
      </c>
      <c r="K1971" s="10" t="n">
        <v>46084</v>
      </c>
      <c r="L1971" s="13" t="n">
        <v>1</v>
      </c>
      <c r="M1971" s="8">
        <f>L1971*G1971</f>
        <v/>
      </c>
      <c r="P1971" s="9" t="n"/>
    </row>
    <row r="1972">
      <c r="A1972" s="13" t="inlineStr">
        <is>
          <t>Mesa Chicken</t>
        </is>
      </c>
      <c r="B1972" s="13" t="inlineStr">
        <is>
          <t>Summon Chicken</t>
        </is>
      </c>
      <c r="C1972" s="13" t="inlineStr">
        <is>
          <t>Common</t>
        </is>
      </c>
      <c r="D1972" s="13" t="inlineStr">
        <is>
          <t>Stand up, Flap your arms, Cluck like a chicken: Mesa Chicken gains flying until end of turn.</t>
        </is>
      </c>
      <c r="E1972" s="13" t="inlineStr">
        <is>
          <t>{W}{W}</t>
        </is>
      </c>
      <c r="F1972" s="13" t="inlineStr">
        <is>
          <t>White</t>
        </is>
      </c>
      <c r="G1972" s="8" t="n">
        <v>0.25</v>
      </c>
      <c r="H1972" s="13" t="inlineStr">
        <is>
          <t>Unglued (UGL)</t>
        </is>
      </c>
      <c r="I1972" s="13" t="inlineStr">
        <is>
          <t>No</t>
        </is>
      </c>
      <c r="J1972" s="13" t="n">
        <v>1998</v>
      </c>
      <c r="K1972" s="10" t="n">
        <v>46055</v>
      </c>
      <c r="L1972" s="13" t="n">
        <v>2</v>
      </c>
      <c r="M1972" s="8">
        <f>L1972*G1972</f>
        <v/>
      </c>
      <c r="P1972" s="9" t="n"/>
    </row>
    <row r="1973">
      <c r="A1973" s="13" t="inlineStr">
        <is>
          <t>Mesa Lynx / Lince da Meseta</t>
        </is>
      </c>
      <c r="B1973" s="13" t="inlineStr">
        <is>
          <t>Creature — Cat / Criatura — Felino</t>
        </is>
      </c>
      <c r="C1973" s="13" t="inlineStr">
        <is>
          <t>Common / Comum</t>
        </is>
      </c>
      <c r="D1973" s="13" t="inlineStr">
        <is>
          <t>During turns other than yours, this creature gets +0/+2. / Enquanto não for o seu turno, Lince da Meseta receberá +0/+2.</t>
        </is>
      </c>
      <c r="E1973" s="13" t="inlineStr">
        <is>
          <t>{1}{W}</t>
        </is>
      </c>
      <c r="F1973" s="13" t="inlineStr">
        <is>
          <t>Branco</t>
        </is>
      </c>
      <c r="G1973" s="8" t="n">
        <v>0.05</v>
      </c>
      <c r="H1973" s="13" t="inlineStr">
        <is>
          <t>Zendikar Rising (ZNR)</t>
        </is>
      </c>
      <c r="I1973" s="13" t="inlineStr">
        <is>
          <t>Não</t>
        </is>
      </c>
      <c r="J1973" s="13" t="n">
        <v>2020</v>
      </c>
      <c r="K1973" s="10" t="n">
        <v>46024</v>
      </c>
      <c r="L1973" s="13" t="n">
        <v>2</v>
      </c>
      <c r="M1973" s="8">
        <f>L1973*G1973</f>
        <v/>
      </c>
      <c r="P1973" s="9" t="n"/>
    </row>
    <row r="1974">
      <c r="A1974" s="13" t="inlineStr">
        <is>
          <t>Mesa Pegasus / Pégaso da Mesa</t>
        </is>
      </c>
      <c r="B1974" s="13" t="inlineStr">
        <is>
          <t>Creature — Pegasus / Criatura — Pégaso</t>
        </is>
      </c>
      <c r="C1974" s="13" t="inlineStr">
        <is>
          <t>Common / Comum</t>
        </is>
      </c>
      <c r="D1974" s="13" t="inlineStr">
        <is>
          <t>Flying, banding. / Voar, banding.</t>
        </is>
      </c>
      <c r="E1974" s="13" t="inlineStr">
        <is>
          <t>{1}{W}</t>
        </is>
      </c>
      <c r="F1974" s="13" t="inlineStr">
        <is>
          <t>Branco</t>
        </is>
      </c>
      <c r="G1974" s="8" t="n">
        <v>0.07000000000000001</v>
      </c>
      <c r="H1974" s="13" t="inlineStr">
        <is>
          <t>Chronicles (CHR)</t>
        </is>
      </c>
      <c r="I1974" s="13" t="inlineStr">
        <is>
          <t>No</t>
        </is>
      </c>
      <c r="J1974" s="13" t="n">
        <v>1995</v>
      </c>
      <c r="K1974" s="10" t="n">
        <v>46023</v>
      </c>
      <c r="L1974" s="13" t="n">
        <v>1</v>
      </c>
      <c r="M1974" s="8">
        <f>L1974*G1974</f>
        <v/>
      </c>
      <c r="P1974" s="9" t="n"/>
    </row>
    <row r="1975">
      <c r="A1975" s="13" t="inlineStr">
        <is>
          <t>Mesmerizing Benthid / Bentídeo Hipnotizante</t>
        </is>
      </c>
      <c r="B1975" s="13" t="inlineStr">
        <is>
          <t>Creature — Octopus / Criatura — Polvo</t>
        </is>
      </c>
      <c r="C1975" s="13" t="inlineStr">
        <is>
          <t>Mythic / Mítica</t>
        </is>
      </c>
      <c r="D1975" s="13"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975" s="13" t="inlineStr">
        <is>
          <t>{3}{U}{U}</t>
        </is>
      </c>
      <c r="F1975" s="13" t="inlineStr">
        <is>
          <t>Azul</t>
        </is>
      </c>
      <c r="G1975" s="8" t="n">
        <v>0.5</v>
      </c>
      <c r="H1975" s="13" t="inlineStr">
        <is>
          <t>Ravnica Allegiance (RNA)</t>
        </is>
      </c>
      <c r="I1975" s="13" t="inlineStr">
        <is>
          <t>Não</t>
        </is>
      </c>
      <c r="J1975" s="13" t="n">
        <v>2019</v>
      </c>
      <c r="K1975" s="10" t="n">
        <v>46146</v>
      </c>
      <c r="L1975" s="13" t="n">
        <v>1</v>
      </c>
      <c r="M1975" s="8">
        <f>L1975*G1975</f>
        <v/>
      </c>
      <c r="P1975" s="9" t="n"/>
    </row>
    <row r="1976">
      <c r="A1976" s="13" t="inlineStr">
        <is>
          <t>Messenger Hawk</t>
        </is>
      </c>
      <c r="B1976" s="13" t="inlineStr">
        <is>
          <t>Creature — Bird Scout</t>
        </is>
      </c>
      <c r="C1976" s="13" t="inlineStr">
        <is>
          <t>Common / Comum</t>
        </is>
      </c>
      <c r="D1976" s="13" t="inlineStr">
        <is>
          <t>Flying When this creature enters, create a Clue token. (It's an artifact with "{2}, Sacrifice this token: Draw a card.") This creature gets +2/+0 as long as you've drawn two or more cards this turn.</t>
        </is>
      </c>
      <c r="E1976" s="13" t="inlineStr">
        <is>
          <t>{2}{U/B}</t>
        </is>
      </c>
      <c r="F1976" s="13" t="inlineStr">
        <is>
          <t>Preto, Azul</t>
        </is>
      </c>
      <c r="G1976" s="8" t="n">
        <v>0.04</v>
      </c>
      <c r="H1976" s="13" t="inlineStr">
        <is>
          <t>Avatar: The Last Airbender (TLA)</t>
        </is>
      </c>
      <c r="I1976" s="13" t="inlineStr">
        <is>
          <t>Não</t>
        </is>
      </c>
      <c r="J1976" s="13" t="n">
        <v>2025</v>
      </c>
      <c r="K1976" s="10" t="n">
        <v>46054</v>
      </c>
      <c r="L1976" s="13" t="n">
        <v>3</v>
      </c>
      <c r="M1976" s="8">
        <f>L1976*G1976</f>
        <v/>
      </c>
      <c r="P1976" s="9" t="n"/>
    </row>
    <row r="1977">
      <c r="A1977" s="13" t="inlineStr">
        <is>
          <t>Metal Fatigue / Fadiga do Metal</t>
        </is>
      </c>
      <c r="B1977" s="13" t="inlineStr">
        <is>
          <t>Instant / Mágica Instantânea</t>
        </is>
      </c>
      <c r="C1977" s="13" t="inlineStr">
        <is>
          <t>Common / Comum</t>
        </is>
      </c>
      <c r="D1977" s="13" t="inlineStr">
        <is>
          <t>Tap all artifacts. / Vira todos os artefatos.</t>
        </is>
      </c>
      <c r="E1977" s="13" t="inlineStr">
        <is>
          <t>{2}{W}</t>
        </is>
      </c>
      <c r="F1977" s="13" t="inlineStr">
        <is>
          <t>Branco</t>
        </is>
      </c>
      <c r="G1977" s="8" t="n">
        <v>0.07000000000000001</v>
      </c>
      <c r="H1977" s="13" t="inlineStr">
        <is>
          <t>Darksteel (DST)</t>
        </is>
      </c>
      <c r="I1977" s="13" t="inlineStr">
        <is>
          <t>Não</t>
        </is>
      </c>
      <c r="J1977" s="13" t="n">
        <v>2004</v>
      </c>
      <c r="L1977" s="13" t="n">
        <v>1</v>
      </c>
      <c r="M1977" s="8">
        <f>L1977*G1977</f>
        <v/>
      </c>
      <c r="P1977" s="9" t="n"/>
    </row>
    <row r="1978">
      <c r="A1978" s="13" t="inlineStr">
        <is>
          <t>Metalhead</t>
        </is>
      </c>
      <c r="B1978" s="13" t="inlineStr">
        <is>
          <t>Legendary Artifact Creature — Robot Turtle</t>
        </is>
      </c>
      <c r="C1978" s="13" t="inlineStr">
        <is>
          <t>Uncommon / Incomum</t>
        </is>
      </c>
      <c r="D1978" s="13" t="inlineStr">
        <is>
          <t>When Metalhead enters, return up to one other target artifact or creature to its owner's hand. {R}, Sacrifice another artifact: Put a +1/+1 counter on Metalhead. He gains menace and haste until end of turn.</t>
        </is>
      </c>
      <c r="E1978" s="13" t="inlineStr">
        <is>
          <t>{4}{U}</t>
        </is>
      </c>
      <c r="F1978" s="13" t="inlineStr">
        <is>
          <t>Azul</t>
        </is>
      </c>
      <c r="G1978" s="8" t="n">
        <v>0.14</v>
      </c>
      <c r="H1978" s="13" t="inlineStr">
        <is>
          <t>Teenage Mutant Ninja Turtles (TMT)</t>
        </is>
      </c>
      <c r="I1978" s="13" t="inlineStr">
        <is>
          <t>Não</t>
        </is>
      </c>
      <c r="J1978" s="13" t="n">
        <v>2026</v>
      </c>
      <c r="K1978" s="10" t="n">
        <v>46116</v>
      </c>
      <c r="L1978" s="13" t="n">
        <v>1</v>
      </c>
      <c r="M1978" s="8">
        <f>L1978*G1978</f>
        <v/>
      </c>
      <c r="P1978" s="9" t="n"/>
    </row>
    <row r="1979">
      <c r="A1979" s="13" t="inlineStr">
        <is>
          <t>Metalspinner's Puzzleknot / Quebra-cabeça do Metalofiador</t>
        </is>
      </c>
      <c r="B1979" s="13" t="inlineStr">
        <is>
          <t>Artifact / Artefato</t>
        </is>
      </c>
      <c r="C1979" s="13" t="inlineStr">
        <is>
          <t>Common / Comum</t>
        </is>
      </c>
      <c r="D1979" s="13"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1979" s="13" t="inlineStr">
        <is>
          <t>{2}</t>
        </is>
      </c>
      <c r="F1979" s="13" t="inlineStr">
        <is>
          <t>Preto</t>
        </is>
      </c>
      <c r="G1979" s="8" t="n">
        <v>0.06</v>
      </c>
      <c r="H1979" s="13" t="inlineStr">
        <is>
          <t>Kaladesh (KLD)</t>
        </is>
      </c>
      <c r="I1979" s="13" t="inlineStr">
        <is>
          <t>Não</t>
        </is>
      </c>
      <c r="J1979" s="13" t="n">
        <v>2016</v>
      </c>
      <c r="L1979" s="13" t="n">
        <v>1</v>
      </c>
      <c r="M1979" s="8">
        <f>L1979*G1979</f>
        <v/>
      </c>
      <c r="P1979" s="9" t="n"/>
    </row>
    <row r="1980">
      <c r="A1980" s="13" t="inlineStr">
        <is>
          <t>Metamorfo / Shapeshifter</t>
        </is>
      </c>
      <c r="B1980" s="13" t="inlineStr">
        <is>
          <t>Artifact Creature / Criatura Artefato</t>
        </is>
      </c>
      <c r="C1980" s="13" t="inlineStr">
        <is>
          <t>Rare / Rara</t>
        </is>
      </c>
      <c r="D1980" s="13" t="inlineStr">
        <is>
          <t>A soma do poder e da resistência do Metamorfo é igual 7. Você define estes valores no momento em que o Metamorfo entra em jogo. Você pode alterá-los durante sua fase de manutenção.</t>
        </is>
      </c>
      <c r="E1980" s="13" t="inlineStr">
        <is>
          <t>{6}</t>
        </is>
      </c>
      <c r="F1980" s="13" t="inlineStr">
        <is>
          <t>Incolor</t>
        </is>
      </c>
      <c r="G1980" s="8" t="n">
        <v>0.43</v>
      </c>
      <c r="H1980" s="13" t="inlineStr">
        <is>
          <t>Chronicles (CHR)</t>
        </is>
      </c>
      <c r="I1980" s="13" t="inlineStr">
        <is>
          <t>No</t>
        </is>
      </c>
      <c r="J1980" s="13" t="n">
        <v>1995</v>
      </c>
      <c r="K1980" s="13" t="inlineStr">
        <is>
          <t>*/(7-*)</t>
        </is>
      </c>
      <c r="L1980" s="13" t="n">
        <v>1</v>
      </c>
      <c r="M1980" s="8">
        <f>L1980*G1980</f>
        <v/>
      </c>
      <c r="P1980" s="9" t="n"/>
    </row>
    <row r="1981">
      <c r="A1981" s="13" t="inlineStr">
        <is>
          <t>Metamorfo / Shapeshifter</t>
        </is>
      </c>
      <c r="B1981" s="13" t="inlineStr">
        <is>
          <t>Criatura Artefato / Artifact Creature</t>
        </is>
      </c>
      <c r="C1981" s="13" t="inlineStr">
        <is>
          <t>Rara / Rare</t>
        </is>
      </c>
      <c r="D1981" s="13"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1981" s="13" t="inlineStr">
        <is>
          <t>{6}</t>
        </is>
      </c>
      <c r="F1981" s="13" t="inlineStr">
        <is>
          <t>Incolor</t>
        </is>
      </c>
      <c r="G1981" s="8" t="n">
        <v>0.43</v>
      </c>
      <c r="H1981" s="13" t="inlineStr">
        <is>
          <t>Fourth Edition</t>
        </is>
      </c>
      <c r="I1981" s="13" t="inlineStr">
        <is>
          <t>Não</t>
        </is>
      </c>
      <c r="J1981" s="13" t="n">
        <v>1995</v>
      </c>
      <c r="K1981" s="13" t="inlineStr">
        <is>
          <t>*/(7-*)</t>
        </is>
      </c>
      <c r="L1981" s="13" t="n">
        <v>1</v>
      </c>
      <c r="M1981" s="8">
        <f>L1981*G1981</f>
        <v/>
      </c>
      <c r="P1981" s="9" t="n"/>
    </row>
    <row r="1982">
      <c r="A1982" s="13" t="inlineStr">
        <is>
          <t>Metamorphic Blast / Jato Metamórfico</t>
        </is>
      </c>
      <c r="B1982" s="13" t="inlineStr">
        <is>
          <t>Instant / Mágica Instantânea</t>
        </is>
      </c>
      <c r="C1982" s="13" t="inlineStr">
        <is>
          <t>Uncommon / Incomum</t>
        </is>
      </c>
      <c r="D1982" s="13"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1982" s="13" t="inlineStr">
        <is>
          <t>{U}</t>
        </is>
      </c>
      <c r="F1982" s="13" t="inlineStr">
        <is>
          <t>Azul</t>
        </is>
      </c>
      <c r="G1982" s="8" t="n">
        <v>0.09</v>
      </c>
      <c r="H1982" s="13" t="inlineStr">
        <is>
          <t>Outlaws of Thunder Junction (OTJ)</t>
        </is>
      </c>
      <c r="I1982" s="13" t="inlineStr">
        <is>
          <t>Não</t>
        </is>
      </c>
      <c r="J1982" s="13" t="n">
        <v>2024</v>
      </c>
      <c r="L1982" s="13" t="n">
        <v>1</v>
      </c>
      <c r="M1982" s="8">
        <f>L1982*G1982</f>
        <v/>
      </c>
      <c r="P1982" s="9" t="n"/>
    </row>
    <row r="1983">
      <c r="A1983" s="13" t="inlineStr">
        <is>
          <t>Meteor Golem / Golem Meteórico</t>
        </is>
      </c>
      <c r="B1983" s="13" t="inlineStr">
        <is>
          <t>Artifact Creature — Golem / Criatura Artefato — Golem</t>
        </is>
      </c>
      <c r="C1983" s="13" t="inlineStr">
        <is>
          <t>Uncommon / Incomum</t>
        </is>
      </c>
      <c r="D1983" s="13" t="inlineStr">
        <is>
          <t>When this creature enters, destroy target nonland permanent an opponent controls. / Quando Golem Meteórico entrar no campo de batalha, destrua a permanente alvo que um oponente controla que não seja um terreno.</t>
        </is>
      </c>
      <c r="E1983" s="13" t="inlineStr">
        <is>
          <t>{7}</t>
        </is>
      </c>
      <c r="F1983" s="13" t="inlineStr">
        <is>
          <t>Incolor</t>
        </is>
      </c>
      <c r="G1983" s="8" t="n">
        <v>0.14</v>
      </c>
      <c r="H1983" s="13" t="inlineStr">
        <is>
          <t>Commander Masters (CMM)</t>
        </is>
      </c>
      <c r="I1983" s="13" t="inlineStr">
        <is>
          <t>Não</t>
        </is>
      </c>
      <c r="J1983" s="13" t="n">
        <v>2023</v>
      </c>
      <c r="K1983" s="10" t="n">
        <v>46084</v>
      </c>
      <c r="L1983" s="13" t="n">
        <v>1</v>
      </c>
      <c r="M1983" s="8">
        <f>L1983*G1983</f>
        <v/>
      </c>
      <c r="P1983" s="9" t="n"/>
    </row>
    <row r="1984">
      <c r="A1984" s="13" t="inlineStr">
        <is>
          <t>Meteor Mace / Maça Meteórica</t>
        </is>
      </c>
      <c r="B1984" s="13" t="inlineStr">
        <is>
          <t>Artifact — Equipment / Artefato — Equipamento</t>
        </is>
      </c>
      <c r="C1984" s="13" t="inlineStr">
        <is>
          <t>Uncommon / Incomum</t>
        </is>
      </c>
      <c r="D1984" s="13"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984" s="13" t="inlineStr">
        <is>
          <t>{4}{R}{R}</t>
        </is>
      </c>
      <c r="F1984" s="13" t="inlineStr">
        <is>
          <t>Vermelho</t>
        </is>
      </c>
      <c r="G1984" s="8" t="n">
        <v>0.38</v>
      </c>
      <c r="H1984" s="13" t="inlineStr">
        <is>
          <t>Commander Legends (CMR)</t>
        </is>
      </c>
      <c r="I1984" s="13" t="inlineStr">
        <is>
          <t>Sim</t>
        </is>
      </c>
      <c r="J1984" s="13" t="n">
        <v>2020</v>
      </c>
      <c r="L1984" s="13" t="n">
        <v>1</v>
      </c>
      <c r="M1984" s="8">
        <f>L1984*G1984</f>
        <v/>
      </c>
      <c r="P1984" s="9" t="n"/>
    </row>
    <row r="1985">
      <c r="A1985" s="13" t="inlineStr">
        <is>
          <t>Meteor Sword</t>
        </is>
      </c>
      <c r="B1985" s="13" t="inlineStr">
        <is>
          <t>Artifact — Equipment</t>
        </is>
      </c>
      <c r="C1985" s="13" t="inlineStr">
        <is>
          <t>Uncommon / Incomum</t>
        </is>
      </c>
      <c r="D1985" s="13" t="inlineStr">
        <is>
          <t>When this Equipment enters, destroy target permanent. Equipped creature gets +3/+3. Equip {3} ({3}: Attach to target creature you control. Equip only as a sorcery.)</t>
        </is>
      </c>
      <c r="E1985" s="13" t="inlineStr">
        <is>
          <t>{7}</t>
        </is>
      </c>
      <c r="F1985" s="13" t="inlineStr">
        <is>
          <t>Incolor</t>
        </is>
      </c>
      <c r="G1985" s="8" t="n">
        <v>0.1</v>
      </c>
      <c r="H1985" s="13" t="inlineStr">
        <is>
          <t>Avatar: The Last Airbender (TLA)</t>
        </is>
      </c>
      <c r="I1985" s="13" t="inlineStr">
        <is>
          <t>Não</t>
        </is>
      </c>
      <c r="J1985" s="13" t="n">
        <v>2025</v>
      </c>
      <c r="L1985" s="13" t="n">
        <v>1</v>
      </c>
      <c r="M1985" s="8">
        <f>L1985*G1985</f>
        <v/>
      </c>
      <c r="P1985" s="9" t="n"/>
    </row>
    <row r="1986">
      <c r="A1986" s="13" t="inlineStr">
        <is>
          <t>Miasmic Mummy / Múmia Miasmática</t>
        </is>
      </c>
      <c r="B1986" s="13" t="inlineStr">
        <is>
          <t>Creature — Zombie Jackal / Criatura — Zumbi Chacal</t>
        </is>
      </c>
      <c r="C1986" s="13" t="inlineStr">
        <is>
          <t>Common / Comum</t>
        </is>
      </c>
      <c r="D1986" s="13" t="inlineStr">
        <is>
          <t>When this creature enters, each player discards a card. / Quando Múmia Miasmática entra no campo de batalha, cada jogador descarta um card.</t>
        </is>
      </c>
      <c r="E1986" s="13" t="inlineStr">
        <is>
          <t>{1}{B}</t>
        </is>
      </c>
      <c r="F1986" s="13" t="inlineStr">
        <is>
          <t>Preto</t>
        </is>
      </c>
      <c r="G1986" s="8" t="n">
        <v>0.03</v>
      </c>
      <c r="H1986" s="13" t="inlineStr">
        <is>
          <t>Amonkhet (AKH)</t>
        </is>
      </c>
      <c r="I1986" s="13" t="inlineStr">
        <is>
          <t>Não</t>
        </is>
      </c>
      <c r="J1986" s="13" t="n">
        <v>2017</v>
      </c>
      <c r="K1986" s="10" t="n">
        <v>46055</v>
      </c>
      <c r="L1986" s="13" t="n">
        <v>1</v>
      </c>
      <c r="M1986" s="8">
        <f>L1986*G1986</f>
        <v/>
      </c>
      <c r="P1986" s="9" t="n"/>
    </row>
    <row r="1987">
      <c r="A1987" s="13" t="inlineStr">
        <is>
          <t>Michelangelo, Game Master</t>
        </is>
      </c>
      <c r="B1987" s="13" t="inlineStr">
        <is>
          <t>Legendary Creature — Mutant Ninja Turtle</t>
        </is>
      </c>
      <c r="C1987" s="13" t="inlineStr">
        <is>
          <t>Common / Comum</t>
        </is>
      </c>
      <c r="D1987" s="13" t="inlineStr">
        <is>
          <t>Disappear — At the beginning of your end step, if a permanent left the battlefield under your control this turn, put a +1/+1 counter on Michelangelo.</t>
        </is>
      </c>
      <c r="E1987" s="13" t="inlineStr">
        <is>
          <t>{2}{G}</t>
        </is>
      </c>
      <c r="F1987" s="13" t="inlineStr">
        <is>
          <t>Verde</t>
        </is>
      </c>
      <c r="G1987" s="8" t="n">
        <v>0.05</v>
      </c>
      <c r="H1987" s="13" t="inlineStr">
        <is>
          <t>Teenage Mutant Ninja Turtles (TMT)</t>
        </is>
      </c>
      <c r="I1987" s="13" t="inlineStr">
        <is>
          <t>Não</t>
        </is>
      </c>
      <c r="J1987" s="13" t="n">
        <v>2026</v>
      </c>
      <c r="K1987" s="10" t="n">
        <v>46084</v>
      </c>
      <c r="L1987" s="13" t="n">
        <v>2</v>
      </c>
      <c r="M1987" s="8">
        <f>L1987*G1987</f>
        <v/>
      </c>
      <c r="P1987" s="9" t="n"/>
    </row>
    <row r="1988">
      <c r="A1988" s="13" t="inlineStr">
        <is>
          <t>Michelangelo, Mutant BFF</t>
        </is>
      </c>
      <c r="B1988" s="13" t="inlineStr">
        <is>
          <t>Legendary Creature — Mutant Ninja Turtle</t>
        </is>
      </c>
      <c r="C1988" s="13" t="inlineStr">
        <is>
          <t>Uncommon / Incomum</t>
        </is>
      </c>
      <c r="D1988" s="13"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1988" s="13" t="inlineStr">
        <is>
          <t>{2}{G}{G}</t>
        </is>
      </c>
      <c r="F1988" s="13" t="inlineStr">
        <is>
          <t>Verde</t>
        </is>
      </c>
      <c r="G1988" s="8" t="n">
        <v>0.23</v>
      </c>
      <c r="H1988" s="13" t="inlineStr">
        <is>
          <t>Teenage Mutant Ninja Turtles (TMT)</t>
        </is>
      </c>
      <c r="I1988" s="13" t="inlineStr">
        <is>
          <t>Não</t>
        </is>
      </c>
      <c r="J1988" s="13" t="n">
        <v>2026</v>
      </c>
      <c r="K1988" s="10" t="n">
        <v>46116</v>
      </c>
      <c r="L1988" s="13" t="n">
        <v>1</v>
      </c>
      <c r="M1988" s="8">
        <f>L1988*G1988</f>
        <v/>
      </c>
      <c r="P1988" s="9" t="n"/>
    </row>
    <row r="1989">
      <c r="A1989" s="13" t="inlineStr">
        <is>
          <t>Micromancer / Micromante</t>
        </is>
      </c>
      <c r="B1989" s="13" t="inlineStr">
        <is>
          <t>Creature — Human Wizard / Criatura — Humano Mago</t>
        </is>
      </c>
      <c r="C1989" s="13" t="inlineStr">
        <is>
          <t>Uncommon / Incomum</t>
        </is>
      </c>
      <c r="D1989" s="13"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1989" s="13" t="inlineStr">
        <is>
          <t>{3}{U}</t>
        </is>
      </c>
      <c r="F1989" s="13" t="inlineStr">
        <is>
          <t>Azul</t>
        </is>
      </c>
      <c r="G1989" s="8" t="n">
        <v>0.4</v>
      </c>
      <c r="H1989" s="13" t="inlineStr">
        <is>
          <t>Foundations (FDN)</t>
        </is>
      </c>
      <c r="I1989" s="13" t="inlineStr">
        <is>
          <t>Sim</t>
        </is>
      </c>
      <c r="J1989" s="13" t="n">
        <v>2024</v>
      </c>
      <c r="K1989" s="10" t="n">
        <v>46084</v>
      </c>
      <c r="L1989" s="13" t="n">
        <v>1</v>
      </c>
      <c r="M1989" s="8">
        <f>L1989*G1989</f>
        <v/>
      </c>
      <c r="P1989" s="9" t="n"/>
    </row>
    <row r="1990">
      <c r="A1990" s="13" t="inlineStr">
        <is>
          <t>Midnight Mangler</t>
        </is>
      </c>
      <c r="B1990" s="13" t="inlineStr">
        <is>
          <t>Artifact — Vehicle</t>
        </is>
      </c>
      <c r="C1990" s="13" t="inlineStr">
        <is>
          <t>Common / Comum</t>
        </is>
      </c>
      <c r="D1990" s="13" t="inlineStr">
        <is>
          <t>During turns other than yours, this Vehicle is an artifact creature. Crew 2 (Tap any number of creatures you control with total power 2 or more: This Vehicle becomes an artifact creature until end of turn.)</t>
        </is>
      </c>
      <c r="E1990" s="13" t="inlineStr">
        <is>
          <t>{1}{U}</t>
        </is>
      </c>
      <c r="F1990" s="13" t="inlineStr">
        <is>
          <t>Azul</t>
        </is>
      </c>
      <c r="G1990" s="8" t="n">
        <v>0.1</v>
      </c>
      <c r="H1990" s="13" t="inlineStr">
        <is>
          <t>Aetherdrift (DFT)</t>
        </is>
      </c>
      <c r="I1990" s="13" t="inlineStr">
        <is>
          <t>Não</t>
        </is>
      </c>
      <c r="J1990" s="13" t="n">
        <v>2025</v>
      </c>
      <c r="K1990" s="10" t="n">
        <v>46084</v>
      </c>
      <c r="L1990" s="13" t="n">
        <v>1</v>
      </c>
      <c r="M1990" s="8">
        <f>L1990*G1990</f>
        <v/>
      </c>
      <c r="P1990" s="9" t="n"/>
    </row>
    <row r="1991">
      <c r="A1991" s="13" t="inlineStr">
        <is>
          <t>Midnight Mayhem</t>
        </is>
      </c>
      <c r="B1991" s="13" t="inlineStr">
        <is>
          <t>Sorcery</t>
        </is>
      </c>
      <c r="C1991" s="13" t="inlineStr">
        <is>
          <t>Uncommon / Incomum</t>
        </is>
      </c>
      <c r="D1991" s="13" t="inlineStr">
        <is>
          <t>Create three 1/1 red Gremlin creature tokens. Gremlins you control gain menace, lifelink, and haste until end of turn. (A creature with menace can't be blocked except by two or more creatures.)</t>
        </is>
      </c>
      <c r="E1991" s="13" t="inlineStr">
        <is>
          <t>{2}{R}{W}</t>
        </is>
      </c>
      <c r="F1991" s="13" t="inlineStr">
        <is>
          <t>Vermelho, Branco</t>
        </is>
      </c>
      <c r="G1991" s="8" t="n">
        <v>0.25</v>
      </c>
      <c r="H1991" s="13" t="inlineStr">
        <is>
          <t>Duskmourn: House of Horror (DSK)</t>
        </is>
      </c>
      <c r="I1991" s="13" t="inlineStr">
        <is>
          <t>Sim</t>
        </is>
      </c>
      <c r="J1991" s="13" t="n">
        <v>2024</v>
      </c>
      <c r="L1991" s="13" t="n">
        <v>1</v>
      </c>
      <c r="M1991" s="8">
        <f>L1991*G1991</f>
        <v/>
      </c>
      <c r="P1991" s="9" t="n"/>
    </row>
    <row r="1992">
      <c r="A1992" s="13" t="inlineStr">
        <is>
          <t>Midnight Scavengers</t>
        </is>
      </c>
      <c r="B1992" s="13" t="inlineStr">
        <is>
          <t>Creature — Human Rogue</t>
        </is>
      </c>
      <c r="C1992" s="13" t="inlineStr">
        <is>
          <t>Common / Comum</t>
        </is>
      </c>
      <c r="D1992" s="13" t="inlineStr">
        <is>
          <t>When this creature enters, you may return target creature card with mana value 3 or less from your graveyard to your hand. (Melds with Graf Rats.)</t>
        </is>
      </c>
      <c r="E1992" s="13" t="inlineStr">
        <is>
          <t>{4}{B}</t>
        </is>
      </c>
      <c r="F1992" s="13" t="inlineStr">
        <is>
          <t>Preto</t>
        </is>
      </c>
      <c r="G1992" s="8" t="n">
        <v>0.05</v>
      </c>
      <c r="H1992" s="13" t="inlineStr">
        <is>
          <t>Innistrad Remastered (INR)</t>
        </is>
      </c>
      <c r="I1992" s="13" t="inlineStr">
        <is>
          <t>Não</t>
        </is>
      </c>
      <c r="J1992" s="13" t="n">
        <v>2025</v>
      </c>
      <c r="K1992" s="10" t="n">
        <v>46084</v>
      </c>
      <c r="L1992" s="13" t="n">
        <v>1</v>
      </c>
      <c r="M1992" s="8">
        <f>L1992*G1992</f>
        <v/>
      </c>
      <c r="P1992" s="9" t="n"/>
    </row>
    <row r="1993">
      <c r="A1993" s="13" t="inlineStr">
        <is>
          <t>Might of Old Krosa / Bravura da Antiga Krosa</t>
        </is>
      </c>
      <c r="B1993" s="13" t="inlineStr">
        <is>
          <t>Instant / Mágica Instantânea</t>
        </is>
      </c>
      <c r="C1993" s="13" t="inlineStr">
        <is>
          <t>Uncommon / Incomum</t>
        </is>
      </c>
      <c r="D1993" s="13"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1993" s="13" t="inlineStr">
        <is>
          <t>{G}</t>
        </is>
      </c>
      <c r="F1993" s="13" t="inlineStr">
        <is>
          <t>Verde</t>
        </is>
      </c>
      <c r="G1993" s="8" t="n">
        <v>0.25</v>
      </c>
      <c r="H1993" s="13" t="inlineStr">
        <is>
          <t>Modern Masters 2017 (MM3)</t>
        </is>
      </c>
      <c r="I1993" s="13" t="inlineStr">
        <is>
          <t>Não</t>
        </is>
      </c>
      <c r="J1993" s="13" t="n">
        <v>2017</v>
      </c>
      <c r="L1993" s="13" t="n">
        <v>1</v>
      </c>
      <c r="M1993" s="8">
        <f>L1993*G1993</f>
        <v/>
      </c>
      <c r="P1993" s="9" t="n"/>
    </row>
    <row r="1994">
      <c r="A1994" s="13" t="inlineStr">
        <is>
          <t>Might of the Meek</t>
        </is>
      </c>
      <c r="B1994" s="13" t="inlineStr">
        <is>
          <t>Instant</t>
        </is>
      </c>
      <c r="C1994" s="13" t="inlineStr">
        <is>
          <t>Common / Comum</t>
        </is>
      </c>
      <c r="D1994" s="13" t="inlineStr">
        <is>
          <t>Target creature gains trample until end of turn. It also gets +1/+0 until end of turn if you control a Mouse. Draw a card.</t>
        </is>
      </c>
      <c r="E1994" s="13" t="inlineStr">
        <is>
          <t>{R}</t>
        </is>
      </c>
      <c r="F1994" s="13" t="inlineStr">
        <is>
          <t>Vermelho</t>
        </is>
      </c>
      <c r="G1994" s="8" t="n">
        <v>0.1</v>
      </c>
      <c r="H1994" s="13" t="inlineStr">
        <is>
          <t>Bloomburrow (BLB)</t>
        </is>
      </c>
      <c r="I1994" s="13" t="inlineStr">
        <is>
          <t>Não</t>
        </is>
      </c>
      <c r="J1994" s="13" t="n">
        <v>2024</v>
      </c>
      <c r="L1994" s="13" t="n">
        <v>1</v>
      </c>
      <c r="M1994" s="8">
        <f>L1994*G1994</f>
        <v/>
      </c>
      <c r="P1994" s="9" t="n"/>
    </row>
    <row r="1995">
      <c r="A1995" s="13" t="inlineStr">
        <is>
          <t>Mighty Mutanimals</t>
        </is>
      </c>
      <c r="B1995" s="13" t="inlineStr">
        <is>
          <t>Creature — Mutant Rebel</t>
        </is>
      </c>
      <c r="C1995" s="13" t="inlineStr">
        <is>
          <t>Uncommon / Incomum</t>
        </is>
      </c>
      <c r="D1995" s="13" t="inlineStr">
        <is>
          <t>When this creature enters, create a 2/2 red Mutant creature token. Alliance — Whenever another creature you control enters, put a +1/+1 counter on target creature you control.</t>
        </is>
      </c>
      <c r="E1995" s="13" t="inlineStr">
        <is>
          <t>{2}{W}{W}</t>
        </is>
      </c>
      <c r="F1995" s="13" t="inlineStr">
        <is>
          <t>Branco</t>
        </is>
      </c>
      <c r="G1995" s="8" t="n">
        <v>0.15</v>
      </c>
      <c r="H1995" s="13" t="inlineStr">
        <is>
          <t>Teenage Mutant Ninja Turtles (TMT)</t>
        </is>
      </c>
      <c r="I1995" s="13" t="inlineStr">
        <is>
          <t>Não</t>
        </is>
      </c>
      <c r="J1995" s="13" t="n">
        <v>2026</v>
      </c>
      <c r="K1995" s="10" t="n">
        <v>46024</v>
      </c>
      <c r="L1995" s="13" t="n">
        <v>2</v>
      </c>
      <c r="M1995" s="8">
        <f>L1995*G1995</f>
        <v/>
      </c>
      <c r="P1995" s="9" t="n"/>
    </row>
    <row r="1996">
      <c r="A1996" s="13" t="inlineStr">
        <is>
          <t>Migrating Ketradon</t>
        </is>
      </c>
      <c r="B1996" s="13" t="inlineStr">
        <is>
          <t>Creature — Dinosaur</t>
        </is>
      </c>
      <c r="C1996" s="13" t="inlineStr">
        <is>
          <t>Common / Comum</t>
        </is>
      </c>
      <c r="D1996" s="13" t="inlineStr">
        <is>
          <t>Reach When this creature enters, you gain 4 life. Cycling {2} ({2}, Discard this card: Draw a card.)</t>
        </is>
      </c>
      <c r="E1996" s="13" t="inlineStr">
        <is>
          <t>{4}{G}{G}</t>
        </is>
      </c>
      <c r="F1996" s="13" t="inlineStr">
        <is>
          <t>Verde</t>
        </is>
      </c>
      <c r="G1996" s="8" t="n">
        <v>0.1</v>
      </c>
      <c r="H1996" s="13" t="inlineStr">
        <is>
          <t>Aetherdrift (DFT)</t>
        </is>
      </c>
      <c r="I1996" s="13" t="inlineStr">
        <is>
          <t>Não</t>
        </is>
      </c>
      <c r="J1996" s="13" t="n">
        <v>2025</v>
      </c>
      <c r="K1996" s="10" t="n">
        <v>46179</v>
      </c>
      <c r="L1996" s="13" t="n">
        <v>2</v>
      </c>
      <c r="M1996" s="8">
        <f>L1996*G1996</f>
        <v/>
      </c>
      <c r="P1996" s="9" t="n"/>
    </row>
    <row r="1997">
      <c r="A1997" s="13" t="inlineStr">
        <is>
          <t>Mikey &amp; Don, Party Planners</t>
        </is>
      </c>
      <c r="B1997" s="13" t="inlineStr">
        <is>
          <t>Legendary Creature — Mutant Ninja Turtle</t>
        </is>
      </c>
      <c r="C1997" s="13" t="inlineStr">
        <is>
          <t>Rare / Rara</t>
        </is>
      </c>
      <c r="D1997" s="13" t="inlineStr">
        <is>
          <t>Ward {2} You may look at the top card of your library any time. You may play lands and cast Mutant, Ninja, or Turtle spells from the top of your library. If you cast a creature spell this way, that creature enters with an additional +1/+1 counter on it.</t>
        </is>
      </c>
      <c r="E1997" s="13" t="inlineStr">
        <is>
          <t>{2}{G/U}{G/U}</t>
        </is>
      </c>
      <c r="F1997" s="13" t="inlineStr">
        <is>
          <t>Verde, Azul</t>
        </is>
      </c>
      <c r="G1997" s="8" t="n">
        <v>6.39</v>
      </c>
      <c r="H1997" s="13" t="inlineStr">
        <is>
          <t>Teenage Mutant Ninja Turtles (TMT)</t>
        </is>
      </c>
      <c r="I1997" s="13" t="inlineStr">
        <is>
          <t>Não</t>
        </is>
      </c>
      <c r="J1997" s="13" t="n">
        <v>2026</v>
      </c>
      <c r="K1997" s="10" t="n">
        <v>46084</v>
      </c>
      <c r="L1997" s="13" t="n">
        <v>1</v>
      </c>
      <c r="M1997" s="8">
        <f>L1997*G1997</f>
        <v/>
      </c>
      <c r="P1997" s="9" t="n"/>
    </row>
    <row r="1998">
      <c r="A1998" s="13" t="inlineStr">
        <is>
          <t>Militia Bugler / Corneteiro da Milícia</t>
        </is>
      </c>
      <c r="B1998" s="13" t="inlineStr">
        <is>
          <t>Creature — Human Soldier / Criatura — Humano Soldado</t>
        </is>
      </c>
      <c r="C1998" s="13" t="inlineStr">
        <is>
          <t>Common / Comum</t>
        </is>
      </c>
      <c r="D1998" s="13"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1998" s="13" t="inlineStr">
        <is>
          <t>{2}{W}</t>
        </is>
      </c>
      <c r="F1998" s="13" t="inlineStr">
        <is>
          <t>Branco</t>
        </is>
      </c>
      <c r="G1998" s="8" t="n">
        <v>0.75</v>
      </c>
      <c r="H1998" s="13" t="inlineStr">
        <is>
          <t>Double Masters 2022 (2X2)</t>
        </is>
      </c>
      <c r="I1998" s="13" t="inlineStr">
        <is>
          <t>Sim</t>
        </is>
      </c>
      <c r="J1998" s="13" t="n">
        <v>2022</v>
      </c>
      <c r="K1998" s="10" t="n">
        <v>46083</v>
      </c>
      <c r="L1998" s="13" t="n">
        <v>1</v>
      </c>
      <c r="M1998" s="8">
        <f>L1998*G1998</f>
        <v/>
      </c>
      <c r="P1998" s="9" t="n"/>
    </row>
    <row r="1999">
      <c r="A1999" s="13" t="inlineStr">
        <is>
          <t>Mímico da Noite / Nightshade Schemer</t>
        </is>
      </c>
      <c r="B1999" s="13" t="inlineStr">
        <is>
          <t>Criatura — Metamorfo / Creature — Shapeshifter</t>
        </is>
      </c>
      <c r="C1999" s="13" t="inlineStr">
        <is>
          <t>Incomum / Uncommon</t>
        </is>
      </c>
      <c r="D1999" s="13" t="inlineStr">
        <is>
          <t>Toda vez que você joga uma mágica que é branca e preta, Mímico da Noite torna-se 4/4 e ganha voar até o final do turno. / Whenever you cast a white and black spell, Nightshade Schemer becomes 4/4 and gains flying until end of turn.</t>
        </is>
      </c>
      <c r="E1999" s="13" t="inlineStr">
        <is>
          <t>{1}{W/B}</t>
        </is>
      </c>
      <c r="F1999" s="13" t="inlineStr">
        <is>
          <t>Branco e Preto / White and Black</t>
        </is>
      </c>
      <c r="G1999" s="8" t="n">
        <v>0.18</v>
      </c>
      <c r="H1999" s="13" t="inlineStr">
        <is>
          <t>Eventide (EVE)</t>
        </is>
      </c>
      <c r="I1999" s="13" t="inlineStr">
        <is>
          <t>Não</t>
        </is>
      </c>
      <c r="J1999" s="13" t="n">
        <v>2008</v>
      </c>
      <c r="K1999" s="10" t="n">
        <v>46024</v>
      </c>
      <c r="L1999" s="13" t="n">
        <v>4</v>
      </c>
      <c r="M1999" s="8">
        <f>L1999*G1999</f>
        <v/>
      </c>
      <c r="P1999" s="9" t="n"/>
    </row>
    <row r="2000">
      <c r="A2000" s="13" t="inlineStr">
        <is>
          <t>Mind Ravel / Emaranhado Mental</t>
        </is>
      </c>
      <c r="B2000" s="13" t="inlineStr">
        <is>
          <t>Sorcery</t>
        </is>
      </c>
      <c r="C2000" s="13" t="inlineStr">
        <is>
          <t>Common / Comum</t>
        </is>
      </c>
      <c r="D2000" s="13" t="inlineStr">
        <is>
          <t>Target player discards a card. Draw a card at the beginning of the next turn's upkeep.</t>
        </is>
      </c>
      <c r="E2000" s="13" t="inlineStr">
        <is>
          <t>{2}{B}</t>
        </is>
      </c>
      <c r="F2000" s="13" t="inlineStr">
        <is>
          <t>Preto</t>
        </is>
      </c>
      <c r="G2000" s="8" t="n">
        <v>0.05</v>
      </c>
      <c r="H2000" s="13" t="inlineStr">
        <is>
          <t>Ice Age (ICE)</t>
        </is>
      </c>
      <c r="I2000" s="13" t="inlineStr">
        <is>
          <t>Não</t>
        </is>
      </c>
      <c r="J2000" s="13" t="n">
        <v>1995</v>
      </c>
      <c r="L2000" s="13" t="n">
        <v>2</v>
      </c>
      <c r="M2000" s="8">
        <f>L2000*G2000</f>
        <v/>
      </c>
      <c r="P2000" s="9" t="n"/>
    </row>
    <row r="2001">
      <c r="A2001" s="13" t="inlineStr">
        <is>
          <t>Mind Rot / Estiolar a Mente</t>
        </is>
      </c>
      <c r="B2001" s="13" t="inlineStr">
        <is>
          <t>Sorcery / Feitiço</t>
        </is>
      </c>
      <c r="C2001" s="13" t="inlineStr">
        <is>
          <t>Common / Comum</t>
        </is>
      </c>
      <c r="D2001" s="13" t="inlineStr">
        <is>
          <t>Target player discards two cards. / O jogador alvo descarta dois cards.</t>
        </is>
      </c>
      <c r="E2001" s="13" t="inlineStr">
        <is>
          <t>{2}{B}</t>
        </is>
      </c>
      <c r="F2001" s="13" t="inlineStr">
        <is>
          <t>Preto</t>
        </is>
      </c>
      <c r="G2001" s="8" t="n">
        <v>0.03</v>
      </c>
      <c r="H2001" s="13" t="inlineStr">
        <is>
          <t>Kaladesh (KLD)</t>
        </is>
      </c>
      <c r="I2001" s="13" t="inlineStr">
        <is>
          <t>Não</t>
        </is>
      </c>
      <c r="J2001" s="13" t="n">
        <v>2016</v>
      </c>
      <c r="L2001" s="13" t="n">
        <v>1</v>
      </c>
      <c r="M2001" s="8">
        <f>L2001*G2001</f>
        <v/>
      </c>
      <c r="P2001" s="9" t="n"/>
    </row>
    <row r="2002">
      <c r="A2002" s="13" t="inlineStr">
        <is>
          <t>Mind Transfer Protocol</t>
        </is>
      </c>
      <c r="B2002" s="13" t="inlineStr">
        <is>
          <t>Instant</t>
        </is>
      </c>
      <c r="C2002" s="13" t="inlineStr">
        <is>
          <t>Common / Comum</t>
        </is>
      </c>
      <c r="D2002" s="13" t="inlineStr">
        <is>
          <t>Until end of turn, target artifact or creature becomes an artifact creature with base power and toughness 4/5. Draw a card.</t>
        </is>
      </c>
      <c r="E2002" s="13" t="inlineStr">
        <is>
          <t>{2}{U}</t>
        </is>
      </c>
      <c r="F2002" s="13" t="inlineStr">
        <is>
          <t>Azul</t>
        </is>
      </c>
      <c r="G2002" s="8" t="n">
        <v>0.05</v>
      </c>
      <c r="H2002" s="13" t="inlineStr">
        <is>
          <t>Teenage Mutant Ninja Turtles (TMT)</t>
        </is>
      </c>
      <c r="I2002" s="13" t="inlineStr">
        <is>
          <t>Não</t>
        </is>
      </c>
      <c r="J2002" s="13" t="n">
        <v>2026</v>
      </c>
      <c r="L2002" s="13" t="n">
        <v>5</v>
      </c>
      <c r="M2002" s="8">
        <f>L2002*G2002</f>
        <v/>
      </c>
      <c r="P2002" s="9" t="n"/>
    </row>
    <row r="2003">
      <c r="A2003" s="13" t="inlineStr">
        <is>
          <t>Mind Warp / Distorção Mental</t>
        </is>
      </c>
      <c r="B2003" s="13" t="inlineStr">
        <is>
          <t>Sorcery</t>
        </is>
      </c>
      <c r="C2003" s="13" t="inlineStr">
        <is>
          <t>Uncommon / Incomum</t>
        </is>
      </c>
      <c r="D2003" s="13" t="inlineStr">
        <is>
          <t>Look at target player's hand and choose X cards from it. That player discards those cards.</t>
        </is>
      </c>
      <c r="E2003" s="13" t="inlineStr">
        <is>
          <t>{X}{3}{B}</t>
        </is>
      </c>
      <c r="F2003" s="13" t="inlineStr">
        <is>
          <t>Preto</t>
        </is>
      </c>
      <c r="G2003" s="8" t="n">
        <v>0.2</v>
      </c>
      <c r="H2003" s="13" t="inlineStr">
        <is>
          <t>Ice Age (ICE)</t>
        </is>
      </c>
      <c r="I2003" s="13" t="inlineStr">
        <is>
          <t>Não</t>
        </is>
      </c>
      <c r="J2003" s="13" t="n">
        <v>1995</v>
      </c>
      <c r="L2003" s="13" t="n">
        <v>1</v>
      </c>
      <c r="M2003" s="8">
        <f>L2003*G2003</f>
        <v/>
      </c>
      <c r="P2003" s="9" t="n"/>
    </row>
    <row r="2004">
      <c r="A2004" s="13" t="inlineStr">
        <is>
          <t>Mindmelter / Funde-mentes</t>
        </is>
      </c>
      <c r="B2004" s="13" t="inlineStr">
        <is>
          <t>Creature — Eldrazi Drone / Criatura — Eldrazi Zangão</t>
        </is>
      </c>
      <c r="C2004" s="13" t="inlineStr">
        <is>
          <t>Uncommon / Incomum</t>
        </is>
      </c>
      <c r="D2004" s="13"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004" s="13" t="inlineStr">
        <is>
          <t>{1}{U}{B}</t>
        </is>
      </c>
      <c r="F2004" s="13" t="inlineStr">
        <is>
          <t>Preto, Azul</t>
        </is>
      </c>
      <c r="G2004" s="8" t="n">
        <v>0.08</v>
      </c>
      <c r="H2004" s="13" t="inlineStr">
        <is>
          <t>Oath of the Gatewatch (OGW)</t>
        </is>
      </c>
      <c r="I2004" s="13" t="inlineStr">
        <is>
          <t>Não</t>
        </is>
      </c>
      <c r="J2004" s="13" t="n">
        <v>2016</v>
      </c>
      <c r="K2004" s="10" t="n">
        <v>46055</v>
      </c>
      <c r="L2004" s="13" t="n">
        <v>1</v>
      </c>
      <c r="M2004" s="8">
        <f>L2004*G2004</f>
        <v/>
      </c>
      <c r="N2004" s="13" t="inlineStr">
        <is>
          <t>Bulk Shopee</t>
        </is>
      </c>
      <c r="P2004" s="9" t="n"/>
    </row>
    <row r="2005">
      <c r="A2005" s="13" t="inlineStr">
        <is>
          <t>Mindstab / Apunhala-mentes</t>
        </is>
      </c>
      <c r="B2005" s="13" t="inlineStr">
        <is>
          <t>Sorcery / Feitiço</t>
        </is>
      </c>
      <c r="C2005" s="13" t="inlineStr">
        <is>
          <t>Common / Comum</t>
        </is>
      </c>
      <c r="D2005" s="13"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005" s="13" t="inlineStr">
        <is>
          <t>{5}{B}</t>
        </is>
      </c>
      <c r="F2005" s="13" t="inlineStr">
        <is>
          <t>Preto</t>
        </is>
      </c>
      <c r="G2005" s="8" t="n">
        <v>0.09</v>
      </c>
      <c r="H2005" s="13" t="inlineStr">
        <is>
          <t>Time Spiral Remastered (TSR)</t>
        </is>
      </c>
      <c r="I2005" s="13" t="inlineStr">
        <is>
          <t>Não</t>
        </is>
      </c>
      <c r="J2005" s="13" t="n">
        <v>2021</v>
      </c>
      <c r="L2005" s="13" t="n">
        <v>1</v>
      </c>
      <c r="M2005" s="8">
        <f>L2005*G2005</f>
        <v/>
      </c>
      <c r="N2005" s="13" t="inlineStr">
        <is>
          <t>Bulk Shopee</t>
        </is>
      </c>
      <c r="P2005" s="9" t="n"/>
    </row>
    <row r="2006">
      <c r="A2006" s="13" t="inlineStr">
        <is>
          <t>Mindstab Thrull / Thrull Apunhala-Mentes</t>
        </is>
      </c>
      <c r="B2006" s="13" t="inlineStr">
        <is>
          <t>Creature — Thrull</t>
        </is>
      </c>
      <c r="C2006" s="13" t="inlineStr">
        <is>
          <t>Common / Comum</t>
        </is>
      </c>
      <c r="D2006" s="13" t="inlineStr">
        <is>
          <t>Whenever this creature attacks and isn't blocked, you may sacrifice it. If you do, defending player discards three cards.</t>
        </is>
      </c>
      <c r="E2006" s="13" t="inlineStr">
        <is>
          <t>{1}{B}{B}</t>
        </is>
      </c>
      <c r="F2006" s="13" t="inlineStr">
        <is>
          <t>Preto</t>
        </is>
      </c>
      <c r="G2006" s="8" t="n">
        <v>0.24</v>
      </c>
      <c r="H2006" s="13" t="inlineStr">
        <is>
          <t>Fallen Empires (FEM)</t>
        </is>
      </c>
      <c r="I2006" s="13" t="inlineStr">
        <is>
          <t>Não</t>
        </is>
      </c>
      <c r="J2006" s="13" t="n">
        <v>1994</v>
      </c>
      <c r="K2006" s="10" t="n">
        <v>46055</v>
      </c>
      <c r="L2006" s="13" t="n">
        <v>1</v>
      </c>
      <c r="M2006" s="8">
        <f>L2006*G2006</f>
        <v/>
      </c>
      <c r="P2006" s="9" t="n"/>
    </row>
    <row r="2007">
      <c r="A2007" s="13" t="inlineStr">
        <is>
          <t>Mindwhisker</t>
        </is>
      </c>
      <c r="B2007" s="13" t="inlineStr">
        <is>
          <t>Creature — Rat Wizard</t>
        </is>
      </c>
      <c r="C2007" s="13" t="inlineStr">
        <is>
          <t>Uncommon / Incomum</t>
        </is>
      </c>
      <c r="D2007" s="13" t="inlineStr">
        <is>
          <t>At the beginning of your upkeep, surveil 1. (Look at the top card of your library. You may put it into your graveyard.) Threshold — As long as there are seven or more cards in your graveyard, creatures your opponents control get -1/-0.</t>
        </is>
      </c>
      <c r="E2007" s="13" t="inlineStr">
        <is>
          <t>{2}{U}</t>
        </is>
      </c>
      <c r="F2007" s="13" t="inlineStr">
        <is>
          <t>Azul</t>
        </is>
      </c>
      <c r="G2007" s="8" t="n">
        <v>0.14</v>
      </c>
      <c r="H2007" s="13" t="inlineStr">
        <is>
          <t>Bloomburrow (BLB)</t>
        </is>
      </c>
      <c r="I2007" s="13" t="inlineStr">
        <is>
          <t>Não</t>
        </is>
      </c>
      <c r="J2007" s="13" t="n">
        <v>2024</v>
      </c>
      <c r="K2007" s="10" t="n">
        <v>46056</v>
      </c>
      <c r="L2007" s="13" t="n">
        <v>1</v>
      </c>
      <c r="M2007" s="8">
        <f>L2007*G2007</f>
        <v/>
      </c>
      <c r="P2007" s="9" t="n"/>
    </row>
    <row r="2008">
      <c r="A2008" s="13" t="inlineStr">
        <is>
          <t>Mine Bearer / Portador de Minas</t>
        </is>
      </c>
      <c r="B2008" s="13" t="inlineStr">
        <is>
          <t>Creature — Soldier</t>
        </is>
      </c>
      <c r="C2008" s="13" t="inlineStr">
        <is>
          <t>Uncommon</t>
        </is>
      </c>
      <c r="D2008" s="13" t="inlineStr">
        <is>
          <t>{T}, Sacrifice Mine Bearer: Destroy target attacking creature.</t>
        </is>
      </c>
      <c r="E2008" s="13" t="inlineStr">
        <is>
          <t>{2}{W}</t>
        </is>
      </c>
      <c r="F2008" s="13" t="inlineStr">
        <is>
          <t>White</t>
        </is>
      </c>
      <c r="G2008" s="8" t="n">
        <v>0.09</v>
      </c>
      <c r="H2008" s="13" t="inlineStr">
        <is>
          <t>Prophecy (PCY)</t>
        </is>
      </c>
      <c r="I2008" s="13" t="inlineStr">
        <is>
          <t>No</t>
        </is>
      </c>
      <c r="J2008" s="13" t="n">
        <v>2000</v>
      </c>
      <c r="K2008" s="10" t="n">
        <v>46023</v>
      </c>
      <c r="L2008" s="13" t="n">
        <v>2</v>
      </c>
      <c r="M2008" s="8">
        <f>L2008*G2008</f>
        <v/>
      </c>
      <c r="P2008" s="9" t="n"/>
    </row>
    <row r="2009">
      <c r="A2009" s="13" t="inlineStr">
        <is>
          <t>Minion of Tevesh Szat / Assecla de Tevesh Szat</t>
        </is>
      </c>
      <c r="B2009" s="13" t="inlineStr">
        <is>
          <t>Creature — Demon Minion</t>
        </is>
      </c>
      <c r="C2009" s="13" t="inlineStr">
        <is>
          <t>Rare / Rara</t>
        </is>
      </c>
      <c r="D2009" s="13" t="inlineStr">
        <is>
          <t>At the beginning of your upkeep, this creature deals 2 damage to you unless you pay {B}{B}. {T}: Target creature gets +3/-2 until end of turn.</t>
        </is>
      </c>
      <c r="E2009" s="13" t="inlineStr">
        <is>
          <t>{4}{B}{B}{B}</t>
        </is>
      </c>
      <c r="F2009" s="13" t="inlineStr">
        <is>
          <t>Preto</t>
        </is>
      </c>
      <c r="G2009" s="8" t="n">
        <v>3.5</v>
      </c>
      <c r="H2009" s="13" t="inlineStr">
        <is>
          <t>Ice Age (ICE)</t>
        </is>
      </c>
      <c r="I2009" s="13" t="inlineStr">
        <is>
          <t>Não</t>
        </is>
      </c>
      <c r="J2009" s="13" t="n">
        <v>1995</v>
      </c>
      <c r="K2009" s="10" t="n">
        <v>46116</v>
      </c>
      <c r="L2009" s="13" t="n">
        <v>1</v>
      </c>
      <c r="M2009" s="8">
        <f>L2009*G2009</f>
        <v/>
      </c>
      <c r="P2009" s="9" t="n"/>
    </row>
    <row r="2010">
      <c r="A2010" s="13" t="inlineStr">
        <is>
          <t>Ministrant of Obligation / Ministrante da Obrigação</t>
        </is>
      </c>
      <c r="B2010" s="13" t="inlineStr">
        <is>
          <t>Creature — Human Cleric / Criatura — Humano Clérigo</t>
        </is>
      </c>
      <c r="C2010" s="13" t="inlineStr">
        <is>
          <t>Uncommon / Incomum</t>
        </is>
      </c>
      <c r="D2010" s="13" t="inlineStr">
        <is>
          <t>Afterlife 2 (When this creature dies, create two 1/1 white and black Spirit creature tokens with flying.) / Pós-vida 2 (Quando esta criatura morrer, crie duas fichas de criatura branca e preta 1/1 do tipo Espírito com voar. )</t>
        </is>
      </c>
      <c r="E2010" s="13" t="inlineStr">
        <is>
          <t>{2}{W}</t>
        </is>
      </c>
      <c r="F2010" s="13" t="inlineStr">
        <is>
          <t>Branco</t>
        </is>
      </c>
      <c r="G2010" s="8" t="n">
        <v>0.06</v>
      </c>
      <c r="H2010" s="13" t="inlineStr">
        <is>
          <t>Ravnica Allegiance (RNA)</t>
        </is>
      </c>
      <c r="I2010" s="13" t="inlineStr">
        <is>
          <t>Não</t>
        </is>
      </c>
      <c r="J2010" s="13" t="n">
        <v>2019</v>
      </c>
      <c r="K2010" s="10" t="n">
        <v>46024</v>
      </c>
      <c r="L2010" s="13" t="n">
        <v>1</v>
      </c>
      <c r="M2010" s="8">
        <f>L2010*G2010</f>
        <v/>
      </c>
      <c r="P2010" s="9" t="n"/>
    </row>
    <row r="2011">
      <c r="A2011" s="13" t="inlineStr">
        <is>
          <t>Minotauro Pensativo</t>
        </is>
      </c>
      <c r="B2011" s="13" t="inlineStr">
        <is>
          <t>Criatura — Minotauro Guerreiro</t>
        </is>
      </c>
      <c r="C2011" s="13" t="inlineStr">
        <is>
          <t>Comum</t>
        </is>
      </c>
      <c r="D2011" s="13" t="inlineStr">
        <is>
          <t>A Campeã e seus companheiros marcharam durante a noite, mas a batalha terminou antes que chegassem. Em meio à carnificina, estava sentado um solitário minotauro, perdido no que pareciam ser pensamentos para a Campeã. — A Teríada</t>
        </is>
      </c>
      <c r="E2011" s="13" t="inlineStr">
        <is>
          <t>2R</t>
        </is>
      </c>
      <c r="F2011" s="13" t="inlineStr">
        <is>
          <t>Vermelha</t>
        </is>
      </c>
      <c r="G2011" s="8" t="n">
        <v>0.03</v>
      </c>
      <c r="H2011" s="13" t="inlineStr">
        <is>
          <t>Journey into Nyx</t>
        </is>
      </c>
      <c r="I2011" s="13" t="inlineStr">
        <is>
          <t>Não</t>
        </is>
      </c>
      <c r="J2011" s="13" t="n">
        <v>2014</v>
      </c>
      <c r="K2011" s="10" t="n">
        <v>46083</v>
      </c>
      <c r="L2011" s="13" t="n">
        <v>4</v>
      </c>
      <c r="M2011" s="8">
        <f>L2011*G2011</f>
        <v/>
      </c>
      <c r="P2011" s="9" t="n"/>
    </row>
    <row r="2012">
      <c r="A2012" s="13" t="inlineStr">
        <is>
          <t>Minwu, White Mage / Minwu, Mago Branco</t>
        </is>
      </c>
      <c r="B2012" s="13" t="inlineStr">
        <is>
          <t>Criatura Lendária — Humano Clérigo</t>
        </is>
      </c>
      <c r="C2012" s="13" t="inlineStr">
        <is>
          <t>Rara</t>
        </is>
      </c>
      <c r="D2012" s="13" t="inlineStr">
        <is>
          <t>Vigilância, vínculo com a vida. Sempre que você ganhar vida, coloque um marcador +1/+1 em cada Clérigo que você controla.</t>
        </is>
      </c>
      <c r="E2012" s="13" t="inlineStr">
        <is>
          <t>3{W}{W}</t>
        </is>
      </c>
      <c r="F2012" s="13" t="inlineStr">
        <is>
          <t>Branco</t>
        </is>
      </c>
      <c r="G2012" s="8" t="n">
        <v>0.66</v>
      </c>
      <c r="H2012" s="13" t="inlineStr">
        <is>
          <t>Final Fantasy</t>
        </is>
      </c>
      <c r="I2012" s="13" t="inlineStr">
        <is>
          <t>Não</t>
        </is>
      </c>
      <c r="J2012" s="13" t="n">
        <v>2025</v>
      </c>
      <c r="K2012" s="10" t="n">
        <v>46084</v>
      </c>
      <c r="L2012" s="13" t="n">
        <v>3</v>
      </c>
      <c r="M2012" s="8">
        <f>L2012*G2012</f>
        <v/>
      </c>
      <c r="P2012" s="9" t="n"/>
    </row>
    <row r="2013">
      <c r="A2013" s="13" t="inlineStr">
        <is>
          <t>Minwu, White Mage / Minwu, Mago Branco</t>
        </is>
      </c>
      <c r="B2013" s="13" t="inlineStr">
        <is>
          <t>Criatura Lendária — Humano Clérigo</t>
        </is>
      </c>
      <c r="C2013" s="13" t="inlineStr">
        <is>
          <t>Rara</t>
        </is>
      </c>
      <c r="D2013" s="13" t="inlineStr">
        <is>
          <t>Vigilância, vínculo com a vida. Sempre que você ganhar vida, coloque um marcador +1/+1 em cada Clérigo que você controla.</t>
        </is>
      </c>
      <c r="E2013" s="13" t="inlineStr">
        <is>
          <t>3{W}{W}</t>
        </is>
      </c>
      <c r="F2013" s="13" t="inlineStr">
        <is>
          <t>Branco</t>
        </is>
      </c>
      <c r="G2013" s="8" t="n">
        <v>1.09</v>
      </c>
      <c r="H2013" s="13" t="inlineStr">
        <is>
          <t>Final Fantasy</t>
        </is>
      </c>
      <c r="I2013" s="13" t="inlineStr">
        <is>
          <t>Sim</t>
        </is>
      </c>
      <c r="J2013" s="13" t="n">
        <v>2025</v>
      </c>
      <c r="K2013" s="10" t="n">
        <v>46084</v>
      </c>
      <c r="L2013" s="13" t="n">
        <v>1</v>
      </c>
      <c r="M2013" s="8">
        <f>L2013*G2013</f>
        <v/>
      </c>
      <c r="P2013" s="9" t="n"/>
    </row>
    <row r="2014">
      <c r="A2014" s="13" t="inlineStr">
        <is>
          <t>Mire Triton / Talassida do Lodaçal</t>
        </is>
      </c>
      <c r="B2014" s="13" t="inlineStr">
        <is>
          <t>Creature — Zombie Merfolk / Criatura — Zumbi Tritão</t>
        </is>
      </c>
      <c r="C2014" s="13" t="inlineStr">
        <is>
          <t>Common / Comum</t>
        </is>
      </c>
      <c r="D2014" s="13"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2014" s="13" t="inlineStr">
        <is>
          <t>{1}{B}</t>
        </is>
      </c>
      <c r="F2014" s="13" t="inlineStr">
        <is>
          <t>Preto</t>
        </is>
      </c>
      <c r="G2014" s="8" t="n">
        <v>0.24</v>
      </c>
      <c r="H2014" s="13" t="inlineStr">
        <is>
          <t>Commander Masters (CMM)</t>
        </is>
      </c>
      <c r="I2014" s="13" t="inlineStr">
        <is>
          <t>Não</t>
        </is>
      </c>
      <c r="J2014" s="13" t="n">
        <v>2023</v>
      </c>
      <c r="K2014" s="10" t="n">
        <v>46024</v>
      </c>
      <c r="L2014" s="13" t="n">
        <v>1</v>
      </c>
      <c r="M2014" s="8">
        <f>L2014*G2014</f>
        <v/>
      </c>
      <c r="P2014" s="9" t="n"/>
    </row>
    <row r="2015">
      <c r="A2015" s="13" t="inlineStr">
        <is>
          <t>Miriam, Herd Whisperer / Miriam, Encantadora de Rebanhos</t>
        </is>
      </c>
      <c r="B2015" s="13" t="inlineStr">
        <is>
          <t>Legendary Creature — Human Druid / Criatura Lendária — Humano Druida</t>
        </is>
      </c>
      <c r="C2015" s="13" t="inlineStr">
        <is>
          <t>Uncommon / Incomum</t>
        </is>
      </c>
      <c r="D2015" s="13"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015" s="13" t="inlineStr">
        <is>
          <t>{G}{W}</t>
        </is>
      </c>
      <c r="F2015" s="13" t="inlineStr">
        <is>
          <t>Verde, Branco</t>
        </is>
      </c>
      <c r="G2015" s="8" t="n">
        <v>0.08</v>
      </c>
      <c r="H2015" s="13" t="inlineStr">
        <is>
          <t>Outlaws of Thunder Junction (OTJ)</t>
        </is>
      </c>
      <c r="I2015" s="13" t="inlineStr">
        <is>
          <t>Não</t>
        </is>
      </c>
      <c r="J2015" s="13" t="n">
        <v>2024</v>
      </c>
      <c r="K2015" s="10" t="n">
        <v>46056</v>
      </c>
      <c r="L2015" s="13" t="n">
        <v>1</v>
      </c>
      <c r="M2015" s="8">
        <f>L2015*G2015</f>
        <v/>
      </c>
      <c r="P2015" s="9" t="n"/>
    </row>
    <row r="2016">
      <c r="A2016" s="13" t="inlineStr">
        <is>
          <t>Mirror of Galadriel / Espelho de Galadriel</t>
        </is>
      </c>
      <c r="B2016" s="13" t="inlineStr">
        <is>
          <t>Legendary Artifact / Artefato Lendário</t>
        </is>
      </c>
      <c r="C2016" s="13" t="inlineStr">
        <is>
          <t>Uncommon / Incomum</t>
        </is>
      </c>
      <c r="D2016" s="13" t="inlineStr">
        <is>
          <t>{5}, {T}: Scry 1, then draw a card. This ability costs {1} less to activate for each legendary creature you control. / {5}, {T}: Use vidência 1, depois compre um card. Esta habilidade custa {1} a menos para ser ativada para cada criatura lendária que você controla.</t>
        </is>
      </c>
      <c r="E2016" s="13" t="inlineStr">
        <is>
          <t>{2}</t>
        </is>
      </c>
      <c r="F2016" s="13" t="inlineStr">
        <is>
          <t>Incolor</t>
        </is>
      </c>
      <c r="G2016" s="8" t="n">
        <v>0.15</v>
      </c>
      <c r="H2016" s="13" t="inlineStr">
        <is>
          <t>The Lord of the Rings: Tales of Middle-earth (LTR)</t>
        </is>
      </c>
      <c r="I2016" s="13" t="inlineStr">
        <is>
          <t>Não</t>
        </is>
      </c>
      <c r="J2016" s="13" t="n">
        <v>2023</v>
      </c>
      <c r="L2016" s="13" t="n">
        <v>2</v>
      </c>
      <c r="M2016" s="8">
        <f>L2016*G2016</f>
        <v/>
      </c>
      <c r="P2016" s="9" t="n"/>
    </row>
    <row r="2017">
      <c r="A2017" s="13" t="inlineStr">
        <is>
          <t>Mishra, Artificer Prodigy / Mishra, Prodígio Artífice</t>
        </is>
      </c>
      <c r="B2017" s="13" t="inlineStr">
        <is>
          <t>Legendary Creature — Human Artificer / Criatura Lendária — Artesão Humano</t>
        </is>
      </c>
      <c r="C2017" s="13" t="inlineStr">
        <is>
          <t>Rare / Rara</t>
        </is>
      </c>
      <c r="D2017" s="13"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2017" s="13" t="inlineStr">
        <is>
          <t>{1}{U}{B}{R}</t>
        </is>
      </c>
      <c r="F2017" s="13" t="inlineStr">
        <is>
          <t>Preto, Vermelho, Azul</t>
        </is>
      </c>
      <c r="G2017" s="8" t="n">
        <v>0.5</v>
      </c>
      <c r="H2017" s="13" t="inlineStr">
        <is>
          <t>Time Spiral (TSP)</t>
        </is>
      </c>
      <c r="I2017" s="13" t="inlineStr">
        <is>
          <t>Não</t>
        </is>
      </c>
      <c r="J2017" s="13" t="n">
        <v>2006</v>
      </c>
      <c r="K2017" s="10" t="n">
        <v>46116</v>
      </c>
      <c r="L2017" s="13" t="n">
        <v>1</v>
      </c>
      <c r="M2017" s="8">
        <f>L2017*G2017</f>
        <v/>
      </c>
      <c r="P2017" s="9" t="n"/>
    </row>
    <row r="2018">
      <c r="A2018" s="13" t="inlineStr">
        <is>
          <t>Mishra's Groundbreaker / Perfuratriz de Mishra</t>
        </is>
      </c>
      <c r="B2018" s="13" t="inlineStr">
        <is>
          <t>Artifact / Artefato</t>
        </is>
      </c>
      <c r="C2018" s="13" t="inlineStr">
        <is>
          <t>Uncommon / Incomum</t>
        </is>
      </c>
      <c r="D2018" s="13" t="inlineStr">
        <is>
          <t>{T}, Sacrifice this artifact: Target land becomes a 3/3 artifact creature that's still a land. (This effect lasts indefinitely.)</t>
        </is>
      </c>
      <c r="E2018" s="13" t="inlineStr">
        <is>
          <t>{4}</t>
        </is>
      </c>
      <c r="F2018" s="13" t="inlineStr">
        <is>
          <t>Incolor</t>
        </is>
      </c>
      <c r="G2018" s="8" t="n">
        <v>0.1</v>
      </c>
      <c r="H2018" s="13" t="inlineStr">
        <is>
          <t>Alliances (ALL)</t>
        </is>
      </c>
      <c r="I2018" s="13" t="inlineStr">
        <is>
          <t>Não</t>
        </is>
      </c>
      <c r="J2018" s="13" t="n">
        <v>1996</v>
      </c>
      <c r="L2018" s="13" t="n">
        <v>1</v>
      </c>
      <c r="M2018" s="8">
        <f>L2018*G2018</f>
        <v/>
      </c>
      <c r="P2018" s="9" t="n"/>
    </row>
    <row r="2019">
      <c r="A2019" s="13" t="inlineStr">
        <is>
          <t>Mishra's War Machine / Máquina de Guerra de Mishra</t>
        </is>
      </c>
      <c r="B2019" s="13" t="inlineStr">
        <is>
          <t>Artifact Creature — Construct / Criatura Artefato — Constructo</t>
        </is>
      </c>
      <c r="C2019" s="13" t="inlineStr">
        <is>
          <t>Rare / Rara</t>
        </is>
      </c>
      <c r="D2019" s="13"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2019" s="13" t="inlineStr">
        <is>
          <t>{7}</t>
        </is>
      </c>
      <c r="F2019" s="13" t="inlineStr">
        <is>
          <t>Incolor</t>
        </is>
      </c>
      <c r="G2019" s="8" t="n">
        <v>0.5</v>
      </c>
      <c r="H2019" s="13" t="inlineStr">
        <is>
          <t>Fourth Edition (4ED)</t>
        </is>
      </c>
      <c r="I2019" s="13" t="inlineStr">
        <is>
          <t>No</t>
        </is>
      </c>
      <c r="J2019" s="13" t="n">
        <v>1995</v>
      </c>
      <c r="K2019" s="10" t="n">
        <v>46147</v>
      </c>
      <c r="L2019" s="13" t="n">
        <v>2</v>
      </c>
      <c r="M2019" s="8">
        <f>L2019*G2019</f>
        <v/>
      </c>
      <c r="P2019" s="9" t="n"/>
    </row>
    <row r="2020">
      <c r="A2020" s="13" t="inlineStr">
        <is>
          <t>Miss Demeanor</t>
        </is>
      </c>
      <c r="B2020" s="13" t="inlineStr">
        <is>
          <t>Summon Lady of Proper Etiquette</t>
        </is>
      </c>
      <c r="C2020" s="13" t="inlineStr">
        <is>
          <t>Rare</t>
        </is>
      </c>
      <c r="D2020" s="13" t="inlineStr">
        <is>
          <t>Flying, first strike. During each other player's turn, compliment that player on his or her game play or sacrifice Miss Demeanor.</t>
        </is>
      </c>
      <c r="E2020" s="13" t="inlineStr">
        <is>
          <t>{3}{W}</t>
        </is>
      </c>
      <c r="F2020" s="13" t="inlineStr">
        <is>
          <t>White</t>
        </is>
      </c>
      <c r="G2020" s="8" t="n">
        <v>0.25</v>
      </c>
      <c r="H2020" s="13" t="inlineStr">
        <is>
          <t>Unglued (UGL)</t>
        </is>
      </c>
      <c r="I2020" s="13" t="inlineStr">
        <is>
          <t>No</t>
        </is>
      </c>
      <c r="J2020" s="13" t="n">
        <v>1998</v>
      </c>
      <c r="K2020" s="10" t="n">
        <v>46025</v>
      </c>
      <c r="L2020" s="13" t="n">
        <v>1</v>
      </c>
      <c r="M2020" s="8">
        <f>L2020*G2020</f>
        <v/>
      </c>
      <c r="P2020" s="9" t="n"/>
    </row>
    <row r="2021">
      <c r="A2021" s="13" t="inlineStr">
        <is>
          <t>Mister Hyde, Monster Within / Senhor Hyde, O Monstro Interior</t>
        </is>
      </c>
      <c r="B2021" s="13" t="inlineStr">
        <is>
          <t>Criatura Lendária — Humano Vilão</t>
        </is>
      </c>
      <c r="C2021" s="13" t="inlineStr">
        <is>
          <t>Incomum</t>
        </is>
      </c>
      <c r="D2021" s="13" t="inlineStr">
        <is>
          <t>No início de sua manutenção, escolha um — • Coloque um marcador +1/+1 em Senhor Hyde. • Remova um marcador de uma criatura que você controla. Se fizer isso, compre um card.</t>
        </is>
      </c>
      <c r="E2021" s="13" t="inlineStr">
        <is>
          <t>2{G}</t>
        </is>
      </c>
      <c r="F2021" s="13" t="inlineStr">
        <is>
          <t>Verde</t>
        </is>
      </c>
      <c r="G2021" s="8" t="n">
        <v>0.8</v>
      </c>
      <c r="H2021" s="13" t="inlineStr">
        <is>
          <t>Marvel</t>
        </is>
      </c>
      <c r="I2021" s="13" t="inlineStr">
        <is>
          <t>Não</t>
        </is>
      </c>
      <c r="J2021" s="13" t="n">
        <v>2026</v>
      </c>
      <c r="K2021" s="10" t="n">
        <v>46055</v>
      </c>
      <c r="L2021" s="13" t="n">
        <v>1</v>
      </c>
      <c r="M2021" s="8">
        <f>L2021*G2021</f>
        <v/>
      </c>
      <c r="P2021" s="9" t="n"/>
    </row>
    <row r="2022">
      <c r="A2022" s="13" t="inlineStr">
        <is>
          <t>Misthoof Kirin / Kirin Casconévoa</t>
        </is>
      </c>
      <c r="B2022" s="13" t="inlineStr">
        <is>
          <t>Creature — Kirin / Criatura — Kirin</t>
        </is>
      </c>
      <c r="C2022" s="13" t="inlineStr">
        <is>
          <t>Common / Comum</t>
        </is>
      </c>
      <c r="D2022" s="13"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2022" s="13" t="inlineStr">
        <is>
          <t>{2}{W}</t>
        </is>
      </c>
      <c r="F2022" s="13" t="inlineStr">
        <is>
          <t>Branco</t>
        </is>
      </c>
      <c r="G2022" s="8" t="n">
        <v>0.07000000000000001</v>
      </c>
      <c r="H2022" s="13" t="inlineStr">
        <is>
          <t>Dragons of Tarkir (DTK)</t>
        </is>
      </c>
      <c r="I2022" s="13" t="inlineStr">
        <is>
          <t>Não</t>
        </is>
      </c>
      <c r="J2022" s="13" t="n">
        <v>2015</v>
      </c>
      <c r="K2022" s="10" t="n">
        <v>46024</v>
      </c>
      <c r="L2022" s="13" t="n">
        <v>1</v>
      </c>
      <c r="M2022" s="8">
        <f>L2022*G2022</f>
        <v/>
      </c>
      <c r="P2022" s="9" t="n"/>
    </row>
    <row r="2023">
      <c r="A2023" s="13" t="inlineStr">
        <is>
          <t>Mistmeadow Council</t>
        </is>
      </c>
      <c r="B2023" s="13" t="inlineStr">
        <is>
          <t>Creature — Kithkin Advisor</t>
        </is>
      </c>
      <c r="C2023" s="13" t="inlineStr">
        <is>
          <t>Common</t>
        </is>
      </c>
      <c r="D2023" s="13" t="inlineStr">
        <is>
          <t>This spell costs {1} less to cast if you control a Kithkin. When this creature enters, draw a card.</t>
        </is>
      </c>
      <c r="E2023" s="13" t="inlineStr">
        <is>
          <t>{4}{G}</t>
        </is>
      </c>
      <c r="F2023" s="13" t="inlineStr">
        <is>
          <t>Verde</t>
        </is>
      </c>
      <c r="G2023" s="8" t="n">
        <v>0.1</v>
      </c>
      <c r="H2023" s="13" t="inlineStr">
        <is>
          <t>Lorwyn Eclipsed (ECL)</t>
        </is>
      </c>
      <c r="I2023" s="13" t="inlineStr">
        <is>
          <t>Não</t>
        </is>
      </c>
      <c r="J2023" s="13" t="n">
        <v>2026</v>
      </c>
      <c r="K2023" s="10" t="n">
        <v>46085</v>
      </c>
      <c r="L2023" s="13" t="n">
        <v>1</v>
      </c>
      <c r="M2023" s="8">
        <f>L2023*G2023</f>
        <v/>
      </c>
      <c r="P2023" s="9" t="n"/>
    </row>
    <row r="2024">
      <c r="A2024" s="13" t="inlineStr">
        <is>
          <t>Mocking Sprite / Sílfide Zombeteira</t>
        </is>
      </c>
      <c r="B2024" s="13" t="inlineStr">
        <is>
          <t>Creature — Faerie Rogue / Criatura — Fada Ladino</t>
        </is>
      </c>
      <c r="C2024" s="13" t="inlineStr">
        <is>
          <t>Common / Comum</t>
        </is>
      </c>
      <c r="D2024" s="13" t="inlineStr">
        <is>
          <t>Flying Instant and sorcery spells you cast cost {1} less to cast. / Voar As mágicas instantâneas e os feitiços que você conjura custam {1} a menos para conjurar.</t>
        </is>
      </c>
      <c r="E2024" s="13" t="inlineStr">
        <is>
          <t>{2}{U}</t>
        </is>
      </c>
      <c r="F2024" s="13" t="inlineStr">
        <is>
          <t>Azul</t>
        </is>
      </c>
      <c r="G2024" s="8" t="n">
        <v>0.26</v>
      </c>
      <c r="H2024" s="13" t="inlineStr">
        <is>
          <t>Foundations (FDN)</t>
        </is>
      </c>
      <c r="I2024" s="13" t="inlineStr">
        <is>
          <t>Sim</t>
        </is>
      </c>
      <c r="J2024" s="13" t="n">
        <v>2026</v>
      </c>
      <c r="K2024" s="10" t="n">
        <v>46024</v>
      </c>
      <c r="L2024" s="13" t="n">
        <v>1</v>
      </c>
      <c r="M2024" s="8">
        <f>L2024*G2024</f>
        <v/>
      </c>
      <c r="P2024" s="9" t="n"/>
    </row>
    <row r="2025">
      <c r="A2025" s="13" t="inlineStr">
        <is>
          <t>Mogg Flunkies / Moggs Confusos</t>
        </is>
      </c>
      <c r="B2025" s="13" t="inlineStr">
        <is>
          <t>Creature — Goblin / Criatura — Goblin</t>
        </is>
      </c>
      <c r="C2025" s="13" t="inlineStr">
        <is>
          <t>Common / Comum</t>
        </is>
      </c>
      <c r="D2025" s="13" t="inlineStr">
        <is>
          <t>This creature can't attack or block alone. / Moggs Confusos não pode atacar nem bloquear sozinho.</t>
        </is>
      </c>
      <c r="E2025" s="13" t="inlineStr">
        <is>
          <t>{1}{R}</t>
        </is>
      </c>
      <c r="F2025" s="13" t="inlineStr">
        <is>
          <t>Vermelho</t>
        </is>
      </c>
      <c r="G2025" s="8" t="n">
        <v>0.06</v>
      </c>
      <c r="H2025" s="13" t="inlineStr">
        <is>
          <t>Masters 25 (A25)</t>
        </is>
      </c>
      <c r="I2025" s="13" t="inlineStr">
        <is>
          <t>Não</t>
        </is>
      </c>
      <c r="J2025" s="13" t="n">
        <v>2018</v>
      </c>
      <c r="K2025" s="10" t="n">
        <v>46084</v>
      </c>
      <c r="L2025" s="13" t="n">
        <v>1</v>
      </c>
      <c r="M2025" s="8">
        <f>L2025*G2025</f>
        <v/>
      </c>
      <c r="N2025" s="13" t="inlineStr">
        <is>
          <t>Bulk Shopee</t>
        </is>
      </c>
      <c r="P2025" s="9" t="n"/>
    </row>
    <row r="2026">
      <c r="A2026" s="13" t="inlineStr">
        <is>
          <t>Mogis's Warhound / Rancor de Mogis</t>
        </is>
      </c>
      <c r="B2026" s="13" t="inlineStr">
        <is>
          <t>Feitiço</t>
        </is>
      </c>
      <c r="C2026" s="13" t="inlineStr">
        <is>
          <t>Comum</t>
        </is>
      </c>
      <c r="D2026" s="13" t="inlineStr">
        <is>
          <t>Rancor de Mogis causa à criatura alvo uma quantidade de dano igual ao número de cards de mágica instantânea e feitiço no seu cemitério. Vidência 1. (Olhe o card do topo de seu grimório. Você pode colocar aquele card no fundo de seu grimório.)</t>
        </is>
      </c>
      <c r="E2026" s="13" t="inlineStr">
        <is>
          <t>R</t>
        </is>
      </c>
      <c r="F2026" s="13" t="inlineStr">
        <is>
          <t>Vermelho</t>
        </is>
      </c>
      <c r="G2026" s="8" t="n">
        <v>0.05</v>
      </c>
      <c r="H2026" s="13" t="inlineStr">
        <is>
          <t>Journey into Nyx</t>
        </is>
      </c>
      <c r="I2026" s="13" t="inlineStr">
        <is>
          <t>Não</t>
        </is>
      </c>
      <c r="J2026" s="13" t="n">
        <v>2014</v>
      </c>
      <c r="L2026" s="13" t="n">
        <v>1</v>
      </c>
      <c r="M2026" s="8">
        <f>L2026*G2026</f>
        <v/>
      </c>
      <c r="P2026" s="9" t="n"/>
    </row>
    <row r="2027">
      <c r="A2027" s="13" t="inlineStr">
        <is>
          <t>Moldervine Reclamation / Recuperação das Gavinhas Bolorentas</t>
        </is>
      </c>
      <c r="B2027" s="13" t="inlineStr">
        <is>
          <t>Enchantment / Encantamento</t>
        </is>
      </c>
      <c r="C2027" s="13" t="inlineStr">
        <is>
          <t>Uncommon / Incomum</t>
        </is>
      </c>
      <c r="D2027" s="13" t="inlineStr">
        <is>
          <t>Whenever a creature you control dies, you gain 1 life and draw a card. / Toda vez que uma criatura que você controla morre, você ganha 1 ponto de vida e compra um card.</t>
        </is>
      </c>
      <c r="E2027" s="13" t="inlineStr">
        <is>
          <t>{3}{B}{G}</t>
        </is>
      </c>
      <c r="F2027" s="13" t="inlineStr">
        <is>
          <t>Preto, Verde</t>
        </is>
      </c>
      <c r="G2027" s="8" t="n">
        <v>2.25</v>
      </c>
      <c r="H2027" s="13" t="inlineStr">
        <is>
          <t>Commander 2021 (C21)</t>
        </is>
      </c>
      <c r="I2027" s="13" t="inlineStr">
        <is>
          <t>Não</t>
        </is>
      </c>
      <c r="J2027" s="13" t="n">
        <v>2021</v>
      </c>
      <c r="L2027" s="13" t="n">
        <v>1</v>
      </c>
      <c r="M2027" s="8">
        <f>L2027*G2027</f>
        <v/>
      </c>
      <c r="N2027" s="13" t="inlineStr">
        <is>
          <t>Pasta</t>
        </is>
      </c>
      <c r="P2027" s="9" t="n"/>
    </row>
    <row r="2028">
      <c r="A2028" s="13" t="inlineStr">
        <is>
          <t>Moldgraf Millipede / Milípede do Cemitério Bolorento</t>
        </is>
      </c>
      <c r="B2028" s="13" t="inlineStr">
        <is>
          <t>Creature — Insect Horror / Criatura — Inseto Horror</t>
        </is>
      </c>
      <c r="C2028" s="13" t="inlineStr">
        <is>
          <t>Common / Comum</t>
        </is>
      </c>
      <c r="D2028" s="13"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2028" s="13" t="inlineStr">
        <is>
          <t>{4}{G}</t>
        </is>
      </c>
      <c r="F2028" s="13" t="inlineStr">
        <is>
          <t>Verde</t>
        </is>
      </c>
      <c r="G2028" s="8" t="n">
        <v>0.09</v>
      </c>
      <c r="H2028" s="13" t="inlineStr">
        <is>
          <t>Innistrad: Crimson Vow (VOW)</t>
        </is>
      </c>
      <c r="I2028" s="13" t="inlineStr">
        <is>
          <t>Não</t>
        </is>
      </c>
      <c r="J2028" s="13" t="n">
        <v>2021</v>
      </c>
      <c r="K2028" s="10" t="n">
        <v>46055</v>
      </c>
      <c r="L2028" s="13" t="n">
        <v>1</v>
      </c>
      <c r="M2028" s="8">
        <f>L2028*G2028</f>
        <v/>
      </c>
      <c r="P2028" s="9" t="n"/>
    </row>
    <row r="2029">
      <c r="A2029" s="13" t="inlineStr">
        <is>
          <t>Molten Gatekeeper / Porteiro Fundente</t>
        </is>
      </c>
      <c r="B2029" s="13" t="inlineStr">
        <is>
          <t>Artifact Creature — Golem / Criatura Artefato — Golem</t>
        </is>
      </c>
      <c r="C2029" s="13" t="inlineStr">
        <is>
          <t>Common / Comum</t>
        </is>
      </c>
      <c r="D2029" s="13"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2029" s="13" t="inlineStr">
        <is>
          <t>{2}{R}</t>
        </is>
      </c>
      <c r="F2029" s="13" t="inlineStr">
        <is>
          <t>Vermelho</t>
        </is>
      </c>
      <c r="G2029" s="8" t="n">
        <v>0.75</v>
      </c>
      <c r="H2029" s="13" t="inlineStr">
        <is>
          <t>Modern Horizons 3 (MH3)</t>
        </is>
      </c>
      <c r="I2029" s="13" t="inlineStr">
        <is>
          <t>Sim</t>
        </is>
      </c>
      <c r="J2029" s="13" t="n">
        <v>2024</v>
      </c>
      <c r="K2029" s="10" t="n">
        <v>46083</v>
      </c>
      <c r="L2029" s="13" t="n">
        <v>1</v>
      </c>
      <c r="M2029" s="8">
        <f>L2029*G2029</f>
        <v/>
      </c>
      <c r="P2029" s="9" t="n"/>
    </row>
    <row r="2030">
      <c r="A2030" s="13" t="inlineStr">
        <is>
          <t>Moment of Silence / Momento de Silêncio</t>
        </is>
      </c>
      <c r="B2030" s="13" t="inlineStr">
        <is>
          <t>Instant</t>
        </is>
      </c>
      <c r="C2030" s="13" t="inlineStr">
        <is>
          <t>Common / Comum</t>
        </is>
      </c>
      <c r="D2030" s="13" t="inlineStr">
        <is>
          <t>Target player skips their next combat phase this turn.</t>
        </is>
      </c>
      <c r="E2030" s="13" t="inlineStr">
        <is>
          <t>{W}</t>
        </is>
      </c>
      <c r="F2030" s="13" t="inlineStr">
        <is>
          <t>Branco</t>
        </is>
      </c>
      <c r="G2030" s="8" t="n">
        <v>0.35</v>
      </c>
      <c r="H2030" s="13" t="inlineStr">
        <is>
          <t>Mercadian Masques (MMQ)</t>
        </is>
      </c>
      <c r="I2030" s="13" t="inlineStr">
        <is>
          <t>Não</t>
        </is>
      </c>
      <c r="J2030" s="13" t="n">
        <v>1999</v>
      </c>
      <c r="L2030" s="13" t="n">
        <v>2</v>
      </c>
      <c r="M2030" s="8">
        <f>L2030*G2030</f>
        <v/>
      </c>
      <c r="P2030" s="9" t="n"/>
    </row>
    <row r="2031">
      <c r="A2031" s="13" t="inlineStr">
        <is>
          <t>Moment of Triumph / Momento do Triunfo</t>
        </is>
      </c>
      <c r="B2031" s="13" t="inlineStr">
        <is>
          <t>Instant / Mágica Instantânea</t>
        </is>
      </c>
      <c r="C2031" s="13" t="inlineStr">
        <is>
          <t>Common / Comum</t>
        </is>
      </c>
      <c r="D2031" s="13" t="inlineStr">
        <is>
          <t>Target creature gets +2/+2 until end of turn. You gain 2 life. / A criatura alvo recebe +2/+2 até o final do turno. Você ganha 2 pontos de vida.</t>
        </is>
      </c>
      <c r="E2031" s="13" t="inlineStr">
        <is>
          <t>{W}</t>
        </is>
      </c>
      <c r="F2031" s="13" t="inlineStr">
        <is>
          <t>Branco</t>
        </is>
      </c>
      <c r="G2031" s="8" t="n">
        <v>0.14</v>
      </c>
      <c r="H2031" s="13" t="inlineStr">
        <is>
          <t>Jumpstart 2022 (J22)</t>
        </is>
      </c>
      <c r="I2031" s="13" t="inlineStr">
        <is>
          <t>Não</t>
        </is>
      </c>
      <c r="J2031" s="13" t="n">
        <v>2022</v>
      </c>
      <c r="L2031" s="13" t="n">
        <v>1</v>
      </c>
      <c r="M2031" s="8">
        <f>L2031*G2031</f>
        <v/>
      </c>
      <c r="P2031" s="9" t="n"/>
    </row>
    <row r="2032">
      <c r="A2032" s="13" t="inlineStr">
        <is>
          <t>Moment of Truth / Hora da Verdade</t>
        </is>
      </c>
      <c r="B2032" s="13" t="inlineStr">
        <is>
          <t>Instant / Mágica Instantânea</t>
        </is>
      </c>
      <c r="C2032" s="13" t="inlineStr">
        <is>
          <t>Common / Comum</t>
        </is>
      </c>
      <c r="D2032" s="13"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2032" s="13" t="inlineStr">
        <is>
          <t>{1}{U}</t>
        </is>
      </c>
      <c r="F2032" s="13" t="inlineStr">
        <is>
          <t>Azul</t>
        </is>
      </c>
      <c r="G2032" s="8" t="n">
        <v>0.2</v>
      </c>
      <c r="H2032" s="13" t="inlineStr">
        <is>
          <t>March of the Machine (MOM)</t>
        </is>
      </c>
      <c r="I2032" s="13" t="inlineStr">
        <is>
          <t>Não</t>
        </is>
      </c>
      <c r="J2032" s="13" t="n">
        <v>2023</v>
      </c>
      <c r="L2032" s="13" t="n">
        <v>1</v>
      </c>
      <c r="M2032" s="8">
        <f>L2032*G2032</f>
        <v/>
      </c>
      <c r="P2032" s="9" t="n"/>
    </row>
    <row r="2033">
      <c r="A2033" s="13" t="inlineStr">
        <is>
          <t>Momo, Friendly Flier</t>
        </is>
      </c>
      <c r="B2033" s="13" t="inlineStr">
        <is>
          <t>Legendary Creature — Lemur Bat Ally</t>
        </is>
      </c>
      <c r="C2033" s="13" t="inlineStr">
        <is>
          <t>Rare / Rara</t>
        </is>
      </c>
      <c r="D2033" s="13" t="inlineStr">
        <is>
          <t>Flying The first non-Lemur creature spell with flying you cast during each of your turns costs {1} less to cast. Whenever another creature you control with flying enters, Momo gets +1/+1 until end of turn.</t>
        </is>
      </c>
      <c r="E2033" s="13" t="inlineStr">
        <is>
          <t>{W}</t>
        </is>
      </c>
      <c r="F2033" s="13" t="inlineStr">
        <is>
          <t>Branco</t>
        </is>
      </c>
      <c r="G2033" s="8" t="n">
        <v>2</v>
      </c>
      <c r="H2033" s="13" t="inlineStr">
        <is>
          <t>Avatar: The Last Airbender (TLA)</t>
        </is>
      </c>
      <c r="I2033" s="13" t="inlineStr">
        <is>
          <t>Não</t>
        </is>
      </c>
      <c r="J2033" s="13" t="n">
        <v>2025</v>
      </c>
      <c r="K2033" s="10" t="n">
        <v>46023</v>
      </c>
      <c r="L2033" s="13" t="n">
        <v>1</v>
      </c>
      <c r="M2033" s="8">
        <f>L2033*G2033</f>
        <v/>
      </c>
      <c r="P2033" s="9" t="n"/>
    </row>
    <row r="2034">
      <c r="A2034" s="13" t="inlineStr">
        <is>
          <t>Momo, Friendly Flier</t>
        </is>
      </c>
      <c r="B2034" s="13" t="inlineStr">
        <is>
          <t>Legendary Creature — Lemur Bat Ally</t>
        </is>
      </c>
      <c r="C2034" s="13" t="inlineStr">
        <is>
          <t>Rare / Rara</t>
        </is>
      </c>
      <c r="D2034" s="13" t="inlineStr">
        <is>
          <t>Flying The first non-Lemur creature spell with flying you cast during each of your turns costs {1} less to cast. Whenever another creature you control with flying enters, Momo gets +1/+1 until end of turn.</t>
        </is>
      </c>
      <c r="E2034" s="13" t="inlineStr">
        <is>
          <t>{W}</t>
        </is>
      </c>
      <c r="F2034" s="13" t="inlineStr">
        <is>
          <t>Branco</t>
        </is>
      </c>
      <c r="G2034" s="8" t="n">
        <v>6.89</v>
      </c>
      <c r="H2034" s="13" t="inlineStr">
        <is>
          <t>Avatar: The Last Airbender (TLA) PR</t>
        </is>
      </c>
      <c r="I2034" s="13" t="inlineStr">
        <is>
          <t>Sim</t>
        </is>
      </c>
      <c r="J2034" s="13" t="n">
        <v>2025</v>
      </c>
      <c r="K2034" s="10" t="n">
        <v>46023</v>
      </c>
      <c r="L2034" s="13" t="n">
        <v>1</v>
      </c>
      <c r="M2034" s="8">
        <f>L2034*G2034</f>
        <v/>
      </c>
      <c r="P2034" s="9" t="n"/>
    </row>
    <row r="2035">
      <c r="A2035" s="13" t="inlineStr">
        <is>
          <t>Mona Lisa, Science Geek</t>
        </is>
      </c>
      <c r="B2035" s="13" t="inlineStr">
        <is>
          <t>Legendary Creature — Lizard Mutant</t>
        </is>
      </c>
      <c r="C2035" s="13" t="inlineStr">
        <is>
          <t>Uncommon / Incomum</t>
        </is>
      </c>
      <c r="D2035" s="13" t="inlineStr">
        <is>
          <t>Reach {T}: Add X mana of any one color, where X is Mona Lisa's power.</t>
        </is>
      </c>
      <c r="E2035" s="13" t="inlineStr">
        <is>
          <t>{2}{G}</t>
        </is>
      </c>
      <c r="F2035" s="13" t="inlineStr">
        <is>
          <t>Verde</t>
        </is>
      </c>
      <c r="G2035" s="8" t="n">
        <v>0.1</v>
      </c>
      <c r="H2035" s="13" t="inlineStr">
        <is>
          <t>Teenage Mutant Ninja Turtles (TMT)</t>
        </is>
      </c>
      <c r="I2035" s="13" t="inlineStr">
        <is>
          <t>Não</t>
        </is>
      </c>
      <c r="J2035" s="13" t="n">
        <v>2026</v>
      </c>
      <c r="K2035" s="10" t="n">
        <v>46082</v>
      </c>
      <c r="L2035" s="13" t="n">
        <v>1</v>
      </c>
      <c r="M2035" s="8">
        <f>L2035*G2035</f>
        <v/>
      </c>
      <c r="P2035" s="9" t="n"/>
    </row>
    <row r="2036">
      <c r="A2036" s="13" t="inlineStr">
        <is>
          <t>Mongoose Lizard</t>
        </is>
      </c>
      <c r="B2036" s="13" t="inlineStr">
        <is>
          <t>Creature — Mongoose Lizard</t>
        </is>
      </c>
      <c r="C2036" s="13" t="inlineStr">
        <is>
          <t>Common / Comum</t>
        </is>
      </c>
      <c r="D2036" s="13" t="inlineStr">
        <is>
          <t>Menace (This creature can't be blocked except by two or more creatures.) When this creature enters, it deals 1 damage to any target. Mountaincycling {2} ({2}, Discard this card: Search your library for a Mountain card, reveal it, put it into your hand, then shuffle.)</t>
        </is>
      </c>
      <c r="E2036" s="13" t="inlineStr">
        <is>
          <t>{4}{R}{R}</t>
        </is>
      </c>
      <c r="F2036" s="13" t="inlineStr">
        <is>
          <t>Vermelho</t>
        </is>
      </c>
      <c r="G2036" s="8" t="n">
        <v>0.05</v>
      </c>
      <c r="H2036" s="13" t="inlineStr">
        <is>
          <t>Avatar: The Last Airbender (TLA)</t>
        </is>
      </c>
      <c r="I2036" s="13" t="inlineStr">
        <is>
          <t>Não</t>
        </is>
      </c>
      <c r="J2036" s="13" t="n">
        <v>2025</v>
      </c>
      <c r="K2036" s="10" t="n">
        <v>46178</v>
      </c>
      <c r="L2036" s="13" t="n">
        <v>1</v>
      </c>
      <c r="M2036" s="8">
        <f>L2036*G2036</f>
        <v/>
      </c>
      <c r="P2036" s="9" t="n"/>
    </row>
    <row r="2037">
      <c r="A2037" s="13" t="inlineStr">
        <is>
          <t>Monk's Fist / Punho do Monge</t>
        </is>
      </c>
      <c r="B2037" s="13" t="inlineStr">
        <is>
          <t>Artefato — Equipamento</t>
        </is>
      </c>
      <c r="C2037" s="13" t="inlineStr">
        <is>
          <t>Comum</t>
        </is>
      </c>
      <c r="D2037" s="13" t="inlineStr">
        <is>
          <t>Seleção de classe (Quando este Equipamento entrar, crie uma ficha de criatura Herói incolor 1/1 e depois anexe isto a ela.) A criatura equipada recebe +1/+0 e é um Monge além de seus outros tipos. Equipar {2}</t>
        </is>
      </c>
      <c r="E2037" s="13" t="n">
        <v>2</v>
      </c>
      <c r="F2037" s="13" t="inlineStr">
        <is>
          <t>Incolor</t>
        </is>
      </c>
      <c r="G2037" s="8" t="n">
        <v>0.04</v>
      </c>
      <c r="H2037" s="13" t="inlineStr">
        <is>
          <t>Final Fantasy</t>
        </is>
      </c>
      <c r="I2037" s="13" t="inlineStr">
        <is>
          <t>Não</t>
        </is>
      </c>
      <c r="J2037" s="13" t="n">
        <v>2025</v>
      </c>
      <c r="L2037" s="13" t="n">
        <v>7</v>
      </c>
      <c r="M2037" s="8">
        <f>L2037*G2037</f>
        <v/>
      </c>
      <c r="P2037" s="9" t="n"/>
    </row>
    <row r="2038">
      <c r="A2038" s="13" t="inlineStr">
        <is>
          <t>Monk's Fist / Punho do Monge</t>
        </is>
      </c>
      <c r="B2038" s="13" t="inlineStr">
        <is>
          <t>Artefato — Equipamento</t>
        </is>
      </c>
      <c r="C2038" s="13" t="inlineStr">
        <is>
          <t>Comum</t>
        </is>
      </c>
      <c r="D2038" s="13" t="inlineStr">
        <is>
          <t>Seleção de classe (Quando este Equipamento entrar, crie uma ficha de criatura Herói incolor 1/1 e depois anexe isto a ela.) A criatura equipada recebe +1/+0 e é um Monge além de seus outros tipos. Equipar {2}</t>
        </is>
      </c>
      <c r="E2038" s="13" t="n">
        <v>2</v>
      </c>
      <c r="F2038" s="13" t="inlineStr">
        <is>
          <t>Incolor</t>
        </is>
      </c>
      <c r="G2038" s="8" t="n">
        <v>0.3</v>
      </c>
      <c r="H2038" s="13" t="inlineStr">
        <is>
          <t>Final Fantasy</t>
        </is>
      </c>
      <c r="I2038" s="13" t="inlineStr">
        <is>
          <t>Sim</t>
        </is>
      </c>
      <c r="J2038" s="13" t="n">
        <v>2025</v>
      </c>
      <c r="L2038" s="13" t="n">
        <v>1</v>
      </c>
      <c r="M2038" s="8">
        <f>L2038*G2038</f>
        <v/>
      </c>
      <c r="P2038" s="9" t="n"/>
    </row>
    <row r="2039">
      <c r="A2039" s="13" t="inlineStr">
        <is>
          <t>Monoist Sentry / Sentinela Monoísta</t>
        </is>
      </c>
      <c r="B2039" s="13" t="inlineStr">
        <is>
          <t>Criatura Artefato — Robô</t>
        </is>
      </c>
      <c r="C2039" s="13" t="inlineStr">
        <is>
          <t>Incomum</t>
        </is>
      </c>
      <c r="D2039" s="13" t="inlineStr">
        <is>
          <t>Defensor</t>
        </is>
      </c>
      <c r="E2039" s="13" t="inlineStr">
        <is>
          <t>{B}</t>
        </is>
      </c>
      <c r="F2039" s="13" t="inlineStr">
        <is>
          <t>Preto</t>
        </is>
      </c>
      <c r="G2039" s="8" t="n">
        <v>0.14</v>
      </c>
      <c r="H2039" s="13" t="inlineStr">
        <is>
          <t>Edge of Eternity</t>
        </is>
      </c>
      <c r="I2039" s="13" t="inlineStr">
        <is>
          <t>Não</t>
        </is>
      </c>
      <c r="J2039" s="13" t="n">
        <v>2025</v>
      </c>
      <c r="K2039" s="10" t="n">
        <v>46026</v>
      </c>
      <c r="L2039" s="13" t="n">
        <v>1</v>
      </c>
      <c r="M2039" s="8">
        <f>L2039*G2039</f>
        <v/>
      </c>
      <c r="P2039" s="9" t="n"/>
    </row>
    <row r="2040">
      <c r="A2040" s="13" t="inlineStr">
        <is>
          <t>Monoscele / Monoskelion</t>
        </is>
      </c>
      <c r="B2040" s="13" t="inlineStr">
        <is>
          <t>Artifact Creature — Construct / Criatura Artefato — Constructo</t>
        </is>
      </c>
      <c r="C2040" s="13" t="inlineStr">
        <is>
          <t>Uncommon / Incomum</t>
        </is>
      </c>
      <c r="D2040" s="13"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2040" s="13" t="inlineStr">
        <is>
          <t>{2}</t>
        </is>
      </c>
      <c r="F2040" s="13" t="inlineStr">
        <is>
          <t>Incolor</t>
        </is>
      </c>
      <c r="G2040" s="8" t="n">
        <v>0.04</v>
      </c>
      <c r="H2040" s="13" t="inlineStr">
        <is>
          <t>Modern Horizons 2 (MH2)</t>
        </is>
      </c>
      <c r="I2040" s="13" t="inlineStr">
        <is>
          <t>No</t>
        </is>
      </c>
      <c r="J2040" s="13" t="n">
        <v>2021</v>
      </c>
      <c r="K2040" s="10" t="n">
        <v>46023</v>
      </c>
      <c r="L2040" s="13" t="n">
        <v>1</v>
      </c>
      <c r="M2040" s="8">
        <f>L2040*G2040</f>
        <v/>
      </c>
      <c r="P2040" s="9" t="n"/>
    </row>
    <row r="2041">
      <c r="A2041" s="13" t="inlineStr">
        <is>
          <t>Monoscele / Monoskelion</t>
        </is>
      </c>
      <c r="B2041" s="13" t="inlineStr">
        <is>
          <t>Artifact Creature — Construct / Criatura Artefato — Constructo</t>
        </is>
      </c>
      <c r="C2041" s="13" t="inlineStr">
        <is>
          <t>Uncommon / Incomum</t>
        </is>
      </c>
      <c r="D2041" s="13"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2041" s="13" t="inlineStr">
        <is>
          <t>{2}</t>
        </is>
      </c>
      <c r="F2041" s="13" t="inlineStr">
        <is>
          <t>Incolor</t>
        </is>
      </c>
      <c r="G2041" s="8" t="n">
        <v>0.04</v>
      </c>
      <c r="H2041" s="13" t="inlineStr">
        <is>
          <t>Modern Horizons 2 (MH2)</t>
        </is>
      </c>
      <c r="I2041" s="13" t="inlineStr">
        <is>
          <t>No</t>
        </is>
      </c>
      <c r="J2041" s="13" t="n">
        <v>2021</v>
      </c>
      <c r="K2041" s="10" t="n">
        <v>46023</v>
      </c>
      <c r="L2041" s="13" t="n">
        <v>1</v>
      </c>
      <c r="M2041" s="8">
        <f>L2041*G2041</f>
        <v/>
      </c>
      <c r="P2041" s="9" t="n"/>
    </row>
    <row r="2042">
      <c r="A2042" s="13" t="inlineStr">
        <is>
          <t>Mons's Goblin Raiders / Goblins Salteadores do Mons</t>
        </is>
      </c>
      <c r="B2042" s="13" t="inlineStr">
        <is>
          <t>Creature — Goblin</t>
        </is>
      </c>
      <c r="C2042" s="13" t="inlineStr">
        <is>
          <t>Common / Comum</t>
        </is>
      </c>
      <c r="E2042" s="13" t="inlineStr">
        <is>
          <t>{R}</t>
        </is>
      </c>
      <c r="F2042" s="13" t="inlineStr">
        <is>
          <t>Vermelho</t>
        </is>
      </c>
      <c r="G2042" s="8" t="n">
        <v>0.04</v>
      </c>
      <c r="H2042" s="13" t="inlineStr">
        <is>
          <t>Fourth Edition</t>
        </is>
      </c>
      <c r="I2042" s="13" t="inlineStr">
        <is>
          <t>Não</t>
        </is>
      </c>
      <c r="J2042" s="13" t="n">
        <v>1995</v>
      </c>
      <c r="K2042" s="10" t="n">
        <v>46023</v>
      </c>
      <c r="L2042" s="13" t="n">
        <v>2</v>
      </c>
      <c r="M2042" s="8">
        <f>L2042*G2042</f>
        <v/>
      </c>
      <c r="P2042" s="9" t="n"/>
    </row>
    <row r="2043">
      <c r="A2043" s="13" t="inlineStr">
        <is>
          <t>Mons's Goblin Raiders / Goblins Salteadores do Mons</t>
        </is>
      </c>
      <c r="B2043" s="13" t="inlineStr">
        <is>
          <t>Creature — Goblin</t>
        </is>
      </c>
      <c r="C2043" s="13" t="inlineStr">
        <is>
          <t>Common / Comum</t>
        </is>
      </c>
      <c r="E2043" s="13" t="inlineStr">
        <is>
          <t>{R}</t>
        </is>
      </c>
      <c r="F2043" s="13" t="inlineStr">
        <is>
          <t>Vermelho</t>
        </is>
      </c>
      <c r="G2043" s="8" t="n">
        <v>0.18</v>
      </c>
      <c r="H2043" s="13" t="inlineStr">
        <is>
          <t>Fourth Edition (BB)</t>
        </is>
      </c>
      <c r="I2043" s="13" t="inlineStr">
        <is>
          <t>Não</t>
        </is>
      </c>
      <c r="J2043" s="13" t="n">
        <v>1995</v>
      </c>
      <c r="K2043" s="10" t="n">
        <v>46023</v>
      </c>
      <c r="L2043" s="13" t="n">
        <v>4</v>
      </c>
      <c r="M2043" s="8">
        <f>L2043*G2043</f>
        <v/>
      </c>
      <c r="P2043" s="9" t="n"/>
    </row>
    <row r="2044">
      <c r="A2044" s="13" t="inlineStr">
        <is>
          <t>Mons's Goblin Raiders / Goblins Salteadores do Mons</t>
        </is>
      </c>
      <c r="B2044" s="13" t="inlineStr">
        <is>
          <t>Creature — Goblin</t>
        </is>
      </c>
      <c r="C2044" s="13" t="inlineStr">
        <is>
          <t>Common / Comum</t>
        </is>
      </c>
      <c r="E2044" s="13" t="inlineStr">
        <is>
          <t>{R}</t>
        </is>
      </c>
      <c r="F2044" s="13" t="inlineStr">
        <is>
          <t>Vermelho</t>
        </is>
      </c>
      <c r="G2044" s="8" t="n">
        <v>0.15</v>
      </c>
      <c r="H2044" s="13" t="inlineStr">
        <is>
          <t>Revised Edition</t>
        </is>
      </c>
      <c r="I2044" s="13" t="inlineStr">
        <is>
          <t>Não</t>
        </is>
      </c>
      <c r="J2044" s="13" t="n">
        <v>1994</v>
      </c>
      <c r="K2044" s="10" t="n">
        <v>46023</v>
      </c>
      <c r="L2044" s="13" t="n">
        <v>1</v>
      </c>
      <c r="M2044" s="8">
        <f>L2044*G2044</f>
        <v/>
      </c>
      <c r="P2044" s="9" t="n"/>
    </row>
    <row r="2045">
      <c r="A2045" s="13" t="inlineStr">
        <is>
          <t>Monster Mashup / Mistureba de Monstros</t>
        </is>
      </c>
      <c r="B2045" s="13" t="inlineStr">
        <is>
          <t>Criatura — Lobisomem Peixe Zumbi Vampiro</t>
        </is>
      </c>
      <c r="C2045" s="13" t="inlineStr">
        <is>
          <t>Comum</t>
        </is>
      </c>
      <c r="D2045" s="13" t="inlineStr">
        <is>
          <t>Alcance (Esta criatura pode bloquear criaturas com voar.) Ameaça (Esta criatura não pode ser bloqueada a não ser por duas ou mais criaturas.)</t>
        </is>
      </c>
      <c r="E2045" s="13" t="inlineStr">
        <is>
          <t>3{R}</t>
        </is>
      </c>
      <c r="F2045" s="13" t="inlineStr">
        <is>
          <t>Vermelho</t>
        </is>
      </c>
      <c r="G2045" s="8" t="n">
        <v>0.2</v>
      </c>
      <c r="H2045" s="13" t="inlineStr">
        <is>
          <t>Teenage Mutant Ninja Turtles</t>
        </is>
      </c>
      <c r="I2045" s="13" t="inlineStr">
        <is>
          <t>Não</t>
        </is>
      </c>
      <c r="J2045" s="13" t="n">
        <v>2026</v>
      </c>
      <c r="K2045" s="10" t="n">
        <v>46085</v>
      </c>
      <c r="L2045" s="13" t="n">
        <v>3</v>
      </c>
      <c r="M2045" s="8">
        <f>L2045*G2045</f>
        <v/>
      </c>
      <c r="P2045" s="9" t="n"/>
    </row>
    <row r="2046">
      <c r="A2046" s="13" t="inlineStr">
        <is>
          <t>Monstrous Emergence</t>
        </is>
      </c>
      <c r="B2046" s="13" t="inlineStr">
        <is>
          <t>Sorcery</t>
        </is>
      </c>
      <c r="C2046" s="13" t="inlineStr">
        <is>
          <t>Common / Comum</t>
        </is>
      </c>
      <c r="D2046" s="13" t="inlineStr">
        <is>
          <t>As an additional cost to cast this spell, choose a creature you control or reveal a creature card from your hand. Monstrous Emergence deals damage equal to the power of the creature you chose or the card you revealed to target creature.</t>
        </is>
      </c>
      <c r="E2046" s="13" t="inlineStr">
        <is>
          <t>{1}{G}</t>
        </is>
      </c>
      <c r="F2046" s="13" t="inlineStr">
        <is>
          <t>Verde</t>
        </is>
      </c>
      <c r="G2046" s="8" t="n">
        <v>0.15</v>
      </c>
      <c r="H2046" s="13" t="inlineStr">
        <is>
          <t>Duskmourn: House of Horror (DSK)</t>
        </is>
      </c>
      <c r="I2046" s="13" t="inlineStr">
        <is>
          <t>Não</t>
        </is>
      </c>
      <c r="J2046" s="13" t="n">
        <v>2024</v>
      </c>
      <c r="L2046" s="13" t="n">
        <v>1</v>
      </c>
      <c r="M2046" s="8">
        <f>L2046*G2046</f>
        <v/>
      </c>
      <c r="P2046" s="9" t="n"/>
    </row>
    <row r="2047">
      <c r="A2047" s="13" t="inlineStr">
        <is>
          <t>Monstrous Onslaught / Investida Monstruosa</t>
        </is>
      </c>
      <c r="B2047" s="13" t="inlineStr">
        <is>
          <t>Sorcery / Feitiço</t>
        </is>
      </c>
      <c r="C2047" s="13" t="inlineStr">
        <is>
          <t>Uncommon / Incomum</t>
        </is>
      </c>
      <c r="D2047" s="13"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2047" s="13" t="inlineStr">
        <is>
          <t>{3}{G}{G}</t>
        </is>
      </c>
      <c r="F2047" s="13" t="inlineStr">
        <is>
          <t>Verde</t>
        </is>
      </c>
      <c r="G2047" s="8" t="n">
        <v>0.03</v>
      </c>
      <c r="H2047" s="13" t="inlineStr">
        <is>
          <t>Aether Revolt (AER)</t>
        </is>
      </c>
      <c r="I2047" s="13" t="inlineStr">
        <is>
          <t>Não</t>
        </is>
      </c>
      <c r="J2047" s="13" t="n">
        <v>2017</v>
      </c>
      <c r="L2047" s="13" t="n">
        <v>1</v>
      </c>
      <c r="M2047" s="8">
        <f>L2047*G2047</f>
        <v/>
      </c>
      <c r="P2047" s="9" t="n"/>
    </row>
    <row r="2048">
      <c r="A2048" s="13" t="inlineStr">
        <is>
          <t>Moonglove Extractor</t>
        </is>
      </c>
      <c r="B2048" s="13" t="inlineStr">
        <is>
          <t>Creature — Elf Warlock</t>
        </is>
      </c>
      <c r="C2048" s="13" t="inlineStr">
        <is>
          <t>Common</t>
        </is>
      </c>
      <c r="D2048" s="13" t="inlineStr">
        <is>
          <t>Whenever this creature attacks, you draw a card and lose 1 life.</t>
        </is>
      </c>
      <c r="E2048" s="13" t="inlineStr">
        <is>
          <t>{2}{B}</t>
        </is>
      </c>
      <c r="F2048" s="13" t="inlineStr">
        <is>
          <t>Preto</t>
        </is>
      </c>
      <c r="G2048" s="8" t="n">
        <v>0.11</v>
      </c>
      <c r="H2048" s="13" t="inlineStr">
        <is>
          <t>Lorwyn Eclipsed (ECL)</t>
        </is>
      </c>
      <c r="I2048" s="13" t="inlineStr">
        <is>
          <t>Não</t>
        </is>
      </c>
      <c r="J2048" s="13" t="n">
        <v>2026</v>
      </c>
      <c r="K2048" s="10" t="n">
        <v>46024</v>
      </c>
      <c r="L2048" s="13" t="n">
        <v>2</v>
      </c>
      <c r="M2048" s="8">
        <f>L2048*G2048</f>
        <v/>
      </c>
      <c r="P2048" s="9" t="n"/>
    </row>
    <row r="2049">
      <c r="A2049" s="13" t="inlineStr">
        <is>
          <t>Moonlit Lamenter</t>
        </is>
      </c>
      <c r="B2049" s="13" t="inlineStr">
        <is>
          <t>Creature — Treefolk Cleric</t>
        </is>
      </c>
      <c r="C2049" s="13" t="inlineStr">
        <is>
          <t>Uncommon / Incomum</t>
        </is>
      </c>
      <c r="D2049" s="13" t="inlineStr">
        <is>
          <t>This creature enters with a -1/-1 counter on it. {1}{W}, Remove a counter from this creature: Draw a card. Activate only as a sorcery.</t>
        </is>
      </c>
      <c r="E2049" s="13" t="inlineStr">
        <is>
          <t>{2}{W}</t>
        </is>
      </c>
      <c r="F2049" s="13" t="inlineStr">
        <is>
          <t>Branco</t>
        </is>
      </c>
      <c r="G2049" s="8" t="n">
        <v>0.05</v>
      </c>
      <c r="H2049" s="13" t="inlineStr">
        <is>
          <t>Lorwyn Eclipsed (ECL)</t>
        </is>
      </c>
      <c r="I2049" s="13" t="inlineStr">
        <is>
          <t>Não</t>
        </is>
      </c>
      <c r="J2049" s="13" t="n">
        <v>2026</v>
      </c>
      <c r="K2049" s="10" t="n">
        <v>46144</v>
      </c>
      <c r="L2049" s="13" t="n">
        <v>1</v>
      </c>
      <c r="M2049" s="8">
        <f>L2049*G2049</f>
        <v/>
      </c>
      <c r="P2049" s="9" t="n"/>
    </row>
    <row r="2050">
      <c r="A2050" s="13" t="inlineStr">
        <is>
          <t>Moonrise Cleric</t>
        </is>
      </c>
      <c r="B2050" s="13" t="inlineStr">
        <is>
          <t>Creature — Bat Cleric</t>
        </is>
      </c>
      <c r="C2050" s="13" t="inlineStr">
        <is>
          <t>Common / Comum</t>
        </is>
      </c>
      <c r="D2050" s="13" t="inlineStr">
        <is>
          <t>Flying Whenever this creature attacks, you gain 1 life.</t>
        </is>
      </c>
      <c r="E2050" s="13" t="inlineStr">
        <is>
          <t>{1}{W/B}{W/B}</t>
        </is>
      </c>
      <c r="F2050" s="13" t="inlineStr">
        <is>
          <t>Preto, Branco</t>
        </is>
      </c>
      <c r="G2050" s="8" t="n">
        <v>0.1</v>
      </c>
      <c r="H2050" s="13" t="inlineStr">
        <is>
          <t>Bloomburrow (BLB)</t>
        </is>
      </c>
      <c r="I2050" s="13" t="inlineStr">
        <is>
          <t>Não</t>
        </is>
      </c>
      <c r="J2050" s="13" t="n">
        <v>2024</v>
      </c>
      <c r="K2050" s="10" t="n">
        <v>46083</v>
      </c>
      <c r="L2050" s="13" t="n">
        <v>1</v>
      </c>
      <c r="M2050" s="8">
        <f>L2050*G2050</f>
        <v/>
      </c>
      <c r="P2050" s="9" t="n"/>
    </row>
    <row r="2051">
      <c r="A2051" s="13" t="inlineStr">
        <is>
          <t>Moonsnare Specialist / Especialista em Lunilaço</t>
        </is>
      </c>
      <c r="B2051" s="13" t="inlineStr">
        <is>
          <t>Creature — Human Ninja / Criatura — Humano Ninja</t>
        </is>
      </c>
      <c r="C2051" s="13" t="inlineStr">
        <is>
          <t>Common / Comum</t>
        </is>
      </c>
      <c r="D2051" s="13" t="inlineStr">
        <is>
          <t>Ninjutsu {2}{U}. Quando Especialista em Lunilaço entrar no campo de batalha, devolva até uma criatura alvo para a mão de seu dono. / Ninjutsu {2}{U}. When Moon-Circuit Hacker enters the battlefield, return up to one target creature to its owner's hand.</t>
        </is>
      </c>
      <c r="E2051" s="13" t="inlineStr">
        <is>
          <t>{3}{U}</t>
        </is>
      </c>
      <c r="F2051" s="13" t="inlineStr">
        <is>
          <t>Azul</t>
        </is>
      </c>
      <c r="G2051" s="8" t="n">
        <v>0.2</v>
      </c>
      <c r="H2051" s="13" t="inlineStr">
        <is>
          <t>Kamigawa: Neon Dynasty (NEO) V</t>
        </is>
      </c>
      <c r="I2051" s="13" t="inlineStr">
        <is>
          <t>Não</t>
        </is>
      </c>
      <c r="J2051" s="13" t="n">
        <v>2022</v>
      </c>
      <c r="K2051" s="10" t="n">
        <v>46055</v>
      </c>
      <c r="L2051" s="13" t="n">
        <v>2</v>
      </c>
      <c r="M2051" s="8">
        <f>L2051*G2051</f>
        <v/>
      </c>
      <c r="P2051" s="9" t="n"/>
    </row>
    <row r="2052">
      <c r="A2052" s="13" t="inlineStr">
        <is>
          <t>Moor Fiend / Capeta da Charneca</t>
        </is>
      </c>
      <c r="B2052" s="13" t="inlineStr">
        <is>
          <t>Creature — Horror</t>
        </is>
      </c>
      <c r="C2052" s="13" t="inlineStr">
        <is>
          <t>Common / Comum</t>
        </is>
      </c>
      <c r="D2052" s="13" t="inlineStr">
        <is>
          <t>Swampwalk (This creature can't be blocked as long as defending player controls a Swamp.)</t>
        </is>
      </c>
      <c r="E2052" s="13" t="inlineStr">
        <is>
          <t>{3}{B}</t>
        </is>
      </c>
      <c r="F2052" s="13" t="inlineStr">
        <is>
          <t>Preto</t>
        </is>
      </c>
      <c r="G2052" s="8" t="n">
        <v>0.05</v>
      </c>
      <c r="H2052" s="13" t="inlineStr">
        <is>
          <t>Ice Age (ICE)</t>
        </is>
      </c>
      <c r="I2052" s="13" t="inlineStr">
        <is>
          <t>Não</t>
        </is>
      </c>
      <c r="J2052" s="13" t="n">
        <v>1995</v>
      </c>
      <c r="K2052" s="10" t="n">
        <v>46084</v>
      </c>
      <c r="L2052" s="13" t="n">
        <v>1</v>
      </c>
      <c r="M2052" s="8">
        <f>L2052*G2052</f>
        <v/>
      </c>
      <c r="P2052" s="9" t="n"/>
    </row>
    <row r="2053">
      <c r="A2053" s="13" t="inlineStr">
        <is>
          <t>Moral</t>
        </is>
      </c>
      <c r="B2053" s="13" t="inlineStr">
        <is>
          <t>Instant / Mágica Instantânea</t>
        </is>
      </c>
      <c r="C2053" s="13" t="inlineStr">
        <is>
          <t>Common / Comum</t>
        </is>
      </c>
      <c r="D2053" s="13" t="inlineStr">
        <is>
          <t>Todas as criaturas que estiverem atacando ganharão +1/+1 até o final do turno.</t>
        </is>
      </c>
      <c r="E2053" s="13" t="inlineStr">
        <is>
          <t>{1}{W}{W}</t>
        </is>
      </c>
      <c r="F2053" s="13" t="inlineStr">
        <is>
          <t>Branco</t>
        </is>
      </c>
      <c r="G2053" s="8" t="n">
        <v>0.12</v>
      </c>
      <c r="H2053" s="13" t="inlineStr">
        <is>
          <t>Ice Age (ICE)</t>
        </is>
      </c>
      <c r="I2053" s="13" t="inlineStr">
        <is>
          <t>No</t>
        </is>
      </c>
      <c r="J2053" s="13" t="n">
        <v>1995</v>
      </c>
      <c r="L2053" s="13" t="n">
        <v>1</v>
      </c>
      <c r="M2053" s="8">
        <f>L2053*G2053</f>
        <v/>
      </c>
      <c r="P2053" s="9" t="n"/>
    </row>
    <row r="2054">
      <c r="A2054" s="13" t="inlineStr">
        <is>
          <t>Morale / Moral</t>
        </is>
      </c>
      <c r="B2054" s="13" t="inlineStr">
        <is>
          <t>Instant</t>
        </is>
      </c>
      <c r="C2054" s="13" t="inlineStr">
        <is>
          <t>Common / Comum</t>
        </is>
      </c>
      <c r="D2054" s="13" t="inlineStr">
        <is>
          <t>Attacking creatures get +1/+1 until end of turn.</t>
        </is>
      </c>
      <c r="E2054" s="13" t="inlineStr">
        <is>
          <t>{1}{W}{W}</t>
        </is>
      </c>
      <c r="F2054" s="13" t="inlineStr">
        <is>
          <t>Branco</t>
        </is>
      </c>
      <c r="G2054" s="8" t="n">
        <v>0.05</v>
      </c>
      <c r="H2054" s="13" t="inlineStr">
        <is>
          <t>Fourth Edition</t>
        </is>
      </c>
      <c r="I2054" s="13" t="inlineStr">
        <is>
          <t>Não</t>
        </is>
      </c>
      <c r="J2054" s="13" t="n">
        <v>1995</v>
      </c>
      <c r="L2054" s="13" t="n">
        <v>3</v>
      </c>
      <c r="M2054" s="8">
        <f>L2054*G2054</f>
        <v/>
      </c>
      <c r="P2054" s="9" t="n"/>
    </row>
    <row r="2055">
      <c r="A2055" s="13" t="inlineStr">
        <is>
          <t>Morale / Moral</t>
        </is>
      </c>
      <c r="B2055" s="13" t="inlineStr">
        <is>
          <t>Instant</t>
        </is>
      </c>
      <c r="C2055" s="13" t="inlineStr">
        <is>
          <t>Common / Comum</t>
        </is>
      </c>
      <c r="D2055" s="13" t="inlineStr">
        <is>
          <t>Attacking creatures get +1/+1 until end of turn.</t>
        </is>
      </c>
      <c r="E2055" s="13" t="inlineStr">
        <is>
          <t>{1}{W}{W}</t>
        </is>
      </c>
      <c r="F2055" s="13" t="inlineStr">
        <is>
          <t>Branco</t>
        </is>
      </c>
      <c r="G2055" s="8" t="n">
        <v>0.12</v>
      </c>
      <c r="H2055" s="13" t="inlineStr">
        <is>
          <t>Fourth Edition (BB)</t>
        </is>
      </c>
      <c r="I2055" s="13" t="inlineStr">
        <is>
          <t>Não</t>
        </is>
      </c>
      <c r="J2055" s="13" t="n">
        <v>1995</v>
      </c>
      <c r="L2055" s="13" t="n">
        <v>3</v>
      </c>
      <c r="M2055" s="8">
        <f>L2055*G2055</f>
        <v/>
      </c>
      <c r="P2055" s="9" t="n"/>
    </row>
    <row r="2056">
      <c r="A2056" s="13" t="inlineStr">
        <is>
          <t>Morcant's Loyalist</t>
        </is>
      </c>
      <c r="B2056" s="13" t="inlineStr">
        <is>
          <t>Creature — Elf Warrior</t>
        </is>
      </c>
      <c r="C2056" s="13" t="inlineStr">
        <is>
          <t>Uncommon / Incomum</t>
        </is>
      </c>
      <c r="D2056" s="13" t="inlineStr">
        <is>
          <t>Other Elves you control get +1/+1. When this creature dies, return another target Elf card from your graveyard to your hand.</t>
        </is>
      </c>
      <c r="E2056" s="13" t="inlineStr">
        <is>
          <t>{1}{B}{G}</t>
        </is>
      </c>
      <c r="F2056" s="13" t="inlineStr">
        <is>
          <t>Preto, Verde</t>
        </is>
      </c>
      <c r="G2056" s="8" t="n">
        <v>0.25</v>
      </c>
      <c r="H2056" s="13" t="inlineStr">
        <is>
          <t>Lorwyn Eclipsed (ECL)</t>
        </is>
      </c>
      <c r="I2056" s="13" t="inlineStr">
        <is>
          <t>Não</t>
        </is>
      </c>
      <c r="J2056" s="13" t="n">
        <v>2026</v>
      </c>
      <c r="K2056" s="10" t="n">
        <v>46056</v>
      </c>
      <c r="L2056" s="13" t="n">
        <v>1</v>
      </c>
      <c r="M2056" s="8">
        <f>L2056*G2056</f>
        <v/>
      </c>
      <c r="P2056" s="9" t="n"/>
    </row>
    <row r="2057">
      <c r="A2057" s="13" t="inlineStr">
        <is>
          <t>Morcegos da Floresta das Trevas / Mirkwood Bats</t>
        </is>
      </c>
      <c r="B2057" s="13" t="inlineStr">
        <is>
          <t>Criatura — Morcego</t>
        </is>
      </c>
      <c r="C2057" s="13" t="inlineStr">
        <is>
          <t>Comum</t>
        </is>
      </c>
      <c r="D2057" s="13" t="inlineStr">
        <is>
          <t>Voar. Toda vez que você cria ou sacrifica uma ficha, cada oponente perde 1 ponto de vida.</t>
        </is>
      </c>
      <c r="E2057" s="13" t="inlineStr">
        <is>
          <t>3{B}</t>
        </is>
      </c>
      <c r="F2057" s="13" t="inlineStr">
        <is>
          <t>Preto</t>
        </is>
      </c>
      <c r="G2057" s="8" t="n">
        <v>2.75</v>
      </c>
      <c r="H2057" s="13" t="inlineStr">
        <is>
          <t>The Lord of the Rings: Tales of Middle-earth (LTR)</t>
        </is>
      </c>
      <c r="I2057" s="13" t="inlineStr">
        <is>
          <t>Não</t>
        </is>
      </c>
      <c r="J2057" s="13" t="n">
        <v>2023</v>
      </c>
      <c r="K2057" s="10" t="n">
        <v>46083</v>
      </c>
      <c r="L2057" s="13" t="n">
        <v>4</v>
      </c>
      <c r="M2057" s="8">
        <f>L2057*G2057</f>
        <v/>
      </c>
      <c r="P2057" s="9" t="n"/>
    </row>
    <row r="2058">
      <c r="A2058" s="13" t="inlineStr">
        <is>
          <t>Morselhoarder / Abocanhador</t>
        </is>
      </c>
      <c r="B2058" s="13" t="inlineStr">
        <is>
          <t>Creature — Elemental / Criatura — Elemental</t>
        </is>
      </c>
      <c r="C2058" s="13" t="inlineStr">
        <is>
          <t>Common / Comum</t>
        </is>
      </c>
      <c r="D2058" s="13"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2058" s="13" t="inlineStr">
        <is>
          <t>{4}{R/G}{R/G}</t>
        </is>
      </c>
      <c r="F2058" s="13" t="inlineStr">
        <is>
          <t>Verde, Vermelho</t>
        </is>
      </c>
      <c r="G2058" s="8" t="n">
        <v>0.1</v>
      </c>
      <c r="H2058" s="13" t="inlineStr">
        <is>
          <t>Shadowmoor (SHM)</t>
        </is>
      </c>
      <c r="I2058" s="13" t="inlineStr">
        <is>
          <t>Não</t>
        </is>
      </c>
      <c r="J2058" s="13" t="n">
        <v>2008</v>
      </c>
      <c r="K2058" s="10" t="n">
        <v>46118</v>
      </c>
      <c r="L2058" s="13" t="n">
        <v>1</v>
      </c>
      <c r="M2058" s="8">
        <f>L2058*G2058</f>
        <v/>
      </c>
      <c r="P2058" s="9" t="n"/>
    </row>
    <row r="2059">
      <c r="A2059" s="13" t="inlineStr">
        <is>
          <t>Mortal Obstinacy / Obstinação dos Mortais</t>
        </is>
      </c>
      <c r="B2059" s="13" t="inlineStr">
        <is>
          <t>Enchantment — Aura / Encantamento — Aura</t>
        </is>
      </c>
      <c r="C2059" s="13" t="inlineStr">
        <is>
          <t>Common / Comum</t>
        </is>
      </c>
      <c r="D2059" s="13"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059" s="13" t="inlineStr">
        <is>
          <t>{W}</t>
        </is>
      </c>
      <c r="F2059" s="13" t="inlineStr">
        <is>
          <t>Branco</t>
        </is>
      </c>
      <c r="G2059" s="8" t="n">
        <v>0.03</v>
      </c>
      <c r="H2059" s="13" t="inlineStr">
        <is>
          <t>Journey into Nyx (JOU)</t>
        </is>
      </c>
      <c r="I2059" s="13" t="inlineStr">
        <is>
          <t>Não</t>
        </is>
      </c>
      <c r="J2059" s="13" t="n">
        <v>2014</v>
      </c>
      <c r="L2059" s="13" t="n">
        <v>3</v>
      </c>
      <c r="M2059" s="8">
        <f>L2059*G2059</f>
        <v/>
      </c>
      <c r="P2059" s="9" t="n"/>
    </row>
    <row r="2060">
      <c r="A2060" s="13" t="inlineStr">
        <is>
          <t>Mortality Spear / Lança da Mortalidade</t>
        </is>
      </c>
      <c r="B2060" s="13" t="inlineStr">
        <is>
          <t>Instant / Mágica Instantânea</t>
        </is>
      </c>
      <c r="C2060" s="13" t="inlineStr">
        <is>
          <t>Uncommon / Incomum</t>
        </is>
      </c>
      <c r="D2060" s="13" t="inlineStr">
        <is>
          <t>This spell costs {2} less to cast if you gained life this turn. Destroy target nonland permanent. / Esta mágica custa {2} a menos para ser conjurada se você tiver ganho pontos de vida neste turno. Destrua a permanente alvo não de terreno.</t>
        </is>
      </c>
      <c r="E2060" s="13" t="inlineStr">
        <is>
          <t>{2}{B}{G}</t>
        </is>
      </c>
      <c r="F2060" s="13" t="inlineStr">
        <is>
          <t>Preto, Verde</t>
        </is>
      </c>
      <c r="G2060" s="8" t="n">
        <v>0.58</v>
      </c>
      <c r="H2060" s="13" t="inlineStr">
        <is>
          <t>Strixhaven: School of Mages (STX)</t>
        </is>
      </c>
      <c r="I2060" s="13" t="inlineStr">
        <is>
          <t>Sim</t>
        </is>
      </c>
      <c r="J2060" s="13" t="n">
        <v>2021</v>
      </c>
      <c r="L2060" s="13" t="n">
        <v>1</v>
      </c>
      <c r="M2060" s="8">
        <f>L2060*G2060</f>
        <v/>
      </c>
      <c r="P2060" s="9" t="n"/>
    </row>
    <row r="2061">
      <c r="A2061" s="13" t="inlineStr">
        <is>
          <t>Mortuary Mire / Lodaçal Mortuário</t>
        </is>
      </c>
      <c r="B2061" s="13" t="inlineStr">
        <is>
          <t>Land / Terreno</t>
        </is>
      </c>
      <c r="C2061" s="13" t="inlineStr">
        <is>
          <t>Common / Comum</t>
        </is>
      </c>
      <c r="D2061" s="13"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2061" s="13" t="inlineStr">
        <is>
          <t>Incolor</t>
        </is>
      </c>
      <c r="G2061" s="8" t="n">
        <v>0.49</v>
      </c>
      <c r="H2061" s="13" t="inlineStr">
        <is>
          <t>Battle for Zendikar (BFZ)</t>
        </is>
      </c>
      <c r="I2061" s="13" t="inlineStr">
        <is>
          <t>Não</t>
        </is>
      </c>
      <c r="J2061" s="13" t="n">
        <v>2015</v>
      </c>
      <c r="L2061" s="13" t="n">
        <v>1</v>
      </c>
      <c r="M2061" s="8">
        <f>L2061*G2061</f>
        <v/>
      </c>
      <c r="P2061" s="9" t="n"/>
    </row>
    <row r="2062">
      <c r="A2062" s="13" t="inlineStr">
        <is>
          <t>Moss Diamond / Diamante de Musgo</t>
        </is>
      </c>
      <c r="B2062" s="13" t="inlineStr">
        <is>
          <t>Artifact / Artefato</t>
        </is>
      </c>
      <c r="C2062" s="13" t="inlineStr">
        <is>
          <t>Uncommon / Incomum</t>
        </is>
      </c>
      <c r="D2062" s="13" t="inlineStr">
        <is>
          <t>Moss Diamond comes into play tapped. {T}: Add {G} to your mana pool. Play this ability as a mana source. / Diamante de Musgo entra em jogo virado. {T}: Adicione {G} à sua reserva de mana. Jogue esta habilidade como uma fonte de mana.</t>
        </is>
      </c>
      <c r="E2062" s="13" t="inlineStr">
        <is>
          <t>{2}</t>
        </is>
      </c>
      <c r="F2062" s="13" t="inlineStr">
        <is>
          <t>Incolor</t>
        </is>
      </c>
      <c r="G2062" s="8" t="n">
        <v>0.4</v>
      </c>
      <c r="H2062" s="13" t="inlineStr">
        <is>
          <t>Mirage (MIR)</t>
        </is>
      </c>
      <c r="I2062" s="13" t="inlineStr">
        <is>
          <t>No</t>
        </is>
      </c>
      <c r="J2062" s="13" t="n">
        <v>1996</v>
      </c>
      <c r="L2062" s="13" t="n">
        <v>1</v>
      </c>
      <c r="M2062" s="8">
        <f>L2062*G2062</f>
        <v/>
      </c>
      <c r="P2062" s="9" t="n"/>
    </row>
    <row r="2063">
      <c r="A2063" s="13" t="inlineStr">
        <is>
          <t>Mossbeard Ancient / Barbamusgo Ancestral</t>
        </is>
      </c>
      <c r="B2063" s="13" t="inlineStr">
        <is>
          <t>Creature — Treefolk / Criatura — Ent</t>
        </is>
      </c>
      <c r="C2063" s="13" t="inlineStr">
        <is>
          <t>Uncommon / Incomum</t>
        </is>
      </c>
      <c r="D2063" s="13" t="inlineStr">
        <is>
          <t>Trample When this creature enters, you gain 5 life. / Atropelar Quando Barbamusgo Ancestral entra no campo de batalha, você ganha 5 pontos de vida.</t>
        </is>
      </c>
      <c r="E2063" s="13" t="inlineStr">
        <is>
          <t>{5}{G}{G}</t>
        </is>
      </c>
      <c r="F2063" s="13" t="inlineStr">
        <is>
          <t>Verde</t>
        </is>
      </c>
      <c r="G2063" s="8" t="n">
        <v>0.04</v>
      </c>
      <c r="H2063" s="13" t="inlineStr">
        <is>
          <t>Dominaria United (DMU)</t>
        </is>
      </c>
      <c r="I2063" s="13" t="inlineStr">
        <is>
          <t>Não</t>
        </is>
      </c>
      <c r="J2063" s="13" t="n">
        <v>2022</v>
      </c>
      <c r="K2063" s="10" t="n">
        <v>46210</v>
      </c>
      <c r="L2063" s="13" t="n">
        <v>1</v>
      </c>
      <c r="M2063" s="8">
        <f>L2063*G2063</f>
        <v/>
      </c>
      <c r="P2063" s="9" t="n"/>
    </row>
    <row r="2064">
      <c r="A2064" s="13" t="inlineStr">
        <is>
          <t>Mothrider Patrol / Patrulheira Ginete de Mariposa</t>
        </is>
      </c>
      <c r="B2064" s="13" t="inlineStr">
        <is>
          <t>Creature — Fox Warrior / Criatura — Raposa Guerreiro</t>
        </is>
      </c>
      <c r="C2064" s="13" t="inlineStr">
        <is>
          <t>Common / Comum</t>
        </is>
      </c>
      <c r="D2064" s="13" t="inlineStr">
        <is>
          <t>Flying {3}{W}, {T}: Tap target creature. / Voar {3}{W}, {T}: Vire a criatura alvo.</t>
        </is>
      </c>
      <c r="E2064" s="13" t="inlineStr">
        <is>
          <t>{W}</t>
        </is>
      </c>
      <c r="F2064" s="13" t="inlineStr">
        <is>
          <t>Branco</t>
        </is>
      </c>
      <c r="G2064" s="8" t="n">
        <v>0.05</v>
      </c>
      <c r="H2064" s="13" t="inlineStr">
        <is>
          <t>Kamigawa: Neon Dynasty (NEO)</t>
        </is>
      </c>
      <c r="I2064" s="13" t="inlineStr">
        <is>
          <t>Não</t>
        </is>
      </c>
      <c r="J2064" s="13" t="n">
        <v>2022</v>
      </c>
      <c r="K2064" s="10" t="n">
        <v>46023</v>
      </c>
      <c r="L2064" s="13" t="n">
        <v>1</v>
      </c>
      <c r="M2064" s="8">
        <f>L2064*G2064</f>
        <v/>
      </c>
      <c r="P2064" s="9" t="n"/>
    </row>
    <row r="2065">
      <c r="A2065" s="13" t="inlineStr">
        <is>
          <t>Mountain Goat / Cabrito Montês</t>
        </is>
      </c>
      <c r="B2065" s="13" t="inlineStr">
        <is>
          <t>Creature — Goat</t>
        </is>
      </c>
      <c r="C2065" s="13" t="inlineStr">
        <is>
          <t>Common / Comum</t>
        </is>
      </c>
      <c r="D2065" s="13" t="inlineStr">
        <is>
          <t>Mountainwalk (This creature can't be blocked as long as defending player controls a Mountain.)</t>
        </is>
      </c>
      <c r="E2065" s="13" t="inlineStr">
        <is>
          <t>{R}</t>
        </is>
      </c>
      <c r="F2065" s="13" t="inlineStr">
        <is>
          <t>Vermelho</t>
        </is>
      </c>
      <c r="G2065" s="8" t="n">
        <v>0.11</v>
      </c>
      <c r="H2065" s="13" t="inlineStr">
        <is>
          <t>Ice Age (ICE)</t>
        </is>
      </c>
      <c r="I2065" s="13" t="inlineStr">
        <is>
          <t>Não</t>
        </is>
      </c>
      <c r="J2065" s="13" t="n">
        <v>1995</v>
      </c>
      <c r="K2065" s="10" t="n">
        <v>46023</v>
      </c>
      <c r="L2065" s="13" t="n">
        <v>1</v>
      </c>
      <c r="M2065" s="8">
        <f>L2065*G2065</f>
        <v/>
      </c>
      <c r="P2065" s="9" t="n"/>
    </row>
    <row r="2066">
      <c r="A2066" s="13" t="inlineStr">
        <is>
          <t>Mounted Dreadknight / Cavaleiro do Pavor Montado</t>
        </is>
      </c>
      <c r="B2066" s="13" t="inlineStr">
        <is>
          <t>Creature — Vampire Knight / Criatura — Vampiro Cavaleiro</t>
        </is>
      </c>
      <c r="C2066" s="13" t="inlineStr">
        <is>
          <t>Common / Comum</t>
        </is>
      </c>
      <c r="D2066" s="13" t="inlineStr">
        <is>
          <t>Trample This creature enters with a +1/+1 counter on it if an opponent lost life this turn. / Atropelar Cavaleiro do Pavor Montado entra no campo de batalha com um marcador +1/+1 se um oponente perdeu pontos de vida neste turno.</t>
        </is>
      </c>
      <c r="E2066" s="13" t="inlineStr">
        <is>
          <t>{4}{R}</t>
        </is>
      </c>
      <c r="F2066" s="13" t="inlineStr">
        <is>
          <t>Vermelho</t>
        </is>
      </c>
      <c r="G2066" s="8" t="n">
        <v>0.09</v>
      </c>
      <c r="H2066" s="13" t="inlineStr">
        <is>
          <t>Innistrad: Midnight Hunt (MID)</t>
        </is>
      </c>
      <c r="I2066" s="13" t="inlineStr">
        <is>
          <t>Não</t>
        </is>
      </c>
      <c r="J2066" s="13" t="n">
        <v>2021</v>
      </c>
      <c r="K2066" s="10" t="n">
        <v>46117</v>
      </c>
      <c r="L2066" s="13" t="n">
        <v>3</v>
      </c>
      <c r="M2066" s="8">
        <f>L2066*G2066</f>
        <v/>
      </c>
      <c r="P2066" s="9" t="n"/>
    </row>
    <row r="2067">
      <c r="A2067" s="13" t="inlineStr">
        <is>
          <t>Mourning Thrull</t>
        </is>
      </c>
      <c r="B2067" s="13" t="inlineStr">
        <is>
          <t>Creature — Thrull</t>
        </is>
      </c>
      <c r="C2067" s="13" t="inlineStr">
        <is>
          <t>Common</t>
        </is>
      </c>
      <c r="D2067" s="13" t="inlineStr">
        <is>
          <t>Flying. Whenever Mourning Thrull deals damage, you gain that much life.</t>
        </is>
      </c>
      <c r="E2067" s="13" t="inlineStr">
        <is>
          <t>{1}{W/B}</t>
        </is>
      </c>
      <c r="F2067" s="13" t="inlineStr">
        <is>
          <t>Branco e Preto / White and Black</t>
        </is>
      </c>
      <c r="G2067" s="8" t="n">
        <v>0.09</v>
      </c>
      <c r="H2067" s="13" t="inlineStr">
        <is>
          <t>Guildpact (GPT)</t>
        </is>
      </c>
      <c r="I2067" s="13" t="inlineStr">
        <is>
          <t>No</t>
        </is>
      </c>
      <c r="J2067" s="13" t="n">
        <v>2006</v>
      </c>
      <c r="K2067" s="10" t="n">
        <v>46023</v>
      </c>
      <c r="L2067" s="13" t="n">
        <v>4</v>
      </c>
      <c r="M2067" s="8">
        <f>L2067*G2067</f>
        <v/>
      </c>
      <c r="P2067" s="9" t="n"/>
    </row>
    <row r="2068">
      <c r="A2068" s="13" t="inlineStr">
        <is>
          <t>Mouser Attack!</t>
        </is>
      </c>
      <c r="B2068" s="13" t="inlineStr">
        <is>
          <t>Instant</t>
        </is>
      </c>
      <c r="C2068" s="13" t="inlineStr">
        <is>
          <t>Common / Comum</t>
        </is>
      </c>
      <c r="D2068" s="13" t="inlineStr">
        <is>
          <t>Choose one — • Create a 1/1 colorless Robot artifact creature token. • Target creature gets +3/+0 and gains first strike until end of turn.</t>
        </is>
      </c>
      <c r="E2068" s="13" t="inlineStr">
        <is>
          <t>{1}{R}</t>
        </is>
      </c>
      <c r="F2068" s="13" t="inlineStr">
        <is>
          <t>Vermelho</t>
        </is>
      </c>
      <c r="G2068" s="8" t="n">
        <v>0.1</v>
      </c>
      <c r="H2068" s="13" t="inlineStr">
        <is>
          <t>Teenage Mutant Ninja Turtles (TMT)</t>
        </is>
      </c>
      <c r="I2068" s="13" t="inlineStr">
        <is>
          <t>Não</t>
        </is>
      </c>
      <c r="J2068" s="13" t="n">
        <v>2026</v>
      </c>
      <c r="L2068" s="13" t="n">
        <v>7</v>
      </c>
      <c r="M2068" s="8">
        <f>L2068*G2068</f>
        <v/>
      </c>
      <c r="P2068" s="9" t="n"/>
    </row>
    <row r="2069">
      <c r="A2069" s="13" t="inlineStr">
        <is>
          <t>Mouser Foundry</t>
        </is>
      </c>
      <c r="B2069" s="13" t="inlineStr">
        <is>
          <t>Artifact</t>
        </is>
      </c>
      <c r="C2069" s="13" t="inlineStr">
        <is>
          <t>Common / Comum</t>
        </is>
      </c>
      <c r="D2069" s="13" t="inlineStr">
        <is>
          <t>When this artifact enters or leaves the battlefield, create a 1/1 colorless Robot artifact creature token. {4}{R}, Sacrifice this artifact: It deals 3 damage to target creature.</t>
        </is>
      </c>
      <c r="E2069" s="13" t="inlineStr">
        <is>
          <t>{1}{R}</t>
        </is>
      </c>
      <c r="F2069" s="13" t="inlineStr">
        <is>
          <t>Vermelho</t>
        </is>
      </c>
      <c r="G2069" s="8" t="n">
        <v>0.1</v>
      </c>
      <c r="H2069" s="13" t="inlineStr">
        <is>
          <t>Teenage Mutant Ninja Turtles (TMT)</t>
        </is>
      </c>
      <c r="I2069" s="13" t="inlineStr">
        <is>
          <t>Não</t>
        </is>
      </c>
      <c r="J2069" s="13" t="n">
        <v>2026</v>
      </c>
      <c r="L2069" s="13" t="n">
        <v>8</v>
      </c>
      <c r="M2069" s="8">
        <f>L2069*G2069</f>
        <v/>
      </c>
      <c r="P2069" s="9" t="n"/>
    </row>
    <row r="2070">
      <c r="A2070" s="13" t="inlineStr">
        <is>
          <t>Mouser Mark III</t>
        </is>
      </c>
      <c r="B2070" s="13" t="inlineStr">
        <is>
          <t>Artifact Creature — Robot</t>
        </is>
      </c>
      <c r="C2070" s="13" t="inlineStr">
        <is>
          <t>Common / Comum</t>
        </is>
      </c>
      <c r="D2070" s="13" t="inlineStr">
        <is>
          <t>This creature can't attack unless you control another artifact.</t>
        </is>
      </c>
      <c r="E2070" s="13" t="inlineStr">
        <is>
          <t>{1}{U/R}</t>
        </is>
      </c>
      <c r="F2070" s="13" t="inlineStr">
        <is>
          <t>Vermelho, Azul</t>
        </is>
      </c>
      <c r="G2070" s="8" t="n">
        <v>0.1</v>
      </c>
      <c r="H2070" s="13" t="inlineStr">
        <is>
          <t>Teenage Mutant Ninja Turtles (TMT)</t>
        </is>
      </c>
      <c r="I2070" s="13" t="inlineStr">
        <is>
          <t>Não</t>
        </is>
      </c>
      <c r="J2070" s="13" t="n">
        <v>2026</v>
      </c>
      <c r="K2070" s="10" t="n">
        <v>46083</v>
      </c>
      <c r="L2070" s="13" t="n">
        <v>5</v>
      </c>
      <c r="M2070" s="8">
        <f>L2070*G2070</f>
        <v/>
      </c>
      <c r="P2070" s="9" t="n"/>
    </row>
    <row r="2071">
      <c r="A2071" s="13" t="inlineStr">
        <is>
          <t>Mugging / Assaltar</t>
        </is>
      </c>
      <c r="B2071" s="13" t="inlineStr">
        <is>
          <t>Sorcery / Feitiço</t>
        </is>
      </c>
      <c r="C2071" s="13" t="inlineStr">
        <is>
          <t>Common / Comum</t>
        </is>
      </c>
      <c r="D2071" s="13" t="inlineStr">
        <is>
          <t>Mugging deals 2 damage to target creature. That creature can't block this turn. / Assaltar causa 2 pontos de dano à criatura alvo. Aquela criatura não pode bloquear neste turno.</t>
        </is>
      </c>
      <c r="E2071" s="13" t="inlineStr">
        <is>
          <t>{R}</t>
        </is>
      </c>
      <c r="F2071" s="13" t="inlineStr">
        <is>
          <t>Vermelho</t>
        </is>
      </c>
      <c r="G2071" s="8" t="n">
        <v>0.05</v>
      </c>
      <c r="H2071" s="13" t="inlineStr">
        <is>
          <t>Gatecrash (GTC)</t>
        </is>
      </c>
      <c r="I2071" s="13" t="inlineStr">
        <is>
          <t>Não</t>
        </is>
      </c>
      <c r="J2071" s="13" t="n">
        <v>2013</v>
      </c>
      <c r="L2071" s="13" t="n">
        <v>1</v>
      </c>
      <c r="M2071" s="8">
        <f>L2071*G2071</f>
        <v/>
      </c>
      <c r="P2071" s="9" t="n"/>
    </row>
    <row r="2072">
      <c r="A2072" s="13" t="inlineStr">
        <is>
          <t>Mugging / Assaltar</t>
        </is>
      </c>
      <c r="B2072" s="13" t="inlineStr">
        <is>
          <t>Sorcery / Feitiço</t>
        </is>
      </c>
      <c r="C2072" s="13" t="inlineStr">
        <is>
          <t>Common / Comum</t>
        </is>
      </c>
      <c r="D2072" s="13" t="inlineStr">
        <is>
          <t>Mugging deals 2 damage to target creature. That creature can't block this turn. / Assaltar causa 2 pontos de dano à criatura alvo. Aquela criatura não pode bloquear neste turno.</t>
        </is>
      </c>
      <c r="E2072" s="13" t="inlineStr">
        <is>
          <t>{R}</t>
        </is>
      </c>
      <c r="F2072" s="13" t="inlineStr">
        <is>
          <t>Vermelho</t>
        </is>
      </c>
      <c r="G2072" s="8" t="n">
        <v>0.13</v>
      </c>
      <c r="H2072" s="13" t="inlineStr">
        <is>
          <t>Ravnica Remastered (RVR)</t>
        </is>
      </c>
      <c r="I2072" s="13" t="inlineStr">
        <is>
          <t>Não</t>
        </is>
      </c>
      <c r="J2072" s="13" t="n">
        <v>2024</v>
      </c>
      <c r="L2072" s="13" t="n">
        <v>1</v>
      </c>
      <c r="M2072" s="8">
        <f>L2072*G2072</f>
        <v/>
      </c>
      <c r="P2072" s="9" t="n"/>
    </row>
    <row r="2073">
      <c r="A2073" s="13" t="inlineStr">
        <is>
          <t>Mukotai Ambusher / Emboscador Mukotai</t>
        </is>
      </c>
      <c r="B2073" s="13" t="inlineStr">
        <is>
          <t>Artifact Creature - Rat Ninja</t>
        </is>
      </c>
      <c r="C2073" s="13" t="inlineStr">
        <is>
          <t>Common / Comum</t>
        </is>
      </c>
      <c r="D2073" s="13" t="inlineStr">
        <is>
          <t>Ninjutso 1{B} vinculo com a vida</t>
        </is>
      </c>
      <c r="E2073" s="13" t="inlineStr">
        <is>
          <t>{3}{R}</t>
        </is>
      </c>
      <c r="F2073" s="13" t="inlineStr">
        <is>
          <t>Preto</t>
        </is>
      </c>
      <c r="G2073" s="8" t="n">
        <v>1</v>
      </c>
      <c r="H2073" s="13" t="inlineStr">
        <is>
          <t>Kamigawa: Neon Dynasty (NEO) V</t>
        </is>
      </c>
      <c r="I2073" s="13" t="inlineStr">
        <is>
          <t>Não</t>
        </is>
      </c>
      <c r="J2073" s="13" t="n">
        <v>2022</v>
      </c>
      <c r="L2073" s="13" t="n">
        <v>1</v>
      </c>
      <c r="M2073" s="8">
        <f>L2073*G2073</f>
        <v/>
      </c>
      <c r="P2073" s="9" t="n"/>
    </row>
    <row r="2074">
      <c r="A2074" s="13" t="inlineStr">
        <is>
          <t>Mulch / Palha</t>
        </is>
      </c>
      <c r="B2074" s="13" t="inlineStr">
        <is>
          <t>Sorcery / Feitiço</t>
        </is>
      </c>
      <c r="C2074" s="13" t="inlineStr">
        <is>
          <t>Common / Comum</t>
        </is>
      </c>
      <c r="D2074" s="13"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2074" s="13" t="inlineStr">
        <is>
          <t>{1}{G}</t>
        </is>
      </c>
      <c r="F2074" s="13" t="inlineStr">
        <is>
          <t>Verde</t>
        </is>
      </c>
      <c r="G2074" s="8" t="n">
        <v>0.09</v>
      </c>
      <c r="H2074" s="13" t="inlineStr">
        <is>
          <t>Innistrad: Crimson Vow (VOW)</t>
        </is>
      </c>
      <c r="I2074" s="13" t="inlineStr">
        <is>
          <t>Não</t>
        </is>
      </c>
      <c r="J2074" s="13" t="n">
        <v>2021</v>
      </c>
      <c r="L2074" s="13" t="n">
        <v>1</v>
      </c>
      <c r="M2074" s="8">
        <f>L2074*G2074</f>
        <v/>
      </c>
      <c r="P2074" s="9" t="n"/>
    </row>
    <row r="2075">
      <c r="A2075" s="13" t="inlineStr">
        <is>
          <t>Mummy Paramount / Múmia Suprema</t>
        </is>
      </c>
      <c r="B2075" s="13" t="inlineStr">
        <is>
          <t>Creature — Zombie / Criatura — Zumbi</t>
        </is>
      </c>
      <c r="C2075" s="13" t="inlineStr">
        <is>
          <t>Common / Comum</t>
        </is>
      </c>
      <c r="D2075" s="13" t="inlineStr">
        <is>
          <t>Whenever another Zombie you control enters, this creature gets +1/+1 until end of turn. / Toda vez que outro Zumbi entra no campo de batalha sob seu controle, Múmia Suprema recebe +1/+1 até o final do turno.</t>
        </is>
      </c>
      <c r="E2075" s="13" t="inlineStr">
        <is>
          <t>{1}{W}</t>
        </is>
      </c>
      <c r="F2075" s="13" t="inlineStr">
        <is>
          <t>Branco</t>
        </is>
      </c>
      <c r="G2075" s="8" t="n">
        <v>0.03</v>
      </c>
      <c r="H2075" s="13" t="inlineStr">
        <is>
          <t>Hour of Devastation (HOU)</t>
        </is>
      </c>
      <c r="I2075" s="13" t="inlineStr">
        <is>
          <t>Não</t>
        </is>
      </c>
      <c r="J2075" s="13" t="n">
        <v>2017</v>
      </c>
      <c r="K2075" s="10" t="n">
        <v>46055</v>
      </c>
      <c r="L2075" s="13" t="n">
        <v>3</v>
      </c>
      <c r="M2075" s="8">
        <f>L2075*G2075</f>
        <v/>
      </c>
      <c r="P2075" s="9" t="n"/>
    </row>
    <row r="2076">
      <c r="A2076" s="13" t="inlineStr">
        <is>
          <t>Munitions Expert / Especialista em Municiamento</t>
        </is>
      </c>
      <c r="B2076" s="13" t="inlineStr">
        <is>
          <t>Creature — Goblin / Criatura — Goblin</t>
        </is>
      </c>
      <c r="C2076" s="13" t="inlineStr">
        <is>
          <t>Uncommon / Incomum</t>
        </is>
      </c>
      <c r="D2076" s="13"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2076" s="13" t="inlineStr">
        <is>
          <t>{B}{R}</t>
        </is>
      </c>
      <c r="F2076" s="13" t="inlineStr">
        <is>
          <t>Preto, Vermelho</t>
        </is>
      </c>
      <c r="G2076" s="8" t="n">
        <v>0.21</v>
      </c>
      <c r="H2076" s="13" t="inlineStr">
        <is>
          <t>Modern Horizons (MH1)</t>
        </is>
      </c>
      <c r="I2076" s="13" t="inlineStr">
        <is>
          <t>Não</t>
        </is>
      </c>
      <c r="J2076" s="13" t="n">
        <v>2019</v>
      </c>
      <c r="K2076" s="10" t="n">
        <v>46023</v>
      </c>
      <c r="L2076" s="13" t="n">
        <v>4</v>
      </c>
      <c r="M2076" s="8">
        <f>L2076*G2076</f>
        <v/>
      </c>
      <c r="P2076" s="9" t="n"/>
    </row>
    <row r="2077">
      <c r="A2077" s="13" t="inlineStr">
        <is>
          <t>Murder</t>
        </is>
      </c>
      <c r="B2077" s="13" t="inlineStr">
        <is>
          <t>Instant</t>
        </is>
      </c>
      <c r="C2077" s="13" t="inlineStr">
        <is>
          <t>Common</t>
        </is>
      </c>
      <c r="D2077" s="13" t="inlineStr">
        <is>
          <t>Destroy target creature.</t>
        </is>
      </c>
      <c r="E2077" s="13" t="inlineStr">
        <is>
          <t>{1}{B}{B}</t>
        </is>
      </c>
      <c r="F2077" s="13" t="inlineStr">
        <is>
          <t>Black</t>
        </is>
      </c>
      <c r="G2077" s="8" t="n">
        <v>0.1</v>
      </c>
      <c r="H2077" s="13" t="inlineStr">
        <is>
          <t>Masters 25 (A25)</t>
        </is>
      </c>
      <c r="I2077" s="13" t="inlineStr">
        <is>
          <t>No</t>
        </is>
      </c>
      <c r="J2077" s="13" t="n">
        <v>2018</v>
      </c>
      <c r="L2077" s="13" t="n">
        <v>2</v>
      </c>
      <c r="M2077" s="8">
        <f>L2077*G2077</f>
        <v/>
      </c>
      <c r="P2077" s="9" t="n"/>
    </row>
    <row r="2078">
      <c r="A2078" s="13" t="inlineStr">
        <is>
          <t>Murder</t>
        </is>
      </c>
      <c r="B2078" s="13" t="inlineStr">
        <is>
          <t>Instant</t>
        </is>
      </c>
      <c r="C2078" s="13" t="inlineStr">
        <is>
          <t>Common</t>
        </is>
      </c>
      <c r="D2078" s="13" t="inlineStr">
        <is>
          <t>Destroy target creature.</t>
        </is>
      </c>
      <c r="E2078" s="13" t="inlineStr">
        <is>
          <t>{1}{B}{B}</t>
        </is>
      </c>
      <c r="F2078" s="13" t="inlineStr">
        <is>
          <t>Black</t>
        </is>
      </c>
      <c r="G2078" s="8" t="n">
        <v>0.4</v>
      </c>
      <c r="H2078" s="13" t="inlineStr">
        <is>
          <t>Masters 25 (A25)</t>
        </is>
      </c>
      <c r="I2078" s="13" t="inlineStr">
        <is>
          <t>Sim</t>
        </is>
      </c>
      <c r="J2078" s="13" t="n">
        <v>2018</v>
      </c>
      <c r="L2078" s="13" t="n">
        <v>1</v>
      </c>
      <c r="M2078" s="8">
        <f>L2078*G2078</f>
        <v/>
      </c>
      <c r="P2078" s="9" t="n"/>
    </row>
    <row r="2079">
      <c r="A2079" s="13" t="inlineStr">
        <is>
          <t>Murder / Homicídio</t>
        </is>
      </c>
      <c r="B2079" s="13" t="inlineStr">
        <is>
          <t>Instant / Mágica Instantânea</t>
        </is>
      </c>
      <c r="C2079" s="13" t="inlineStr">
        <is>
          <t>Common / Comum</t>
        </is>
      </c>
      <c r="D2079" s="13" t="inlineStr">
        <is>
          <t>Destroy target creature. / Destrua a criatura alvo.</t>
        </is>
      </c>
      <c r="E2079" s="13" t="inlineStr">
        <is>
          <t>{1}{B}{B}</t>
        </is>
      </c>
      <c r="F2079" s="13" t="inlineStr">
        <is>
          <t>Preto</t>
        </is>
      </c>
      <c r="G2079" s="8" t="n">
        <v>0.05</v>
      </c>
      <c r="H2079" s="13" t="inlineStr">
        <is>
          <t>Duskmourn: House of Horror (DSK)</t>
        </is>
      </c>
      <c r="I2079" s="13" t="inlineStr">
        <is>
          <t>Não</t>
        </is>
      </c>
      <c r="J2079" s="13" t="n">
        <v>2024</v>
      </c>
      <c r="L2079" s="13" t="n">
        <v>1</v>
      </c>
      <c r="M2079" s="8">
        <f>L2079*G2079</f>
        <v/>
      </c>
      <c r="P2079" s="9" t="n"/>
    </row>
    <row r="2080">
      <c r="A2080" s="13" t="inlineStr">
        <is>
          <t>Murder of Crows / Revoada de Corvos</t>
        </is>
      </c>
      <c r="B2080" s="13" t="inlineStr">
        <is>
          <t>Creature — Bird / Criatura — Ave</t>
        </is>
      </c>
      <c r="C2080" s="13" t="inlineStr">
        <is>
          <t>Uncommon / Incomum</t>
        </is>
      </c>
      <c r="D2080" s="13" t="inlineStr">
        <is>
          <t>Flying Whenever another creature dies, you may draw a card. If you do, discard a card. / Voar Toda vez que outra criatura morre, você pode comprar um card. Se fizer isso, descarte um card.</t>
        </is>
      </c>
      <c r="E2080" s="13" t="inlineStr">
        <is>
          <t>{3}{U}{U}</t>
        </is>
      </c>
      <c r="F2080" s="13" t="inlineStr">
        <is>
          <t>Azul</t>
        </is>
      </c>
      <c r="G2080" s="8" t="n">
        <v>0.1</v>
      </c>
      <c r="H2080" s="13" t="inlineStr">
        <is>
          <t>Commander Masters (CMM)</t>
        </is>
      </c>
      <c r="I2080" s="13" t="inlineStr">
        <is>
          <t>Não</t>
        </is>
      </c>
      <c r="J2080" s="13" t="n">
        <v>2023</v>
      </c>
      <c r="K2080" s="10" t="n">
        <v>46116</v>
      </c>
      <c r="L2080" s="13" t="n">
        <v>1</v>
      </c>
      <c r="M2080" s="8">
        <f>L2080*G2080</f>
        <v/>
      </c>
      <c r="P2080" s="9" t="n"/>
    </row>
    <row r="2081">
      <c r="A2081" s="13" t="inlineStr">
        <is>
          <t>Murdock's Crusade / Cruzada de Murdock</t>
        </is>
      </c>
      <c r="B2081" s="13" t="inlineStr">
        <is>
          <t>Feitiço</t>
        </is>
      </c>
      <c r="C2081" s="13" t="inlineStr">
        <is>
          <t>Comum</t>
        </is>
      </c>
      <c r="D2081" s="13"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2081" s="13" t="inlineStr">
        <is>
          <t>1{W}</t>
        </is>
      </c>
      <c r="F2081" s="13" t="inlineStr">
        <is>
          <t>Branco</t>
        </is>
      </c>
      <c r="G2081" s="8" t="n">
        <v>0.13</v>
      </c>
      <c r="H2081" s="13" t="inlineStr">
        <is>
          <t>Marvel</t>
        </is>
      </c>
      <c r="I2081" s="13" t="inlineStr">
        <is>
          <t>Não</t>
        </is>
      </c>
      <c r="J2081" s="13" t="n">
        <v>2026</v>
      </c>
      <c r="L2081" s="13" t="n">
        <v>3</v>
      </c>
      <c r="M2081" s="8">
        <f>L2081*G2081</f>
        <v/>
      </c>
      <c r="P2081" s="9" t="n"/>
    </row>
    <row r="2082">
      <c r="A2082" s="13" t="inlineStr">
        <is>
          <t>Murk Dwellers / Habitantes das Trevas</t>
        </is>
      </c>
      <c r="B2082" s="13" t="inlineStr">
        <is>
          <t>Creature — Zombie</t>
        </is>
      </c>
      <c r="C2082" s="13" t="inlineStr">
        <is>
          <t>Common / Comum</t>
        </is>
      </c>
      <c r="D2082" s="13" t="inlineStr">
        <is>
          <t>Whenever this creature attacks and isn't blocked, it gets +2/+0 until end of combat.</t>
        </is>
      </c>
      <c r="E2082" s="13" t="inlineStr">
        <is>
          <t>{3}{B}</t>
        </is>
      </c>
      <c r="F2082" s="13" t="inlineStr">
        <is>
          <t>Preto</t>
        </is>
      </c>
      <c r="G2082" s="8" t="n">
        <v>0.08</v>
      </c>
      <c r="H2082" s="13" t="inlineStr">
        <is>
          <t>Quarta Edição</t>
        </is>
      </c>
      <c r="I2082" s="13" t="inlineStr">
        <is>
          <t>Não</t>
        </is>
      </c>
      <c r="J2082" s="13" t="n">
        <v>1995</v>
      </c>
      <c r="K2082" s="10" t="n">
        <v>46055</v>
      </c>
      <c r="L2082" s="13" t="n">
        <v>2</v>
      </c>
      <c r="M2082" s="8">
        <f>L2082*G2082</f>
        <v/>
      </c>
      <c r="P2082" s="9" t="n"/>
    </row>
    <row r="2083">
      <c r="A2083" s="13" t="inlineStr">
        <is>
          <t>Murk Dwellers / Habitantes das Trevas</t>
        </is>
      </c>
      <c r="B2083" s="13" t="inlineStr">
        <is>
          <t>Creature — Zombie</t>
        </is>
      </c>
      <c r="C2083" s="13" t="inlineStr">
        <is>
          <t>Common / Comum</t>
        </is>
      </c>
      <c r="D2083" s="13" t="inlineStr">
        <is>
          <t>Whenever this creature attacks and isn't blocked, it gets +2/+0 until end of combat.</t>
        </is>
      </c>
      <c r="E2083" s="13" t="inlineStr">
        <is>
          <t>{3}{B}</t>
        </is>
      </c>
      <c r="F2083" s="13" t="inlineStr">
        <is>
          <t>Preto</t>
        </is>
      </c>
      <c r="G2083" s="8" t="n">
        <v>0.08</v>
      </c>
      <c r="H2083" s="13" t="inlineStr">
        <is>
          <t>Quarta Edição (BB)</t>
        </is>
      </c>
      <c r="I2083" s="13" t="inlineStr">
        <is>
          <t>Não</t>
        </is>
      </c>
      <c r="J2083" s="13" t="n">
        <v>1995</v>
      </c>
      <c r="K2083" s="10" t="n">
        <v>46055</v>
      </c>
      <c r="L2083" s="13" t="n">
        <v>3</v>
      </c>
      <c r="M2083" s="8">
        <f>L2083*G2083</f>
        <v/>
      </c>
      <c r="P2083" s="9" t="n"/>
    </row>
    <row r="2084">
      <c r="A2084" s="13" t="inlineStr">
        <is>
          <t>Murk Strider / Andarilho do Lodo</t>
        </is>
      </c>
      <c r="B2084" s="13" t="inlineStr">
        <is>
          <t>Creature — Eldrazi Processor / Criatura — Eldrazi Processador</t>
        </is>
      </c>
      <c r="C2084" s="13" t="inlineStr">
        <is>
          <t>Common / Comum</t>
        </is>
      </c>
      <c r="D2084" s="13"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2084" s="13" t="inlineStr">
        <is>
          <t>{3}{U}</t>
        </is>
      </c>
      <c r="F2084" s="13" t="inlineStr">
        <is>
          <t>Azul</t>
        </is>
      </c>
      <c r="G2084" s="8" t="n">
        <v>0.06</v>
      </c>
      <c r="H2084" s="13" t="inlineStr">
        <is>
          <t>Battle for Zendikar (BFZ)</t>
        </is>
      </c>
      <c r="I2084" s="13" t="inlineStr">
        <is>
          <t>Não</t>
        </is>
      </c>
      <c r="J2084" s="13" t="n">
        <v>2015</v>
      </c>
      <c r="K2084" s="10" t="n">
        <v>46056</v>
      </c>
      <c r="L2084" s="13" t="n">
        <v>5</v>
      </c>
      <c r="M2084" s="8">
        <f>L2084*G2084</f>
        <v/>
      </c>
      <c r="P2084" s="9" t="n"/>
    </row>
    <row r="2085">
      <c r="A2085" s="13" t="inlineStr">
        <is>
          <t>Murmuring Phantasm / Fantasma Murmurante</t>
        </is>
      </c>
      <c r="B2085" s="13" t="inlineStr">
        <is>
          <t>Creature — Spirit / Criatura — Espírito</t>
        </is>
      </c>
      <c r="C2085" s="13" t="inlineStr">
        <is>
          <t>Common / Comum</t>
        </is>
      </c>
      <c r="D2085" s="13" t="inlineStr">
        <is>
          <t>Defender / Defensor</t>
        </is>
      </c>
      <c r="E2085" s="13" t="inlineStr">
        <is>
          <t>{1}{U}</t>
        </is>
      </c>
      <c r="F2085" s="13" t="inlineStr">
        <is>
          <t>Azul</t>
        </is>
      </c>
      <c r="G2085" s="8" t="n">
        <v>0.06</v>
      </c>
      <c r="H2085" s="13" t="inlineStr">
        <is>
          <t>Dragon's Maze (DGM)</t>
        </is>
      </c>
      <c r="I2085" s="13" t="inlineStr">
        <is>
          <t>Não</t>
        </is>
      </c>
      <c r="J2085" s="13" t="n">
        <v>2013</v>
      </c>
      <c r="K2085" s="13" t="inlineStr">
        <is>
          <t>0/5</t>
        </is>
      </c>
      <c r="L2085" s="13" t="n">
        <v>1</v>
      </c>
      <c r="M2085" s="8">
        <f>L2085*G2085</f>
        <v/>
      </c>
      <c r="P2085" s="9" t="n"/>
    </row>
    <row r="2086">
      <c r="A2086" s="13" t="inlineStr">
        <is>
          <t>Muse's Encouragement / Incentivo da Musa</t>
        </is>
      </c>
      <c r="B2086" s="13" t="inlineStr">
        <is>
          <t>Instant / Instantânea</t>
        </is>
      </c>
      <c r="C2086" s="13" t="inlineStr">
        <is>
          <t>Common / Comum</t>
        </is>
      </c>
      <c r="D2086" s="13"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2086" s="13" t="inlineStr">
        <is>
          <t>{4}{U}</t>
        </is>
      </c>
      <c r="F2086" s="13" t="inlineStr">
        <is>
          <t>Azul</t>
        </is>
      </c>
      <c r="G2086" s="8" t="n">
        <v>0.06</v>
      </c>
      <c r="H2086" s="13" t="inlineStr">
        <is>
          <t>Shadows of Sothia (SOS)</t>
        </is>
      </c>
      <c r="I2086" s="13" t="inlineStr">
        <is>
          <t>No</t>
        </is>
      </c>
      <c r="J2086" s="13" t="n">
        <v>2026</v>
      </c>
      <c r="L2086" s="13" t="n">
        <v>2</v>
      </c>
      <c r="M2086" s="8">
        <f>L2086*G2086</f>
        <v/>
      </c>
      <c r="P2086" s="9" t="n"/>
    </row>
    <row r="2087">
      <c r="A2087" s="13" t="inlineStr">
        <is>
          <t>Mutant Chain Reaction</t>
        </is>
      </c>
      <c r="B2087" s="13" t="inlineStr">
        <is>
          <t>Sorcery</t>
        </is>
      </c>
      <c r="C2087" s="13" t="inlineStr">
        <is>
          <t>Common / Comum</t>
        </is>
      </c>
      <c r="D2087" s="13" t="inlineStr">
        <is>
          <t>Destroy up to one target artifact, enchantment, or creature with flying. Create a Mutagen token. (It's an artifact with "{1}, {T}, Sacrifice this token: Put a +1/+1 counter on target creature. Activate only as a sorcery.")</t>
        </is>
      </c>
      <c r="E2087" s="13" t="inlineStr">
        <is>
          <t>{2}{G}</t>
        </is>
      </c>
      <c r="F2087" s="13" t="inlineStr">
        <is>
          <t>Verde</t>
        </is>
      </c>
      <c r="G2087" s="8" t="n">
        <v>0.1</v>
      </c>
      <c r="H2087" s="13" t="inlineStr">
        <is>
          <t>Teenage Mutant Ninja Turtles (TMT)</t>
        </is>
      </c>
      <c r="I2087" s="13" t="inlineStr">
        <is>
          <t>Não</t>
        </is>
      </c>
      <c r="J2087" s="13" t="n">
        <v>2026</v>
      </c>
      <c r="L2087" s="13" t="n">
        <v>1</v>
      </c>
      <c r="M2087" s="8">
        <f>L2087*G2087</f>
        <v/>
      </c>
      <c r="P2087" s="9" t="n"/>
    </row>
    <row r="2088">
      <c r="A2088" s="13" t="inlineStr">
        <is>
          <t>Mutant Town</t>
        </is>
      </c>
      <c r="B2088" s="13" t="inlineStr">
        <is>
          <t>Land</t>
        </is>
      </c>
      <c r="C2088" s="13" t="inlineStr">
        <is>
          <t>Common / Comum</t>
        </is>
      </c>
      <c r="D2088" s="13" t="inlineStr">
        <is>
          <t>This land enters tapped. When this land enters, you gain 1 life. {T}: Add {G} or {U}.</t>
        </is>
      </c>
      <c r="E2088" s="13" t="n">
        <v>0.14</v>
      </c>
      <c r="F2088" s="13" t="inlineStr">
        <is>
          <t>Verde, Azul</t>
        </is>
      </c>
      <c r="G2088" s="8" t="n"/>
      <c r="H2088" s="13" t="inlineStr">
        <is>
          <t>Teenage Mutant Ninja Turtles (TMT)</t>
        </is>
      </c>
      <c r="I2088" s="13" t="inlineStr">
        <is>
          <t>Não</t>
        </is>
      </c>
      <c r="J2088" s="13" t="n">
        <v>2026</v>
      </c>
      <c r="L2088" s="13" t="n">
        <v>1</v>
      </c>
      <c r="M2088" s="8">
        <f>L2088*G2088</f>
        <v/>
      </c>
      <c r="P2088" s="9" t="n"/>
    </row>
    <row r="2089">
      <c r="A2089" s="13" t="inlineStr">
        <is>
          <t>Mutant Town Musicians</t>
        </is>
      </c>
      <c r="B2089" s="13" t="inlineStr">
        <is>
          <t>Creature — Mutant Bard Performer</t>
        </is>
      </c>
      <c r="C2089" s="13" t="inlineStr">
        <is>
          <t>Common / Comum</t>
        </is>
      </c>
      <c r="D2089" s="13" t="inlineStr">
        <is>
          <t>Trample Alliance — Whenever another creature you control enters, this creature gets +1/+0 until end of turn.</t>
        </is>
      </c>
      <c r="E2089" s="13" t="inlineStr">
        <is>
          <t>{2}{R}</t>
        </is>
      </c>
      <c r="F2089" s="13" t="inlineStr">
        <is>
          <t>Vermelho</t>
        </is>
      </c>
      <c r="G2089" s="8" t="n">
        <v>0.05</v>
      </c>
      <c r="H2089" s="13" t="inlineStr">
        <is>
          <t>Teenage Mutant Ninja Turtles (TMT)</t>
        </is>
      </c>
      <c r="I2089" s="13" t="inlineStr">
        <is>
          <t>Não</t>
        </is>
      </c>
      <c r="J2089" s="13" t="n">
        <v>2026</v>
      </c>
      <c r="K2089" s="10" t="n">
        <v>46114</v>
      </c>
      <c r="L2089" s="13" t="n">
        <v>5</v>
      </c>
      <c r="M2089" s="8">
        <f>L2089*G2089</f>
        <v/>
      </c>
      <c r="P2089" s="9" t="n"/>
    </row>
    <row r="2090">
      <c r="A2090" s="13" t="inlineStr">
        <is>
          <t>Myr Mindservant / Myr Ataca-Mentes</t>
        </is>
      </c>
      <c r="B2090" s="13" t="inlineStr">
        <is>
          <t>Artifact Creature — Myr / Criatura Artefato — Myr</t>
        </is>
      </c>
      <c r="C2090" s="13" t="inlineStr">
        <is>
          <t>Uncommon / Incomum</t>
        </is>
      </c>
      <c r="D2090" s="13" t="inlineStr">
        <is>
          <t>{2}, {T}: Shuffle your library. / {2}, {T}: Embaralhe seu grimório.</t>
        </is>
      </c>
      <c r="E2090" s="13" t="inlineStr">
        <is>
          <t>{1}</t>
        </is>
      </c>
      <c r="F2090" s="13" t="inlineStr">
        <is>
          <t>Incolor</t>
        </is>
      </c>
      <c r="G2090" s="8" t="n">
        <v>0.25</v>
      </c>
      <c r="H2090" s="13" t="inlineStr">
        <is>
          <t>Mirrodin (MRD)</t>
        </is>
      </c>
      <c r="I2090" s="13" t="inlineStr">
        <is>
          <t>Não</t>
        </is>
      </c>
      <c r="J2090" s="13" t="n">
        <v>2003</v>
      </c>
      <c r="K2090" s="10" t="n">
        <v>46023</v>
      </c>
      <c r="L2090" s="13" t="n">
        <v>1</v>
      </c>
      <c r="M2090" s="8">
        <f>L2090*G2090</f>
        <v/>
      </c>
      <c r="P2090" s="9" t="n"/>
    </row>
    <row r="2091">
      <c r="A2091" s="13" t="inlineStr">
        <is>
          <t>Myr Retriever / Resgatador Myr</t>
        </is>
      </c>
      <c r="B2091" s="13" t="inlineStr">
        <is>
          <t>Artifact Creature — Myr / Criatura Artefato — Myr</t>
        </is>
      </c>
      <c r="C2091" s="13" t="inlineStr">
        <is>
          <t>Common / Comum</t>
        </is>
      </c>
      <c r="D2091" s="13" t="inlineStr">
        <is>
          <t>When Myr Retriever dies, return another target artifact card from your graveyard to your hand. / Quando Resgatador Myr morrer, devolva outro card de artefato alvo de seu cemitério para sua mão.</t>
        </is>
      </c>
      <c r="E2091" s="13" t="inlineStr">
        <is>
          <t>{2}</t>
        </is>
      </c>
      <c r="F2091" s="13" t="inlineStr">
        <is>
          <t>Incolor</t>
        </is>
      </c>
      <c r="G2091" s="8" t="n">
        <v>3.76</v>
      </c>
      <c r="H2091" s="13" t="inlineStr">
        <is>
          <t>Double Masters (2XM)</t>
        </is>
      </c>
      <c r="I2091" s="13" t="inlineStr">
        <is>
          <t>No</t>
        </is>
      </c>
      <c r="J2091" s="13" t="n">
        <v>2020</v>
      </c>
      <c r="K2091" s="10" t="n">
        <v>46023</v>
      </c>
      <c r="L2091" s="13" t="n">
        <v>1</v>
      </c>
      <c r="M2091" s="8">
        <f>L2091*G2091</f>
        <v/>
      </c>
      <c r="P2091" s="9" t="n"/>
    </row>
    <row r="2092">
      <c r="A2092" s="13" t="inlineStr">
        <is>
          <t>Mysidian Elder / Ancião de Mysidia</t>
        </is>
      </c>
      <c r="B2092" s="13" t="inlineStr">
        <is>
          <t>Criatura — Humano Mago</t>
        </is>
      </c>
      <c r="C2092" s="13" t="inlineStr">
        <is>
          <t>Comum</t>
        </is>
      </c>
      <c r="D2092" s="13" t="inlineStr">
        <is>
          <t>Quando esta criatura entrar, crie uma ficha de criatura Mago preta 0/1 com "Sempre que você conjurar uma mágica que não seja de criatura, esta ficha causará 1 de dano a cada oponente."</t>
        </is>
      </c>
      <c r="E2092" s="13" t="inlineStr">
        <is>
          <t>2R</t>
        </is>
      </c>
      <c r="F2092" s="13" t="inlineStr">
        <is>
          <t>Vermelho</t>
        </is>
      </c>
      <c r="G2092" s="8" t="n">
        <v>0.19</v>
      </c>
      <c r="H2092" s="13" t="inlineStr">
        <is>
          <t>Final Fantasy</t>
        </is>
      </c>
      <c r="I2092" s="13" t="inlineStr">
        <is>
          <t>Não</t>
        </is>
      </c>
      <c r="J2092" s="13" t="n">
        <v>2025</v>
      </c>
      <c r="K2092" s="10" t="n">
        <v>46082</v>
      </c>
      <c r="L2092" s="13" t="n">
        <v>10</v>
      </c>
      <c r="M2092" s="8">
        <f>L2092*G2092</f>
        <v/>
      </c>
      <c r="P2092" s="9" t="n"/>
    </row>
    <row r="2093">
      <c r="A2093" s="13" t="inlineStr">
        <is>
          <t>Mysidian Elder / Ancião de Mysidia</t>
        </is>
      </c>
      <c r="B2093" s="13" t="inlineStr">
        <is>
          <t>Criatura — Humano Mago</t>
        </is>
      </c>
      <c r="C2093" s="13" t="inlineStr">
        <is>
          <t>Comum</t>
        </is>
      </c>
      <c r="D2093" s="13" t="inlineStr">
        <is>
          <t>Quando esta criatura entrar, crie uma ficha de criatura Mago preta 0/1 com "Sempre que você conjurar uma mágica que não seja de criatura, esta ficha causará 1 de dano a cada oponente."</t>
        </is>
      </c>
      <c r="E2093" s="13" t="inlineStr">
        <is>
          <t>2R</t>
        </is>
      </c>
      <c r="F2093" s="13" t="inlineStr">
        <is>
          <t>Vermelho</t>
        </is>
      </c>
      <c r="G2093" s="8" t="n">
        <v>0.3</v>
      </c>
      <c r="H2093" s="13" t="inlineStr">
        <is>
          <t>Final Fantasy</t>
        </is>
      </c>
      <c r="I2093" s="13" t="inlineStr">
        <is>
          <t>Sim</t>
        </is>
      </c>
      <c r="J2093" s="13" t="n">
        <v>2025</v>
      </c>
      <c r="K2093" s="10" t="n">
        <v>46082</v>
      </c>
      <c r="L2093" s="13" t="n">
        <v>1</v>
      </c>
      <c r="M2093" s="8">
        <f>L2093*G2093</f>
        <v/>
      </c>
      <c r="P2093" s="9" t="n"/>
    </row>
    <row r="2094">
      <c r="A2094" s="13" t="inlineStr">
        <is>
          <t>Mysterious Pathlighter / Alumiador de Trilhas Misterioso</t>
        </is>
      </c>
      <c r="B2094" s="13" t="inlineStr">
        <is>
          <t>Creature — Faerie / Criatura — Fada</t>
        </is>
      </c>
      <c r="C2094" s="13" t="inlineStr">
        <is>
          <t>Uncommon / Incomum</t>
        </is>
      </c>
      <c r="D2094" s="13"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2094" s="13" t="inlineStr">
        <is>
          <t>{2}{W}</t>
        </is>
      </c>
      <c r="F2094" s="13" t="inlineStr">
        <is>
          <t>Branco</t>
        </is>
      </c>
      <c r="G2094" s="8" t="n">
        <v>0.1</v>
      </c>
      <c r="H2094" s="13" t="inlineStr">
        <is>
          <t>Throne of Eldraine (ELD)</t>
        </is>
      </c>
      <c r="I2094" s="13" t="inlineStr">
        <is>
          <t>Não</t>
        </is>
      </c>
      <c r="J2094" s="13" t="n">
        <v>2019</v>
      </c>
      <c r="K2094" s="10" t="n">
        <v>46055</v>
      </c>
      <c r="L2094" s="13" t="n">
        <v>1</v>
      </c>
      <c r="M2094" s="8">
        <f>L2094*G2094</f>
        <v/>
      </c>
      <c r="P2094" s="9" t="n"/>
    </row>
    <row r="2095">
      <c r="A2095" s="13" t="inlineStr">
        <is>
          <t>Mystic Monastery / Monastério Místico</t>
        </is>
      </c>
      <c r="B2095" s="13" t="inlineStr">
        <is>
          <t>Terreno</t>
        </is>
      </c>
      <c r="C2095" s="13" t="inlineStr">
        <is>
          <t>Incomum</t>
        </is>
      </c>
      <c r="D2095" s="13" t="inlineStr">
        <is>
          <t>Monastério Místico entra no campo de batalha virado. {T}: Adicione {U}, {R} ou {W} à sua reserva de mana.</t>
        </is>
      </c>
      <c r="E2095" s="13" t="inlineStr">
        <is>
          <t>Não encontrado</t>
        </is>
      </c>
      <c r="F2095" s="13" t="inlineStr">
        <is>
          <t>Incolor</t>
        </is>
      </c>
      <c r="G2095" s="8" t="n">
        <v>0.39</v>
      </c>
      <c r="H2095" s="13" t="inlineStr">
        <is>
          <t>Duel Decks: Speed vs. Cunning</t>
        </is>
      </c>
      <c r="I2095" s="13" t="inlineStr">
        <is>
          <t>Não</t>
        </is>
      </c>
      <c r="J2095" s="13" t="n">
        <v>2014</v>
      </c>
      <c r="L2095" s="13" t="n">
        <v>2</v>
      </c>
      <c r="M2095" s="8">
        <f>L2095*G2095</f>
        <v/>
      </c>
      <c r="P2095" s="9" t="n"/>
    </row>
    <row r="2096">
      <c r="A2096" s="13" t="inlineStr">
        <is>
          <t>Mystic Skull / Crânio Místico</t>
        </is>
      </c>
      <c r="B2096" s="13" t="inlineStr">
        <is>
          <t>Artifact / Artefato</t>
        </is>
      </c>
      <c r="C2096" s="13" t="inlineStr">
        <is>
          <t>Uncommon / Incomum</t>
        </is>
      </c>
      <c r="D2096" s="13" t="inlineStr">
        <is>
          <t>{1}, {T}: Add one mana of any color. {5}, {T}: Transform Mystic Skull.</t>
        </is>
      </c>
      <c r="E2096" s="13" t="inlineStr">
        <is>
          <t>{2}</t>
        </is>
      </c>
      <c r="F2096" s="13" t="inlineStr">
        <is>
          <t>Incolor</t>
        </is>
      </c>
      <c r="G2096" s="8" t="n">
        <v>0.1</v>
      </c>
      <c r="H2096" s="13" t="inlineStr">
        <is>
          <t>Innistrad: Midnight Hunt (MID)</t>
        </is>
      </c>
      <c r="I2096" s="13" t="inlineStr">
        <is>
          <t>No</t>
        </is>
      </c>
      <c r="J2096" s="13" t="n">
        <v>2021</v>
      </c>
      <c r="L2096" s="13" t="n">
        <v>1</v>
      </c>
      <c r="M2096" s="8">
        <f>L2096*G2096</f>
        <v/>
      </c>
      <c r="P2096" s="9" t="n"/>
    </row>
    <row r="2097">
      <c r="A2097" s="13" t="inlineStr">
        <is>
          <t>Mystical Teachings / Ensinamentos Místicos</t>
        </is>
      </c>
      <c r="B2097" s="13" t="inlineStr">
        <is>
          <t>Instant / Mágica Instantânea</t>
        </is>
      </c>
      <c r="C2097" s="13" t="inlineStr">
        <is>
          <t>Common / Comum</t>
        </is>
      </c>
      <c r="D2097" s="13"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2097" s="13" t="inlineStr">
        <is>
          <t>{3}{U}</t>
        </is>
      </c>
      <c r="F2097" s="13" t="inlineStr">
        <is>
          <t>Azul</t>
        </is>
      </c>
      <c r="G2097" s="8" t="n">
        <v>0.3</v>
      </c>
      <c r="H2097" s="13" t="inlineStr">
        <is>
          <t>Modern Masters 2017 (MM3)</t>
        </is>
      </c>
      <c r="I2097" s="13" t="inlineStr">
        <is>
          <t>Não</t>
        </is>
      </c>
      <c r="J2097" s="13" t="n">
        <v>2017</v>
      </c>
      <c r="L2097" s="13" t="n">
        <v>2</v>
      </c>
      <c r="M2097" s="8">
        <f>L2097*G2097</f>
        <v/>
      </c>
      <c r="P2097" s="9" t="n"/>
    </row>
    <row r="2098">
      <c r="A2098" s="13" t="inlineStr">
        <is>
          <t>Nacre Talisman / Talismã de Nácar</t>
        </is>
      </c>
      <c r="B2098" s="13" t="inlineStr">
        <is>
          <t>Artifact</t>
        </is>
      </c>
      <c r="C2098" s="13" t="inlineStr">
        <is>
          <t>Uncommon / Incomum</t>
        </is>
      </c>
      <c r="D2098" s="13" t="inlineStr">
        <is>
          <t>Whenever a player casts a white spell, you may pay {3}. If you do, untap target permanent.</t>
        </is>
      </c>
      <c r="E2098" s="13" t="inlineStr">
        <is>
          <t>{2}</t>
        </is>
      </c>
      <c r="F2098" s="13" t="inlineStr">
        <is>
          <t>Incolor</t>
        </is>
      </c>
      <c r="G2098" s="8" t="n">
        <v>0.15</v>
      </c>
      <c r="H2098" s="13" t="inlineStr">
        <is>
          <t>Ice Age (ICE)</t>
        </is>
      </c>
      <c r="I2098" s="13" t="inlineStr">
        <is>
          <t>Não</t>
        </is>
      </c>
      <c r="J2098" s="13" t="n">
        <v>1995</v>
      </c>
      <c r="L2098" s="13" t="n">
        <v>1</v>
      </c>
      <c r="M2098" s="8">
        <f>L2098*G2098</f>
        <v/>
      </c>
      <c r="P2098" s="9" t="n"/>
    </row>
    <row r="2099">
      <c r="A2099" s="13" t="inlineStr">
        <is>
          <t>Naga Eternal / Eterna Naga</t>
        </is>
      </c>
      <c r="B2099" s="13" t="inlineStr">
        <is>
          <t>Creature — Zombie Snake / Criatura — Zumbi Naga</t>
        </is>
      </c>
      <c r="C2099" s="13" t="inlineStr">
        <is>
          <t>Common / Comum</t>
        </is>
      </c>
      <c r="E2099" s="13" t="inlineStr">
        <is>
          <t>{2}{U}</t>
        </is>
      </c>
      <c r="F2099" s="13" t="inlineStr">
        <is>
          <t>Azul</t>
        </is>
      </c>
      <c r="G2099" s="8" t="n">
        <v>0.02</v>
      </c>
      <c r="H2099" s="13" t="inlineStr">
        <is>
          <t>War of the Spark (WAR)</t>
        </is>
      </c>
      <c r="I2099" s="13" t="inlineStr">
        <is>
          <t>Não</t>
        </is>
      </c>
      <c r="J2099" s="13" t="n">
        <v>2019</v>
      </c>
      <c r="K2099" s="10" t="n">
        <v>46056</v>
      </c>
      <c r="L2099" s="13" t="n">
        <v>2</v>
      </c>
      <c r="M2099" s="8">
        <f>L2099*G2099</f>
        <v/>
      </c>
      <c r="P2099" s="9" t="n"/>
    </row>
    <row r="2100">
      <c r="A2100" s="13" t="inlineStr">
        <is>
          <t>Nahiri's Stoneblades / Litolâminas de Nahiri</t>
        </is>
      </c>
      <c r="B2100" s="13" t="inlineStr">
        <is>
          <t>Instant / Mágica Instantânea</t>
        </is>
      </c>
      <c r="C2100" s="13" t="inlineStr">
        <is>
          <t>Common / Comum</t>
        </is>
      </c>
      <c r="D2100" s="13" t="inlineStr">
        <is>
          <t>Up to two target creatures each get +2/+0 until end of turn. / Até duas criaturas alvo recebem +2/+0 cada uma até o final do turno.</t>
        </is>
      </c>
      <c r="E2100" s="13" t="inlineStr">
        <is>
          <t>{1}{R}</t>
        </is>
      </c>
      <c r="F2100" s="13" t="inlineStr">
        <is>
          <t>Vermelho</t>
        </is>
      </c>
      <c r="G2100" s="8" t="n">
        <v>0.03</v>
      </c>
      <c r="H2100" s="13" t="inlineStr">
        <is>
          <t>War of the Spark (WAR)</t>
        </is>
      </c>
      <c r="I2100" s="13" t="inlineStr">
        <is>
          <t>Não</t>
        </is>
      </c>
      <c r="J2100" s="13" t="n">
        <v>2019</v>
      </c>
      <c r="L2100" s="13" t="n">
        <v>1</v>
      </c>
      <c r="M2100" s="8">
        <f>L2100*G2100</f>
        <v/>
      </c>
      <c r="P2100" s="9" t="n"/>
    </row>
    <row r="2101">
      <c r="A2101" s="13" t="inlineStr">
        <is>
          <t>Namazu Trader / Comerciante Namazu</t>
        </is>
      </c>
      <c r="B2101" s="13" t="inlineStr">
        <is>
          <t>Criatura — Peixe Cidadão</t>
        </is>
      </c>
      <c r="C2101" s="13" t="inlineStr">
        <is>
          <t>Comum</t>
        </is>
      </c>
      <c r="D2101" s="13"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101" s="13" t="inlineStr">
        <is>
          <t>3{B}</t>
        </is>
      </c>
      <c r="F2101" s="13" t="inlineStr">
        <is>
          <t>Preto</t>
        </is>
      </c>
      <c r="G2101" s="8" t="n">
        <v>0.08</v>
      </c>
      <c r="H2101" s="13" t="inlineStr">
        <is>
          <t>Final Fantasy</t>
        </is>
      </c>
      <c r="I2101" s="13" t="inlineStr">
        <is>
          <t>Não</t>
        </is>
      </c>
      <c r="J2101" s="13" t="n">
        <v>2025</v>
      </c>
      <c r="K2101" s="10" t="n">
        <v>46115</v>
      </c>
      <c r="L2101" s="13" t="n">
        <v>10</v>
      </c>
      <c r="M2101" s="8">
        <f>L2101*G2101</f>
        <v/>
      </c>
      <c r="P2101" s="9" t="n"/>
    </row>
    <row r="2102">
      <c r="A2102" s="13" t="inlineStr">
        <is>
          <t>Namazu Trader / Comerciante Namazu</t>
        </is>
      </c>
      <c r="B2102" s="13" t="inlineStr">
        <is>
          <t>Criatura — Peixe Cidadão</t>
        </is>
      </c>
      <c r="C2102" s="13" t="inlineStr">
        <is>
          <t>Comum</t>
        </is>
      </c>
      <c r="D2102" s="13"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102" s="13" t="inlineStr">
        <is>
          <t>3{B}</t>
        </is>
      </c>
      <c r="F2102" s="13" t="inlineStr">
        <is>
          <t>Preto</t>
        </is>
      </c>
      <c r="G2102" s="8" t="n">
        <v>0.35</v>
      </c>
      <c r="H2102" s="13" t="inlineStr">
        <is>
          <t>Final Fantasy</t>
        </is>
      </c>
      <c r="I2102" s="13" t="inlineStr">
        <is>
          <t>Sim</t>
        </is>
      </c>
      <c r="J2102" s="13" t="n">
        <v>2025</v>
      </c>
      <c r="K2102" s="10" t="n">
        <v>46115</v>
      </c>
      <c r="L2102" s="13" t="n">
        <v>3</v>
      </c>
      <c r="M2102" s="8">
        <f>L2102*G2102</f>
        <v/>
      </c>
      <c r="P2102" s="9" t="n"/>
    </row>
    <row r="2103">
      <c r="A2103" s="13" t="inlineStr">
        <is>
          <t>Nanoform Sentinel / Sentinela Nanoforma</t>
        </is>
      </c>
      <c r="B2103" s="13" t="inlineStr">
        <is>
          <t>Criatura Artefato — Robô</t>
        </is>
      </c>
      <c r="C2103" s="13" t="inlineStr">
        <is>
          <t>Comum</t>
        </is>
      </c>
      <c r="D2103" s="13" t="inlineStr">
        <is>
          <t>Sempre que esta criatura torna-se virada, desvire outra permanente alvo. Esta habilidade é desencadeada apenas uma vez a cada turno.</t>
        </is>
      </c>
      <c r="E2103" s="13" t="inlineStr">
        <is>
          <t>2{U}</t>
        </is>
      </c>
      <c r="F2103" s="13" t="inlineStr">
        <is>
          <t>Azul</t>
        </is>
      </c>
      <c r="G2103" s="8" t="n">
        <v>0.06</v>
      </c>
      <c r="H2103" s="13" t="inlineStr">
        <is>
          <t>Edge of Eternity</t>
        </is>
      </c>
      <c r="I2103" s="13" t="inlineStr">
        <is>
          <t>Não</t>
        </is>
      </c>
      <c r="J2103" s="13" t="n">
        <v>2025</v>
      </c>
      <c r="K2103" s="10" t="n">
        <v>46056</v>
      </c>
      <c r="L2103" s="13" t="n">
        <v>1</v>
      </c>
      <c r="M2103" s="8">
        <f>L2103*G2103</f>
        <v/>
      </c>
      <c r="P2103" s="9" t="n"/>
    </row>
    <row r="2104">
      <c r="A2104" s="13" t="inlineStr">
        <is>
          <t>Natural End / Fim Natural</t>
        </is>
      </c>
      <c r="B2104" s="13" t="inlineStr">
        <is>
          <t>Instant / Mágica Instantânea</t>
        </is>
      </c>
      <c r="C2104" s="13" t="inlineStr">
        <is>
          <t>Common / Comum</t>
        </is>
      </c>
      <c r="D2104" s="13" t="inlineStr">
        <is>
          <t>Destroy target artifact or enchantment. You gain 3 life. / Destrua o artefato ou encantamento alvo. Você ganha 3 pontos de vida.</t>
        </is>
      </c>
      <c r="E2104" s="13" t="inlineStr">
        <is>
          <t>{2}{G}</t>
        </is>
      </c>
      <c r="F2104" s="13" t="inlineStr">
        <is>
          <t>Verde</t>
        </is>
      </c>
      <c r="G2104" s="8" t="n">
        <v>0.03</v>
      </c>
      <c r="H2104" s="13" t="inlineStr">
        <is>
          <t>Core Set 2020 (M20)</t>
        </is>
      </c>
      <c r="I2104" s="13" t="inlineStr">
        <is>
          <t>Não</t>
        </is>
      </c>
      <c r="J2104" s="13" t="n">
        <v>2019</v>
      </c>
      <c r="L2104" s="13" t="n">
        <v>5</v>
      </c>
      <c r="M2104" s="8">
        <f>L2104*G2104</f>
        <v/>
      </c>
      <c r="P2104" s="9" t="n"/>
    </row>
    <row r="2105">
      <c r="A2105" s="13" t="inlineStr">
        <is>
          <t>Nature's Chant / Canto da Natureza</t>
        </is>
      </c>
      <c r="B2105" s="13" t="inlineStr">
        <is>
          <t>Instant / Mágica Instantânea</t>
        </is>
      </c>
      <c r="C2105" s="13" t="inlineStr">
        <is>
          <t>Common / Comum</t>
        </is>
      </c>
      <c r="D2105" s="13" t="inlineStr">
        <is>
          <t>Destroy target artifact or enchantment. / Destrua o artefato ou encantamento alvo.</t>
        </is>
      </c>
      <c r="E2105" s="13" t="inlineStr">
        <is>
          <t>{1}{G/W}</t>
        </is>
      </c>
      <c r="F2105" s="13" t="inlineStr">
        <is>
          <t>Verde, Branco</t>
        </is>
      </c>
      <c r="G2105" s="8" t="n">
        <v>0.05</v>
      </c>
      <c r="H2105" s="13" t="inlineStr">
        <is>
          <t>Modern Horizons (MH1)</t>
        </is>
      </c>
      <c r="I2105" s="13" t="inlineStr">
        <is>
          <t>Não</t>
        </is>
      </c>
      <c r="J2105" s="13" t="n">
        <v>2019</v>
      </c>
      <c r="L2105" s="13" t="n">
        <v>4</v>
      </c>
      <c r="M2105" s="8">
        <f>L2105*G2105</f>
        <v/>
      </c>
      <c r="P2105" s="9" t="n"/>
    </row>
    <row r="2106">
      <c r="A2106" s="13" t="inlineStr">
        <is>
          <t>Nature's Claim / Reivindicação de Natureza</t>
        </is>
      </c>
      <c r="B2106" s="13" t="inlineStr">
        <is>
          <t>Instant / Mágica Instantânea</t>
        </is>
      </c>
      <c r="C2106" s="13" t="inlineStr">
        <is>
          <t>Common / Comum</t>
        </is>
      </c>
      <c r="D2106" s="13" t="inlineStr">
        <is>
          <t>Destroy target artifact or enchantment. Its controller gains 4 life. / Destrua o artefato ou encantamento alvo. O controlador dele ganha 4 pontos de vida.</t>
        </is>
      </c>
      <c r="E2106" s="13" t="inlineStr">
        <is>
          <t>{G}</t>
        </is>
      </c>
      <c r="F2106" s="13" t="inlineStr">
        <is>
          <t>Verde</t>
        </is>
      </c>
      <c r="G2106" s="8" t="n">
        <v>0.04</v>
      </c>
      <c r="H2106" s="13" t="inlineStr">
        <is>
          <t>Modern Masters 2017 (MM3)</t>
        </is>
      </c>
      <c r="I2106" s="13" t="inlineStr">
        <is>
          <t>Não</t>
        </is>
      </c>
      <c r="J2106" s="13" t="n">
        <v>2017</v>
      </c>
      <c r="K2106" s="13" t="inlineStr">
        <is>
          <t>-</t>
        </is>
      </c>
      <c r="L2106" s="13" t="n">
        <v>2</v>
      </c>
      <c r="M2106" s="8">
        <f>L2106*G2106</f>
        <v/>
      </c>
      <c r="P2106" s="9" t="n"/>
    </row>
    <row r="2107">
      <c r="A2107" s="13" t="inlineStr">
        <is>
          <t>Nature's Panoply / Panóplia da Natureza</t>
        </is>
      </c>
      <c r="B2107" s="13" t="inlineStr">
        <is>
          <t>Mágica Instantânea</t>
        </is>
      </c>
      <c r="C2107" s="13" t="inlineStr">
        <is>
          <t>Comum</t>
        </is>
      </c>
      <c r="D2107" s="13" t="inlineStr">
        <is>
          <t>Esforço — Panóplia da Natureza custa 2G a mais para ser conjurado para cada alvo além do primeiro. Escolha qualquer número de criaturas alvo. Coloque um marcador +1/+1 em cada uma delas.</t>
        </is>
      </c>
      <c r="E2107" s="13" t="inlineStr">
        <is>
          <t>G</t>
        </is>
      </c>
      <c r="F2107" s="13" t="inlineStr">
        <is>
          <t>Verde</t>
        </is>
      </c>
      <c r="G2107" s="8" t="n">
        <v>0.03</v>
      </c>
      <c r="H2107" s="13" t="inlineStr">
        <is>
          <t>Journey into Nyx</t>
        </is>
      </c>
      <c r="I2107" s="13" t="inlineStr">
        <is>
          <t>Não</t>
        </is>
      </c>
      <c r="J2107" s="13" t="n">
        <v>2014</v>
      </c>
      <c r="L2107" s="13" t="n">
        <v>7</v>
      </c>
      <c r="M2107" s="8">
        <f>L2107*G2107</f>
        <v/>
      </c>
      <c r="P2107" s="9" t="n"/>
    </row>
    <row r="2108">
      <c r="A2108" s="13" t="inlineStr">
        <is>
          <t>Nav Squad Commandos / Comandos do Esquadrão de Navegação</t>
        </is>
      </c>
      <c r="B2108" s="13" t="inlineStr">
        <is>
          <t>Creature — Human Soldier / Criatura — Humano Soldado</t>
        </is>
      </c>
      <c r="C2108" s="13" t="inlineStr">
        <is>
          <t>Common / Comum</t>
        </is>
      </c>
      <c r="D2108" s="13"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2108" s="13" t="inlineStr">
        <is>
          <t>{4}{W}</t>
        </is>
      </c>
      <c r="F2108" s="13" t="inlineStr">
        <is>
          <t>Branco</t>
        </is>
      </c>
      <c r="G2108" s="8" t="n">
        <v>0.05</v>
      </c>
      <c r="H2108" s="13" t="inlineStr">
        <is>
          <t>Gatecrash (GTC)</t>
        </is>
      </c>
      <c r="I2108" s="13" t="inlineStr">
        <is>
          <t>Não</t>
        </is>
      </c>
      <c r="J2108" s="13" t="n">
        <v>2013</v>
      </c>
      <c r="K2108" s="10" t="n">
        <v>46145</v>
      </c>
      <c r="L2108" s="13" t="n">
        <v>1</v>
      </c>
      <c r="M2108" s="8">
        <f>L2108*G2108</f>
        <v/>
      </c>
      <c r="P2108" s="9" t="n"/>
    </row>
    <row r="2109">
      <c r="A2109" s="13" t="inlineStr">
        <is>
          <t>Naya Charm / Medalhão de Naya</t>
        </is>
      </c>
      <c r="B2109" s="13" t="inlineStr">
        <is>
          <t>Instant / Mágica Instantânea</t>
        </is>
      </c>
      <c r="C2109" s="13" t="inlineStr">
        <is>
          <t>Uncommon / Incomum</t>
        </is>
      </c>
      <c r="D2109" s="13"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2109" s="13" t="inlineStr">
        <is>
          <t>{R}{G}{W}</t>
        </is>
      </c>
      <c r="F2109" s="13" t="inlineStr">
        <is>
          <t>Verde, Vermelho, Branco</t>
        </is>
      </c>
      <c r="G2109" s="8" t="n">
        <v>0.25</v>
      </c>
      <c r="H2109" s="13" t="inlineStr">
        <is>
          <t>Shards of Alara (ALA)</t>
        </is>
      </c>
      <c r="I2109" s="13" t="inlineStr">
        <is>
          <t>Não</t>
        </is>
      </c>
      <c r="J2109" s="13" t="n">
        <v>2008</v>
      </c>
      <c r="L2109" s="13" t="n">
        <v>4</v>
      </c>
      <c r="M2109" s="8">
        <f>L2109*G2109</f>
        <v/>
      </c>
      <c r="P2109" s="9" t="n"/>
    </row>
    <row r="2110">
      <c r="A2110" s="13" t="inlineStr">
        <is>
          <t>Naya Hushblade / Lâmina Silenciosa de Naya</t>
        </is>
      </c>
      <c r="B2110" s="13" t="inlineStr">
        <is>
          <t>Creature — Elf Rogue / Criatura — Elfo Ladino</t>
        </is>
      </c>
      <c r="C2110" s="13" t="inlineStr">
        <is>
          <t>Common / Comum</t>
        </is>
      </c>
      <c r="D2110" s="13"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2110" s="13" t="inlineStr">
        <is>
          <t>{R/W}{G}</t>
        </is>
      </c>
      <c r="F2110" s="13" t="inlineStr">
        <is>
          <t>Verde, Vermelho, Branco</t>
        </is>
      </c>
      <c r="G2110" s="8" t="n">
        <v>0.15</v>
      </c>
      <c r="H2110" s="13" t="inlineStr">
        <is>
          <t>Alara Reborn (ARB)</t>
        </is>
      </c>
      <c r="I2110" s="13" t="inlineStr">
        <is>
          <t>Não</t>
        </is>
      </c>
      <c r="J2110" s="13" t="n">
        <v>2009</v>
      </c>
      <c r="K2110" s="10" t="n">
        <v>46024</v>
      </c>
      <c r="L2110" s="13" t="n">
        <v>2</v>
      </c>
      <c r="M2110" s="8">
        <f>L2110*G2110</f>
        <v/>
      </c>
      <c r="P2110" s="9" t="n"/>
    </row>
    <row r="2111">
      <c r="A2111" s="13" t="inlineStr">
        <is>
          <t>Nebelgast Beguiler / Ludibriadora do Nebelgast</t>
        </is>
      </c>
      <c r="B2111" s="13" t="inlineStr">
        <is>
          <t>Creature — Spirit / Criatura — Espírito</t>
        </is>
      </c>
      <c r="C2111" s="13" t="inlineStr">
        <is>
          <t>Common / Comum</t>
        </is>
      </c>
      <c r="D2111" s="13" t="inlineStr">
        <is>
          <t>{W}, {T}: Tap target creature. / {W}, {T}: Vire a criatura alvo.</t>
        </is>
      </c>
      <c r="E2111" s="13" t="inlineStr">
        <is>
          <t>{4}{W}</t>
        </is>
      </c>
      <c r="F2111" s="13" t="inlineStr">
        <is>
          <t>Branco</t>
        </is>
      </c>
      <c r="G2111" s="8" t="n">
        <v>0.06</v>
      </c>
      <c r="H2111" s="13" t="inlineStr">
        <is>
          <t>Innistrad: Crimson Vow (VOW)</t>
        </is>
      </c>
      <c r="I2111" s="13" t="inlineStr">
        <is>
          <t>Não</t>
        </is>
      </c>
      <c r="J2111" s="13" t="n">
        <v>2021</v>
      </c>
      <c r="K2111" s="10" t="n">
        <v>46144</v>
      </c>
      <c r="L2111" s="13" t="n">
        <v>2</v>
      </c>
      <c r="M2111" s="8">
        <f>L2111*G2111</f>
        <v/>
      </c>
      <c r="P2111" s="9" t="n"/>
    </row>
    <row r="2112">
      <c r="A2112" s="13" t="inlineStr">
        <is>
          <t>Needletooth Pack</t>
        </is>
      </c>
      <c r="B2112" s="13" t="inlineStr">
        <is>
          <t>Creature — Dinosaur</t>
        </is>
      </c>
      <c r="C2112" s="13" t="inlineStr">
        <is>
          <t>Uncommon / Incomum</t>
        </is>
      </c>
      <c r="D2112" s="13" t="inlineStr">
        <is>
          <t>Morbid — At the beginning of your end step, if a creature died this turn, put two +1/+1 counters on target creature you control.</t>
        </is>
      </c>
      <c r="E2112" s="13" t="inlineStr">
        <is>
          <t>{3}{G}{G}</t>
        </is>
      </c>
      <c r="F2112" s="13" t="inlineStr">
        <is>
          <t>Verde</t>
        </is>
      </c>
      <c r="G2112" s="8" t="n">
        <v>0.12</v>
      </c>
      <c r="H2112" s="13" t="inlineStr">
        <is>
          <t>Foundations (FDN)</t>
        </is>
      </c>
      <c r="I2112" s="13" t="inlineStr">
        <is>
          <t>Não</t>
        </is>
      </c>
      <c r="J2112" s="13" t="n">
        <v>2024</v>
      </c>
      <c r="K2112" s="10" t="n">
        <v>46146</v>
      </c>
      <c r="L2112" s="13" t="n">
        <v>2</v>
      </c>
      <c r="M2112" s="8">
        <f>L2112*G2112</f>
        <v/>
      </c>
      <c r="P2112" s="9" t="n"/>
    </row>
    <row r="2113">
      <c r="A2113" s="13" t="inlineStr">
        <is>
          <t>Negate / Negar</t>
        </is>
      </c>
      <c r="B2113" s="13" t="inlineStr">
        <is>
          <t>Instant / Mágica Instantânea</t>
        </is>
      </c>
      <c r="C2113" s="13" t="inlineStr">
        <is>
          <t>Common / Comum</t>
        </is>
      </c>
      <c r="D2113" s="13" t="inlineStr">
        <is>
          <t>Counter target noncreature spell. / Anule a mágica alvo que não seja de criatura.</t>
        </is>
      </c>
      <c r="E2113" s="13" t="inlineStr">
        <is>
          <t>{1}{U}</t>
        </is>
      </c>
      <c r="F2113" s="13" t="inlineStr">
        <is>
          <t>Azul</t>
        </is>
      </c>
      <c r="G2113" s="8" t="n">
        <v>0.05</v>
      </c>
      <c r="H2113" s="13" t="inlineStr">
        <is>
          <t>Teenage Mutant Ninja Turtles (TMT)</t>
        </is>
      </c>
      <c r="I2113" s="13" t="inlineStr">
        <is>
          <t>Não</t>
        </is>
      </c>
      <c r="J2113" s="13" t="n">
        <v>2026</v>
      </c>
      <c r="L2113" s="13" t="n">
        <v>2</v>
      </c>
      <c r="M2113" s="8">
        <f>L2113*G2113</f>
        <v/>
      </c>
      <c r="P2113" s="9" t="n"/>
    </row>
    <row r="2114">
      <c r="A2114" s="13" t="inlineStr">
        <is>
          <t>Nemata, Grove Guardian / Nemata, A Guardiã do Bosque</t>
        </is>
      </c>
      <c r="B2114" s="13" t="inlineStr">
        <is>
          <t>Legendary Creature — Treefolk / Criatura Lendária — Ent</t>
        </is>
      </c>
      <c r="C2114" s="13" t="inlineStr">
        <is>
          <t>Uncommon / Incomum</t>
        </is>
      </c>
      <c r="D2114" s="13" t="inlineStr">
        <is>
          <t>{2}{G}: Create a 1/1 green Saproling creature token. Sacrifice a Saproling: Saproling creatures get +1/+1 until end of turn. / {2}{G}: Crie uma ficha de criatura Saprófita verde 1/1. Sacrifique uma Saprófita: As criaturas Saprófitas recebem +1/+1 até o final do turno.</t>
        </is>
      </c>
      <c r="E2114" s="13" t="inlineStr">
        <is>
          <t>{4}{G}{G}</t>
        </is>
      </c>
      <c r="F2114" s="13" t="inlineStr">
        <is>
          <t>Verde</t>
        </is>
      </c>
      <c r="G2114" s="8" t="n">
        <v>0.5</v>
      </c>
      <c r="H2114" s="13" t="inlineStr">
        <is>
          <t>Commander Masters (CMM)</t>
        </is>
      </c>
      <c r="I2114" s="13" t="inlineStr">
        <is>
          <t>Não</t>
        </is>
      </c>
      <c r="J2114" s="13" t="n">
        <v>2023</v>
      </c>
      <c r="K2114" s="10" t="n">
        <v>46146</v>
      </c>
      <c r="L2114" s="13" t="n">
        <v>1</v>
      </c>
      <c r="M2114" s="8">
        <f>L2114*G2114</f>
        <v/>
      </c>
      <c r="P2114" s="9" t="n"/>
    </row>
    <row r="2115">
      <c r="A2115" s="13" t="inlineStr">
        <is>
          <t>Nephalia Seakite / Gavião Marinho de Nefália</t>
        </is>
      </c>
      <c r="B2115" s="13" t="inlineStr">
        <is>
          <t>Creature — Bird / Criatura — Ave</t>
        </is>
      </c>
      <c r="C2115" s="13" t="inlineStr">
        <is>
          <t>Common / Comum</t>
        </is>
      </c>
      <c r="D2115" s="13" t="inlineStr">
        <is>
          <t>Flash (You may cast this spell any time you could cast an instant.) Flying / Lampejo (Você poderá conjurar esta mágica a qualquer momento em que puder conjurar uma mágica instantânea.)Voar</t>
        </is>
      </c>
      <c r="E2115" s="13" t="inlineStr">
        <is>
          <t>{3}{U}</t>
        </is>
      </c>
      <c r="F2115" s="13" t="inlineStr">
        <is>
          <t>Azul</t>
        </is>
      </c>
      <c r="G2115" s="8" t="n">
        <v>0.05</v>
      </c>
      <c r="H2115" s="13" t="inlineStr">
        <is>
          <t>Dark Ascension (DKA)</t>
        </is>
      </c>
      <c r="I2115" s="13" t="inlineStr">
        <is>
          <t>Não</t>
        </is>
      </c>
      <c r="J2115" s="13" t="n">
        <v>2012</v>
      </c>
      <c r="K2115" s="10" t="n">
        <v>46083</v>
      </c>
      <c r="L2115" s="13" t="n">
        <v>1</v>
      </c>
      <c r="M2115" s="8">
        <f>L2115*G2115</f>
        <v/>
      </c>
      <c r="P2115" s="9" t="n"/>
    </row>
    <row r="2116">
      <c r="A2116" s="13" t="inlineStr">
        <is>
          <t>Nessian Hornbeetle / Serra-pau Nessiano</t>
        </is>
      </c>
      <c r="B2116" s="13" t="inlineStr">
        <is>
          <t>Creature — Insect / Criatura — Inseto</t>
        </is>
      </c>
      <c r="C2116" s="13" t="inlineStr">
        <is>
          <t>Uncommon / Incomum</t>
        </is>
      </c>
      <c r="D2116" s="13"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2116" s="13" t="inlineStr">
        <is>
          <t>{1}{G}</t>
        </is>
      </c>
      <c r="F2116" s="13" t="inlineStr">
        <is>
          <t>Verde</t>
        </is>
      </c>
      <c r="G2116" s="8" t="n">
        <v>0.09</v>
      </c>
      <c r="H2116" s="13" t="inlineStr">
        <is>
          <t>Foundations (FDN)</t>
        </is>
      </c>
      <c r="I2116" s="13" t="inlineStr">
        <is>
          <t>Não</t>
        </is>
      </c>
      <c r="J2116" s="13" t="n">
        <v>2024</v>
      </c>
      <c r="K2116" s="10" t="n">
        <v>46055</v>
      </c>
      <c r="L2116" s="13" t="n">
        <v>1</v>
      </c>
      <c r="M2116" s="8">
        <f>L2116*G2116</f>
        <v/>
      </c>
      <c r="P2116" s="9" t="n"/>
    </row>
    <row r="2117">
      <c r="A2117" s="13" t="inlineStr">
        <is>
          <t>Nest Invader / Invasor do Ninho</t>
        </is>
      </c>
      <c r="B2117" s="13" t="inlineStr">
        <is>
          <t>Creature — Eldrazi Drone / Criatura — Zangão Eldrazi</t>
        </is>
      </c>
      <c r="C2117" s="13" t="inlineStr">
        <is>
          <t>Common / Comum</t>
        </is>
      </c>
      <c r="D2117" s="13"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2117" s="13" t="inlineStr">
        <is>
          <t>{1}{G}</t>
        </is>
      </c>
      <c r="F2117" s="13" t="inlineStr">
        <is>
          <t>Verde</t>
        </is>
      </c>
      <c r="G2117" s="8" t="n">
        <v>0.75</v>
      </c>
      <c r="H2117" s="13" t="inlineStr">
        <is>
          <t>Modern Masters 2015 (MM2)</t>
        </is>
      </c>
      <c r="I2117" s="13" t="inlineStr">
        <is>
          <t>Não</t>
        </is>
      </c>
      <c r="J2117" s="13" t="n">
        <v>2015</v>
      </c>
      <c r="K2117" s="10" t="n">
        <v>46055</v>
      </c>
      <c r="L2117" s="13" t="n">
        <v>2</v>
      </c>
      <c r="M2117" s="8">
        <f>L2117*G2117</f>
        <v/>
      </c>
      <c r="P2117" s="9" t="n"/>
    </row>
    <row r="2118">
      <c r="A2118" s="13" t="inlineStr">
        <is>
          <t>Nest Invader / Invasor do Ninho</t>
        </is>
      </c>
      <c r="B2118" s="13" t="inlineStr">
        <is>
          <t>Creature — Eldrazi Drone / Criatura — Zangão Eldrazi</t>
        </is>
      </c>
      <c r="C2118" s="13" t="inlineStr">
        <is>
          <t>Common / Comum</t>
        </is>
      </c>
      <c r="D2118" s="13"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2118" s="13" t="inlineStr">
        <is>
          <t>{1}{G}</t>
        </is>
      </c>
      <c r="F2118" s="13" t="inlineStr">
        <is>
          <t>Verde</t>
        </is>
      </c>
      <c r="G2118" s="8" t="n">
        <v>1.95</v>
      </c>
      <c r="H2118" s="13" t="inlineStr">
        <is>
          <t>Planechase Anthology (PCA)</t>
        </is>
      </c>
      <c r="I2118" s="13" t="inlineStr">
        <is>
          <t>Não</t>
        </is>
      </c>
      <c r="J2118" s="13" t="n">
        <v>2016</v>
      </c>
      <c r="K2118" s="10" t="n">
        <v>46055</v>
      </c>
      <c r="L2118" s="13" t="n">
        <v>1</v>
      </c>
      <c r="M2118" s="8">
        <f>L2118*G2118</f>
        <v/>
      </c>
      <c r="P2118" s="9" t="n"/>
    </row>
    <row r="2119">
      <c r="A2119" s="13" t="inlineStr">
        <is>
          <t>Netcaster Spider / Aranha Lançadora de Rede</t>
        </is>
      </c>
      <c r="B2119" s="13" t="inlineStr">
        <is>
          <t>Creature — Spider / Criatura — Aranha</t>
        </is>
      </c>
      <c r="C2119" s="13" t="inlineStr">
        <is>
          <t>Common / Comum</t>
        </is>
      </c>
      <c r="D2119" s="13"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2119" s="13" t="inlineStr">
        <is>
          <t>{2}{G}</t>
        </is>
      </c>
      <c r="F2119" s="13" t="inlineStr">
        <is>
          <t>Verde</t>
        </is>
      </c>
      <c r="G2119" s="8" t="n">
        <v>0.03</v>
      </c>
      <c r="H2119" s="13" t="inlineStr">
        <is>
          <t>Core Set 2020 (M20)</t>
        </is>
      </c>
      <c r="I2119" s="13" t="inlineStr">
        <is>
          <t>Não</t>
        </is>
      </c>
      <c r="J2119" s="13" t="n">
        <v>2019</v>
      </c>
      <c r="K2119" s="10" t="n">
        <v>46083</v>
      </c>
      <c r="L2119" s="13" t="n">
        <v>1</v>
      </c>
      <c r="M2119" s="8">
        <f>L2119*G2119</f>
        <v/>
      </c>
      <c r="P2119" s="9" t="n"/>
    </row>
    <row r="2120">
      <c r="A2120" s="13" t="inlineStr">
        <is>
          <t>Nettling Imp</t>
        </is>
      </c>
      <c r="B2120" s="13" t="inlineStr">
        <is>
          <t>Creature — Imp</t>
        </is>
      </c>
      <c r="C2120" s="13" t="inlineStr">
        <is>
          <t>Uncommon / Incomum</t>
        </is>
      </c>
      <c r="D2120" s="13"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120" s="13" t="inlineStr">
        <is>
          <t>{2}{B}</t>
        </is>
      </c>
      <c r="F2120" s="13" t="inlineStr">
        <is>
          <t>Preto</t>
        </is>
      </c>
      <c r="G2120" s="8" t="n">
        <v>0.84</v>
      </c>
      <c r="H2120" s="13" t="inlineStr">
        <is>
          <t>Revised Edition</t>
        </is>
      </c>
      <c r="I2120" s="13" t="inlineStr">
        <is>
          <t>Não</t>
        </is>
      </c>
      <c r="J2120" s="13" t="n">
        <v>1994</v>
      </c>
      <c r="K2120" s="10" t="n">
        <v>46023</v>
      </c>
      <c r="L2120" s="13" t="n">
        <v>1</v>
      </c>
      <c r="M2120" s="8">
        <f>L2120*G2120</f>
        <v/>
      </c>
      <c r="P2120" s="9" t="n"/>
    </row>
    <row r="2121">
      <c r="A2121" s="13" t="inlineStr">
        <is>
          <t>New Generation's Technique</t>
        </is>
      </c>
      <c r="B2121" s="13" t="inlineStr">
        <is>
          <t>Sorcery</t>
        </is>
      </c>
      <c r="C2121" s="13" t="inlineStr">
        <is>
          <t>Uncommon / Incomum</t>
        </is>
      </c>
      <c r="D2121" s="13" t="inlineStr">
        <is>
          <t>Sneak {2}{G} (You may cast this spell for {2}{G} if you also return an unblocked attacker you control to hand during the declare blockers step.) Search your library for up to two basic land cards, put them onto the battlefield tapped, then shuffle.</t>
        </is>
      </c>
      <c r="E2121" s="13" t="inlineStr">
        <is>
          <t>{3}{G}</t>
        </is>
      </c>
      <c r="F2121" s="13" t="inlineStr">
        <is>
          <t>Verde</t>
        </is>
      </c>
      <c r="G2121" s="8" t="n">
        <v>0.23</v>
      </c>
      <c r="H2121" s="13" t="inlineStr">
        <is>
          <t>Teenage Mutant Ninja Turtles (TMT)</t>
        </is>
      </c>
      <c r="I2121" s="13" t="inlineStr">
        <is>
          <t>Não</t>
        </is>
      </c>
      <c r="J2121" s="13" t="n">
        <v>2026</v>
      </c>
      <c r="L2121" s="13" t="n">
        <v>1</v>
      </c>
      <c r="M2121" s="8">
        <f>L2121*G2121</f>
        <v/>
      </c>
      <c r="P2121" s="9" t="n"/>
    </row>
    <row r="2122">
      <c r="A2122" s="13" t="inlineStr">
        <is>
          <t>New Horizons / Novos Horizontes</t>
        </is>
      </c>
      <c r="B2122" s="13" t="inlineStr">
        <is>
          <t>Enchantment — Aura / Encantamento — Aura</t>
        </is>
      </c>
      <c r="C2122" s="13" t="inlineStr">
        <is>
          <t>Common / Comum</t>
        </is>
      </c>
      <c r="D2122" s="13"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2122" s="13" t="inlineStr">
        <is>
          <t>{2}{G}</t>
        </is>
      </c>
      <c r="F2122" s="13" t="inlineStr">
        <is>
          <t>Verde</t>
        </is>
      </c>
      <c r="G2122" s="8" t="n">
        <v>0.03</v>
      </c>
      <c r="H2122" s="13" t="inlineStr">
        <is>
          <t>War of the Spark (WAR)</t>
        </is>
      </c>
      <c r="I2122" s="13" t="inlineStr">
        <is>
          <t>Não</t>
        </is>
      </c>
      <c r="J2122" s="13" t="n">
        <v>2019</v>
      </c>
      <c r="L2122" s="13" t="n">
        <v>1</v>
      </c>
      <c r="M2122" s="8">
        <f>L2122*G2122</f>
        <v/>
      </c>
      <c r="P2122" s="9" t="n"/>
    </row>
    <row r="2123">
      <c r="A2123" s="13" t="inlineStr">
        <is>
          <t>New Perspectives / Novas Perspectivas</t>
        </is>
      </c>
      <c r="B2123" s="13" t="inlineStr">
        <is>
          <t>Enchantment / Encantamento</t>
        </is>
      </c>
      <c r="C2123" s="13" t="inlineStr">
        <is>
          <t>Rare / Rara</t>
        </is>
      </c>
      <c r="D2123" s="13"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2123" s="13" t="inlineStr">
        <is>
          <t>{5}{U}</t>
        </is>
      </c>
      <c r="F2123" s="13" t="inlineStr">
        <is>
          <t>Azul</t>
        </is>
      </c>
      <c r="G2123" s="8" t="n">
        <v>0.24</v>
      </c>
      <c r="H2123" s="13" t="inlineStr">
        <is>
          <t>Amonkhet (AKH)</t>
        </is>
      </c>
      <c r="I2123" s="13" t="inlineStr">
        <is>
          <t>Não</t>
        </is>
      </c>
      <c r="J2123" s="13" t="n">
        <v>2017</v>
      </c>
      <c r="L2123" s="13" t="n">
        <v>2</v>
      </c>
      <c r="M2123" s="8">
        <f>L2123*G2123</f>
        <v/>
      </c>
      <c r="P2123" s="9" t="n"/>
    </row>
    <row r="2124">
      <c r="A2124" s="13" t="inlineStr">
        <is>
          <t>Nezumi Bladeblesser / Benze-espada Nezumi</t>
        </is>
      </c>
      <c r="B2124" s="13" t="inlineStr">
        <is>
          <t>Creature — Rat Samurai / Criatura — Rato Samurai</t>
        </is>
      </c>
      <c r="C2124" s="13" t="inlineStr">
        <is>
          <t>Common / Comum</t>
        </is>
      </c>
      <c r="D2124" s="13"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2124" s="13" t="inlineStr">
        <is>
          <t>{2}{B}</t>
        </is>
      </c>
      <c r="F2124" s="13" t="inlineStr">
        <is>
          <t>Preto</t>
        </is>
      </c>
      <c r="G2124" s="8" t="n">
        <v>0.06</v>
      </c>
      <c r="H2124" s="13" t="inlineStr">
        <is>
          <t>Kamigawa: Neon Dynasty (NEO)</t>
        </is>
      </c>
      <c r="I2124" s="13" t="inlineStr">
        <is>
          <t>Não</t>
        </is>
      </c>
      <c r="J2124" s="13" t="n">
        <v>2022</v>
      </c>
      <c r="K2124" s="10" t="n">
        <v>46056</v>
      </c>
      <c r="L2124" s="13" t="n">
        <v>1</v>
      </c>
      <c r="M2124" s="8">
        <f>L2124*G2124</f>
        <v/>
      </c>
      <c r="P2124" s="9" t="n"/>
    </row>
    <row r="2125">
      <c r="A2125" s="13" t="inlineStr">
        <is>
          <t>Night Market</t>
        </is>
      </c>
      <c r="B2125" s="13" t="inlineStr">
        <is>
          <t>Land</t>
        </is>
      </c>
      <c r="C2125" s="13" t="inlineStr">
        <is>
          <t>Common / Comum</t>
        </is>
      </c>
      <c r="D2125" s="13" t="inlineStr">
        <is>
          <t>This land enters tapped. As it enters, choose a color. {T}: Add one mana of the chosen color. Cycling {3} ({3}, Discard this card: Draw a card.)</t>
        </is>
      </c>
      <c r="F2125" s="13" t="inlineStr">
        <is>
          <t>Incolor</t>
        </is>
      </c>
      <c r="G2125" s="8" t="n">
        <v>0.15</v>
      </c>
      <c r="H2125" s="13" t="inlineStr">
        <is>
          <t>Aetherdrift (DFT)</t>
        </is>
      </c>
      <c r="I2125" s="13" t="inlineStr">
        <is>
          <t>Não</t>
        </is>
      </c>
      <c r="J2125" s="13" t="n">
        <v>2025</v>
      </c>
      <c r="L2125" s="13" t="n">
        <v>1</v>
      </c>
      <c r="M2125" s="8">
        <f>L2125*G2125</f>
        <v/>
      </c>
      <c r="P2125" s="9" t="n"/>
    </row>
    <row r="2126">
      <c r="A2126" s="13" t="inlineStr">
        <is>
          <t>Night Market Aeronaut / Aeronauta do Mercado Noturno</t>
        </is>
      </c>
      <c r="B2126" s="13" t="inlineStr">
        <is>
          <t>Creature — Aetherborn Warrior / Criatura — Etergênito Guerreiro</t>
        </is>
      </c>
      <c r="C2126" s="13" t="inlineStr">
        <is>
          <t>Common / Comum</t>
        </is>
      </c>
      <c r="D2126" s="13"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126" s="13" t="inlineStr">
        <is>
          <t>{3}{B}</t>
        </is>
      </c>
      <c r="F2126" s="13" t="inlineStr">
        <is>
          <t>Preto</t>
        </is>
      </c>
      <c r="G2126" s="8" t="n">
        <v>0.03</v>
      </c>
      <c r="H2126" s="13" t="inlineStr">
        <is>
          <t>Aether Revolt (AER)</t>
        </is>
      </c>
      <c r="I2126" s="13" t="inlineStr">
        <is>
          <t>Não</t>
        </is>
      </c>
      <c r="J2126" s="13" t="n">
        <v>2017</v>
      </c>
      <c r="K2126" s="10" t="n">
        <v>46055</v>
      </c>
      <c r="L2126" s="13" t="n">
        <v>1</v>
      </c>
      <c r="M2126" s="8">
        <f>L2126*G2126</f>
        <v/>
      </c>
      <c r="P2126" s="9" t="n"/>
    </row>
    <row r="2127">
      <c r="A2127" s="13" t="inlineStr">
        <is>
          <t>Night of the Sweets' Revenge / Noite da Vingança dos Doces</t>
        </is>
      </c>
      <c r="B2127" s="13" t="inlineStr">
        <is>
          <t>Enchantment / Encantamento</t>
        </is>
      </c>
      <c r="C2127" s="13" t="inlineStr">
        <is>
          <t>Uncommon / Incomum</t>
        </is>
      </c>
      <c r="D2127" s="13"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2127" s="13" t="inlineStr">
        <is>
          <t>{3}{G}</t>
        </is>
      </c>
      <c r="F2127" s="13" t="inlineStr">
        <is>
          <t>Verde</t>
        </is>
      </c>
      <c r="G2127" s="8" t="n">
        <v>0.23</v>
      </c>
      <c r="H2127" s="13" t="inlineStr">
        <is>
          <t>Wilds of Eldraine (WOE)</t>
        </is>
      </c>
      <c r="I2127" s="13" t="inlineStr">
        <is>
          <t>Não</t>
        </is>
      </c>
      <c r="J2127" s="13" t="n">
        <v>2023</v>
      </c>
      <c r="L2127" s="13" t="n">
        <v>2</v>
      </c>
      <c r="M2127" s="8">
        <f>L2127*G2127</f>
        <v/>
      </c>
      <c r="P2127" s="9" t="n"/>
    </row>
    <row r="2128">
      <c r="A2128" s="13" t="inlineStr">
        <is>
          <t>Nightmare / Pesadelo</t>
        </is>
      </c>
      <c r="B2128" s="13" t="inlineStr">
        <is>
          <t>Creature — Nightmare Horse / Criatura — Pesadelo Cavalo</t>
        </is>
      </c>
      <c r="C2128" s="13" t="inlineStr">
        <is>
          <t>Rare / Rara</t>
        </is>
      </c>
      <c r="D2128" s="13"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128" s="13" t="inlineStr">
        <is>
          <t>{5}{B}</t>
        </is>
      </c>
      <c r="F2128" s="13" t="inlineStr">
        <is>
          <t>Preto</t>
        </is>
      </c>
      <c r="G2128" s="8" t="n">
        <v>1</v>
      </c>
      <c r="H2128" s="13" t="inlineStr">
        <is>
          <t>Fourth Edition (4ED)</t>
        </is>
      </c>
      <c r="I2128" s="13" t="inlineStr">
        <is>
          <t>Não</t>
        </is>
      </c>
      <c r="J2128" s="13" t="n">
        <v>1995</v>
      </c>
      <c r="K2128" s="13" t="inlineStr">
        <is>
          <t>*/*</t>
        </is>
      </c>
      <c r="L2128" s="13" t="n">
        <v>1</v>
      </c>
      <c r="M2128" s="8">
        <f>L2128*G2128</f>
        <v/>
      </c>
      <c r="P2128" s="9" t="n"/>
    </row>
    <row r="2129">
      <c r="A2129" s="13" t="inlineStr">
        <is>
          <t>Nightmarish End / Fim Aterrador</t>
        </is>
      </c>
      <c r="B2129" s="13" t="inlineStr">
        <is>
          <t>Instant / Mágica Instantânea</t>
        </is>
      </c>
      <c r="C2129" s="13" t="inlineStr">
        <is>
          <t>Uncommon / Incomum</t>
        </is>
      </c>
      <c r="D2129" s="13" t="inlineStr">
        <is>
          <t>Target creature gets -X/-X until end of turn, where X is the number of cards in your hand. / A criatura alvo recebe -X/-X até o final do turno, sendo X o número de cards na sua mão.</t>
        </is>
      </c>
      <c r="E2129" s="13" t="inlineStr">
        <is>
          <t>{2}{B}</t>
        </is>
      </c>
      <c r="F2129" s="13" t="inlineStr">
        <is>
          <t>Preto</t>
        </is>
      </c>
      <c r="G2129" s="8" t="n">
        <v>0.05</v>
      </c>
      <c r="H2129" s="13" t="inlineStr">
        <is>
          <t>Journey into Nyx (JOU)</t>
        </is>
      </c>
      <c r="I2129" s="13" t="inlineStr">
        <is>
          <t>Não</t>
        </is>
      </c>
      <c r="J2129" s="13" t="n">
        <v>2014</v>
      </c>
      <c r="L2129" s="13" t="n">
        <v>2</v>
      </c>
      <c r="M2129" s="8">
        <f>L2129*G2129</f>
        <v/>
      </c>
      <c r="P2129" s="9" t="n"/>
    </row>
    <row r="2130">
      <c r="A2130" s="13" t="inlineStr">
        <is>
          <t>Nimble Hobbit / Hobbit Ágil</t>
        </is>
      </c>
      <c r="B2130" s="13" t="inlineStr">
        <is>
          <t>Creature — Halfling Peasant / Criatura — Pequenino Plebeu</t>
        </is>
      </c>
      <c r="C2130" s="13" t="inlineStr">
        <is>
          <t>Common / Comum</t>
        </is>
      </c>
      <c r="D2130" s="13"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2130" s="13" t="inlineStr">
        <is>
          <t>{1}{W}</t>
        </is>
      </c>
      <c r="F2130" s="13" t="inlineStr">
        <is>
          <t>Branco</t>
        </is>
      </c>
      <c r="G2130" s="8" t="n">
        <v>0.08</v>
      </c>
      <c r="H2130" s="13" t="inlineStr">
        <is>
          <t>The Lord of the Rings: Tales of Middle-earth (LTR)</t>
        </is>
      </c>
      <c r="I2130" s="13" t="inlineStr">
        <is>
          <t>Não</t>
        </is>
      </c>
      <c r="J2130" s="13" t="n">
        <v>2023</v>
      </c>
      <c r="K2130" s="10" t="n">
        <v>46082</v>
      </c>
      <c r="L2130" s="13" t="n">
        <v>1</v>
      </c>
      <c r="M2130" s="8">
        <f>L2130*G2130</f>
        <v/>
      </c>
      <c r="P2130" s="9" t="n"/>
    </row>
    <row r="2131">
      <c r="A2131" s="13" t="inlineStr">
        <is>
          <t>Nimble Thopterist</t>
        </is>
      </c>
      <c r="B2131" s="13" t="inlineStr">
        <is>
          <t>Creature — Vedalken Artificer</t>
        </is>
      </c>
      <c r="C2131" s="13" t="inlineStr">
        <is>
          <t>Common / Comum</t>
        </is>
      </c>
      <c r="D2131" s="13" t="inlineStr">
        <is>
          <t>When this creature enters, create a 1/1 colorless Thopter artifact creature token with flying.</t>
        </is>
      </c>
      <c r="E2131" s="13" t="inlineStr">
        <is>
          <t>{3}{U}</t>
        </is>
      </c>
      <c r="F2131" s="13" t="inlineStr">
        <is>
          <t>Azul</t>
        </is>
      </c>
      <c r="G2131" s="8" t="n">
        <v>0.05</v>
      </c>
      <c r="H2131" s="13" t="inlineStr">
        <is>
          <t>Aetherdrift (DFT)</t>
        </is>
      </c>
      <c r="I2131" s="13" t="inlineStr">
        <is>
          <t>Não</t>
        </is>
      </c>
      <c r="J2131" s="13" t="n">
        <v>2025</v>
      </c>
      <c r="K2131" s="10" t="n">
        <v>46056</v>
      </c>
      <c r="L2131" s="13" t="n">
        <v>1</v>
      </c>
      <c r="M2131" s="8">
        <f>L2131*G2131</f>
        <v/>
      </c>
      <c r="P2131" s="9" t="n"/>
    </row>
    <row r="2132">
      <c r="A2132" s="13" t="inlineStr">
        <is>
          <t>Nimbleclaw Adept / Adepto Garraveloz</t>
        </is>
      </c>
      <c r="B2132" s="13" t="inlineStr">
        <is>
          <t>Creature — Dragon Wizard / Criatura — Dragão Mago</t>
        </is>
      </c>
      <c r="C2132" s="13" t="inlineStr">
        <is>
          <t>Common / Comum</t>
        </is>
      </c>
      <c r="D2132" s="13" t="inlineStr">
        <is>
          <t>Bigby's Hand — {T}: Untap two other target permanents. Activate only as a sorcery and only once each turn. / Mão de Bigby — {T}: Desvire duas outras permanentes alvo. Ative somente como um feitiço e uma única vez a cada turno.</t>
        </is>
      </c>
      <c r="E2132" s="13" t="inlineStr">
        <is>
          <t>{3}{U}</t>
        </is>
      </c>
      <c r="F2132" s="13" t="inlineStr">
        <is>
          <t>Azul</t>
        </is>
      </c>
      <c r="G2132" s="8" t="n">
        <v>0.06</v>
      </c>
      <c r="H2132" s="13" t="inlineStr">
        <is>
          <t>Commander Legends: Battle for Baldur's Gate (CLB)</t>
        </is>
      </c>
      <c r="I2132" s="13" t="inlineStr">
        <is>
          <t>Não</t>
        </is>
      </c>
      <c r="J2132" s="13" t="n">
        <v>2022</v>
      </c>
      <c r="K2132" s="10" t="n">
        <v>46083</v>
      </c>
      <c r="L2132" s="13" t="n">
        <v>1</v>
      </c>
      <c r="M2132" s="8">
        <f>L2132*G2132</f>
        <v/>
      </c>
      <c r="P2132" s="9" t="n"/>
    </row>
    <row r="2133">
      <c r="A2133" s="13" t="inlineStr">
        <is>
          <t>Nip Gwyllion / Gwyllion da Mordidela</t>
        </is>
      </c>
      <c r="B2133" s="13" t="inlineStr">
        <is>
          <t>Creature — Hag / Criatura — Bruxa</t>
        </is>
      </c>
      <c r="C2133" s="13" t="inlineStr">
        <is>
          <t>Common / Comum</t>
        </is>
      </c>
      <c r="D2133" s="13" t="inlineStr">
        <is>
          <t>Lifelink (Damage dealt by this creature also causes you to gain that much life.) / Vínculo com a vida (Toda vez que esta criatura causa dano, você ganha aquela quantidade em pontos de vida.)</t>
        </is>
      </c>
      <c r="E2133" s="13" t="inlineStr">
        <is>
          <t>{W/B}</t>
        </is>
      </c>
      <c r="F2133" s="13" t="inlineStr">
        <is>
          <t>Preto, Branco</t>
        </is>
      </c>
      <c r="G2133" s="8" t="n">
        <v>0.24</v>
      </c>
      <c r="H2133" s="13" t="inlineStr">
        <is>
          <t>Eventide (EVE)</t>
        </is>
      </c>
      <c r="I2133" s="13" t="inlineStr">
        <is>
          <t>Não</t>
        </is>
      </c>
      <c r="J2133" s="13" t="n">
        <v>2008</v>
      </c>
      <c r="K2133" s="10" t="n">
        <v>46023</v>
      </c>
      <c r="L2133" s="13" t="n">
        <v>1</v>
      </c>
      <c r="M2133" s="8">
        <f>L2133*G2133</f>
        <v/>
      </c>
      <c r="P2133" s="9" t="n"/>
    </row>
    <row r="2134">
      <c r="A2134" s="13" t="inlineStr">
        <is>
          <t>Nobody</t>
        </is>
      </c>
      <c r="B2134" s="13" t="inlineStr">
        <is>
          <t>Artifact Creature — Human Hero</t>
        </is>
      </c>
      <c r="C2134" s="13" t="inlineStr">
        <is>
          <t>Common / Comum</t>
        </is>
      </c>
      <c r="D2134" s="13" t="inlineStr">
        <is>
          <t>When this creature enters, return up to one other target artifact you control to its owner's hand. Scry 1. (Look at the top card of your library. You may put that card on the bottom.)</t>
        </is>
      </c>
      <c r="E2134" s="13" t="inlineStr">
        <is>
          <t>{1}{U/R}{U/R}</t>
        </is>
      </c>
      <c r="F2134" s="13" t="inlineStr">
        <is>
          <t>Vermelho, Azul</t>
        </is>
      </c>
      <c r="G2134" s="8" t="n">
        <v>0.1</v>
      </c>
      <c r="H2134" s="13" t="inlineStr">
        <is>
          <t>Teenage Mutant Ninja Turtles (TMT)</t>
        </is>
      </c>
      <c r="I2134" s="13" t="inlineStr">
        <is>
          <t>Não</t>
        </is>
      </c>
      <c r="J2134" s="13" t="n">
        <v>2026</v>
      </c>
      <c r="K2134" s="10" t="n">
        <v>46056</v>
      </c>
      <c r="L2134" s="13" t="n">
        <v>1</v>
      </c>
      <c r="M2134" s="8">
        <f>L2134*G2134</f>
        <v/>
      </c>
      <c r="P2134" s="9" t="n"/>
    </row>
    <row r="2135">
      <c r="A2135" s="13" t="inlineStr">
        <is>
          <t>Noctis, Prince of Lucis / Noctis, Príncipe de Lucis</t>
        </is>
      </c>
      <c r="B2135" s="13" t="inlineStr">
        <is>
          <t>Criatura Lendária — Humano Nobre</t>
        </is>
      </c>
      <c r="C2135" s="13" t="inlineStr">
        <is>
          <t>Rara</t>
        </is>
      </c>
      <c r="D2135" s="13" t="inlineStr">
        <is>
          <t>Vínculo com a vida. Você pode conjurar mágicas de artefato de seu cemitério pagando 3 de vida além de pagar seus outros custos. Se você conjurar uma mágica deste modo, aquele artefato entra com um marcador de finalidade.</t>
        </is>
      </c>
      <c r="E2135" s="13" t="inlineStr">
        <is>
          <t>1WUB</t>
        </is>
      </c>
      <c r="F2135" s="13" t="inlineStr">
        <is>
          <t>Branco, Azul e Preto</t>
        </is>
      </c>
      <c r="G2135" s="8" t="n">
        <v>2.79</v>
      </c>
      <c r="H2135" s="13" t="inlineStr">
        <is>
          <t>Final Fantasy</t>
        </is>
      </c>
      <c r="I2135" s="13" t="inlineStr">
        <is>
          <t>Não</t>
        </is>
      </c>
      <c r="J2135" s="13" t="n">
        <v>2025</v>
      </c>
      <c r="K2135" s="10" t="n">
        <v>46085</v>
      </c>
      <c r="L2135" s="13" t="n">
        <v>1</v>
      </c>
      <c r="M2135" s="8">
        <f>L2135*G2135</f>
        <v/>
      </c>
      <c r="P2135" s="9" t="n"/>
    </row>
    <row r="2136">
      <c r="A2136" s="13" t="inlineStr">
        <is>
          <t>Nocturnal Feeder</t>
        </is>
      </c>
      <c r="B2136" s="13" t="inlineStr">
        <is>
          <t>Creature — Vampire Rogue</t>
        </is>
      </c>
      <c r="C2136" s="13" t="inlineStr">
        <is>
          <t>Common / Comum</t>
        </is>
      </c>
      <c r="D2136" s="13" t="inlineStr">
        <is>
          <t>Flying When this creature dies, each opponent loses 2 life and you gain 2 life.</t>
        </is>
      </c>
      <c r="E2136" s="13" t="inlineStr">
        <is>
          <t>{2}{B}</t>
        </is>
      </c>
      <c r="F2136" s="13" t="inlineStr">
        <is>
          <t>Preto</t>
        </is>
      </c>
      <c r="G2136" s="8" t="n">
        <v>0.13</v>
      </c>
      <c r="H2136" s="13" t="inlineStr">
        <is>
          <t>Jumpstart (JMP)</t>
        </is>
      </c>
      <c r="I2136" s="13" t="inlineStr">
        <is>
          <t>Não</t>
        </is>
      </c>
      <c r="J2136" s="13" t="n">
        <v>2020</v>
      </c>
      <c r="K2136" s="10" t="n">
        <v>46024</v>
      </c>
      <c r="L2136" s="13" t="n">
        <v>1</v>
      </c>
      <c r="M2136" s="8">
        <f>L2136*G2136</f>
        <v/>
      </c>
      <c r="P2136" s="9" t="n"/>
    </row>
    <row r="2137">
      <c r="A2137" s="13" t="inlineStr">
        <is>
          <t>Nomad Outpost / Posto Avançado Nômade</t>
        </is>
      </c>
      <c r="B2137" s="13" t="inlineStr">
        <is>
          <t>Terreno</t>
        </is>
      </c>
      <c r="C2137" s="13" t="inlineStr">
        <is>
          <t>Incomum</t>
        </is>
      </c>
      <c r="D2137" s="13" t="inlineStr">
        <is>
          <t>Nomad Outpost entra no campo de batalha virado. T: Adicione R, W ou B à sua reserva de mana.</t>
        </is>
      </c>
      <c r="E2137" s="13" t="inlineStr">
        <is>
          <t>Nenhum</t>
        </is>
      </c>
      <c r="F2137" s="13" t="inlineStr">
        <is>
          <t>Multicolorido</t>
        </is>
      </c>
      <c r="G2137" s="8" t="n">
        <v>0.34</v>
      </c>
      <c r="H2137" s="13" t="inlineStr">
        <is>
          <t>Duel Decks: Speed vs. Cunning</t>
        </is>
      </c>
      <c r="I2137" s="13" t="inlineStr">
        <is>
          <t>Não</t>
        </is>
      </c>
      <c r="J2137" s="13" t="n">
        <v>2014</v>
      </c>
      <c r="L2137" s="13" t="n">
        <v>2</v>
      </c>
      <c r="M2137" s="8">
        <f>L2137*G2137</f>
        <v/>
      </c>
      <c r="P2137" s="9" t="n"/>
    </row>
    <row r="2138">
      <c r="A2138" s="13" t="inlineStr">
        <is>
          <t>Noose Constrictor / Constritor da Forca</t>
        </is>
      </c>
      <c r="B2138" s="13" t="inlineStr">
        <is>
          <t>Creature — Snake / Criatura — Cobra</t>
        </is>
      </c>
      <c r="C2138" s="13" t="inlineStr">
        <is>
          <t>Uncommon / Incomum</t>
        </is>
      </c>
      <c r="D2138" s="13" t="inlineStr">
        <is>
          <t>Reach Discard a card: This creature gets +1/+1 until end of turn. / Alcance Descarte um card: Constritor da Forca recebe +1/+1 até o final do turno.</t>
        </is>
      </c>
      <c r="E2138" s="13" t="inlineStr">
        <is>
          <t>{1}{G}</t>
        </is>
      </c>
      <c r="F2138" s="13" t="inlineStr">
        <is>
          <t>Verde</t>
        </is>
      </c>
      <c r="G2138" s="8" t="n">
        <v>0.15</v>
      </c>
      <c r="H2138" s="13" t="inlineStr">
        <is>
          <t>Innistrad Remastered (INR)</t>
        </is>
      </c>
      <c r="I2138" s="13" t="inlineStr">
        <is>
          <t>Não</t>
        </is>
      </c>
      <c r="J2138" s="13" t="n">
        <v>2025</v>
      </c>
      <c r="K2138" s="10" t="n">
        <v>46055</v>
      </c>
      <c r="L2138" s="13" t="n">
        <v>1</v>
      </c>
      <c r="M2138" s="8">
        <f>L2138*G2138</f>
        <v/>
      </c>
      <c r="P2138" s="9" t="n"/>
    </row>
    <row r="2139">
      <c r="A2139" s="13" t="inlineStr">
        <is>
          <t>Norritt</t>
        </is>
      </c>
      <c r="B2139" s="13" t="inlineStr">
        <is>
          <t>Creature — Imp</t>
        </is>
      </c>
      <c r="C2139" s="13" t="inlineStr">
        <is>
          <t>Common / Comum</t>
        </is>
      </c>
      <c r="D2139" s="13"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139" s="13" t="inlineStr">
        <is>
          <t>{3}{B}</t>
        </is>
      </c>
      <c r="F2139" s="13" t="inlineStr">
        <is>
          <t>Preto</t>
        </is>
      </c>
      <c r="G2139" s="8" t="n">
        <v>0.05</v>
      </c>
      <c r="H2139" s="13" t="inlineStr">
        <is>
          <t>Ice Age (ICE)</t>
        </is>
      </c>
      <c r="I2139" s="13" t="inlineStr">
        <is>
          <t>Não</t>
        </is>
      </c>
      <c r="J2139" s="13" t="n">
        <v>1995</v>
      </c>
      <c r="K2139" s="10" t="n">
        <v>46023</v>
      </c>
      <c r="L2139" s="13" t="n">
        <v>2</v>
      </c>
      <c r="M2139" s="8">
        <f>L2139*G2139</f>
        <v/>
      </c>
      <c r="P2139" s="9" t="n"/>
    </row>
    <row r="2140">
      <c r="A2140" s="13" t="inlineStr">
        <is>
          <t>North Pole Gates</t>
        </is>
      </c>
      <c r="B2140" s="13" t="inlineStr">
        <is>
          <t>Land</t>
        </is>
      </c>
      <c r="C2140" s="13" t="inlineStr">
        <is>
          <t>Common / Comum</t>
        </is>
      </c>
      <c r="D2140" s="13" t="inlineStr">
        <is>
          <t>This land enters tapped. {T}: Add {W} or {U}. {4}, {T}, Sacrifice this land: Draw a card.</t>
        </is>
      </c>
      <c r="F2140" s="13" t="inlineStr">
        <is>
          <t>Azul, Branco</t>
        </is>
      </c>
      <c r="G2140" s="8" t="n">
        <v>0.27</v>
      </c>
      <c r="H2140" s="13" t="inlineStr">
        <is>
          <t>Avatar: The Last Airbender (TLA)</t>
        </is>
      </c>
      <c r="I2140" s="13" t="inlineStr">
        <is>
          <t>Sim</t>
        </is>
      </c>
      <c r="J2140" s="13" t="n">
        <v>2025</v>
      </c>
      <c r="L2140" s="13" t="n">
        <v>1</v>
      </c>
      <c r="M2140" s="8">
        <f>L2140*G2140</f>
        <v/>
      </c>
      <c r="P2140" s="9" t="n"/>
    </row>
    <row r="2141">
      <c r="A2141" s="13" t="inlineStr">
        <is>
          <t>North Pole Patrol</t>
        </is>
      </c>
      <c r="B2141" s="13" t="inlineStr">
        <is>
          <t>Creature — Human Soldier Ally</t>
        </is>
      </c>
      <c r="C2141" s="13" t="inlineStr">
        <is>
          <t>Uncommon / Incomum</t>
        </is>
      </c>
      <c r="D2141" s="13" t="inlineStr">
        <is>
          <t>{T}: Untap another target permanent you control. Waterbend {3}, {T}: Tap target creature an opponent controls. (While paying a waterbend cost, you can tap your artifacts and creatures to help. Each one pays for {1}.)</t>
        </is>
      </c>
      <c r="E2141" s="13" t="inlineStr">
        <is>
          <t>{2}{U}</t>
        </is>
      </c>
      <c r="F2141" s="13" t="inlineStr">
        <is>
          <t>Azul</t>
        </is>
      </c>
      <c r="G2141" s="8" t="n">
        <v>0.15</v>
      </c>
      <c r="H2141" s="13" t="inlineStr">
        <is>
          <t>Avatar: The Last Airbender (TLA)</t>
        </is>
      </c>
      <c r="I2141" s="13" t="inlineStr">
        <is>
          <t>Não</t>
        </is>
      </c>
      <c r="J2141" s="13" t="n">
        <v>2025</v>
      </c>
      <c r="K2141" s="10" t="n">
        <v>46083</v>
      </c>
      <c r="L2141" s="13" t="n">
        <v>1</v>
      </c>
      <c r="M2141" s="8">
        <f>L2141*G2141</f>
        <v/>
      </c>
      <c r="P2141" s="9" t="n"/>
    </row>
    <row r="2142">
      <c r="A2142" s="13" t="inlineStr">
        <is>
          <t>Nós de Hithlain / Hithlain Knots</t>
        </is>
      </c>
      <c r="B2142" s="13" t="inlineStr">
        <is>
          <t>Mágica Instantânea</t>
        </is>
      </c>
      <c r="C2142" s="13" t="inlineStr">
        <is>
          <t>Comum</t>
        </is>
      </c>
      <c r="D2142" s="13" t="inlineStr">
        <is>
          <t>Vire a criatura alvo. Use vidência 1. Compre um card.</t>
        </is>
      </c>
      <c r="E2142" s="13" t="inlineStr">
        <is>
          <t>1{U}</t>
        </is>
      </c>
      <c r="F2142" s="13" t="inlineStr">
        <is>
          <t>Azul</t>
        </is>
      </c>
      <c r="G2142" s="8" t="n">
        <v>0.08</v>
      </c>
      <c r="H2142" s="13" t="inlineStr">
        <is>
          <t>The Lord of the Rings: Tales of Middle-earth (LTR)</t>
        </is>
      </c>
      <c r="I2142" s="13" t="inlineStr">
        <is>
          <t>Não</t>
        </is>
      </c>
      <c r="J2142" s="13" t="n">
        <v>2023</v>
      </c>
      <c r="L2142" s="13" t="n">
        <v>1</v>
      </c>
      <c r="M2142" s="8">
        <f>L2142*G2142</f>
        <v/>
      </c>
      <c r="P2142" s="9" t="n"/>
    </row>
    <row r="2143">
      <c r="A2143" s="13" t="inlineStr">
        <is>
          <t>Nosy Goblin / Goblin Intrometido</t>
        </is>
      </c>
      <c r="B2143" s="13" t="inlineStr">
        <is>
          <t>Creature — Goblin / Criatura — Goblin</t>
        </is>
      </c>
      <c r="C2143" s="13" t="inlineStr">
        <is>
          <t>Common / Comum</t>
        </is>
      </c>
      <c r="D2143" s="13" t="inlineStr">
        <is>
          <t>{T}, Sacrifice this creature: Destroy target face-down creature. / {T}, Sacrifique Goblin Intrometido: Destrói a criatura alvo com a face voltada para baixo.</t>
        </is>
      </c>
      <c r="E2143" s="13" t="inlineStr">
        <is>
          <t>{2}{R}</t>
        </is>
      </c>
      <c r="F2143" s="13" t="inlineStr">
        <is>
          <t>Vermelho</t>
        </is>
      </c>
      <c r="G2143" s="8" t="n">
        <v>0.05</v>
      </c>
      <c r="H2143" s="13" t="inlineStr">
        <is>
          <t>Onslaught (ONS)</t>
        </is>
      </c>
      <c r="I2143" s="13" t="inlineStr">
        <is>
          <t>Não</t>
        </is>
      </c>
      <c r="J2143" s="13" t="n">
        <v>2002</v>
      </c>
      <c r="K2143" s="10" t="n">
        <v>46024</v>
      </c>
      <c r="L2143" s="13" t="n">
        <v>1</v>
      </c>
      <c r="M2143" s="8">
        <f>L2143*G2143</f>
        <v/>
      </c>
      <c r="P2143" s="9" t="n"/>
    </row>
    <row r="2144">
      <c r="A2144" s="13" t="inlineStr">
        <is>
          <t>Novel Nunchaku</t>
        </is>
      </c>
      <c r="B2144" s="13" t="inlineStr">
        <is>
          <t>Artifact — Equipment</t>
        </is>
      </c>
      <c r="C2144" s="13" t="inlineStr">
        <is>
          <t>Uncommon / Incomum</t>
        </is>
      </c>
      <c r="D2144" s="13"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44" s="13" t="inlineStr">
        <is>
          <t>{2}{G}</t>
        </is>
      </c>
      <c r="F2144" s="13" t="inlineStr">
        <is>
          <t>Verde</t>
        </is>
      </c>
      <c r="G2144" s="8" t="n">
        <v>0.1</v>
      </c>
      <c r="H2144" s="13" t="inlineStr">
        <is>
          <t>Teenage Mutant Ninja Turtles (TMT)</t>
        </is>
      </c>
      <c r="I2144" s="13" t="inlineStr">
        <is>
          <t>Não</t>
        </is>
      </c>
      <c r="J2144" s="13" t="n">
        <v>2026</v>
      </c>
      <c r="L2144" s="13" t="n">
        <v>1</v>
      </c>
      <c r="M2144" s="8">
        <f>L2144*G2144</f>
        <v/>
      </c>
      <c r="P2144" s="9" t="n"/>
    </row>
    <row r="2145">
      <c r="A2145" s="13" t="inlineStr">
        <is>
          <t>Noxious Assault / Assalto Nóxio</t>
        </is>
      </c>
      <c r="B2145" s="13" t="inlineStr">
        <is>
          <t>Sorcery / Feitiço</t>
        </is>
      </c>
      <c r="C2145" s="13" t="inlineStr">
        <is>
          <t>Uncommon / Incomum</t>
        </is>
      </c>
      <c r="D2145" s="13"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2145" s="13" t="inlineStr">
        <is>
          <t>{3}{G}{G}</t>
        </is>
      </c>
      <c r="F2145" s="13" t="inlineStr">
        <is>
          <t>Verde</t>
        </is>
      </c>
      <c r="G2145" s="8" t="n">
        <v>0.09</v>
      </c>
      <c r="H2145" s="13" t="inlineStr">
        <is>
          <t>Phyrexia: All Will Be One (ONE)</t>
        </is>
      </c>
      <c r="I2145" s="13" t="inlineStr">
        <is>
          <t>Não</t>
        </is>
      </c>
      <c r="J2145" s="13" t="n">
        <v>2023</v>
      </c>
      <c r="L2145" s="13" t="n">
        <v>1</v>
      </c>
      <c r="M2145" s="8">
        <f>L2145*G2145</f>
        <v/>
      </c>
      <c r="P2145" s="9" t="n"/>
    </row>
    <row r="2146">
      <c r="A2146" s="13" t="inlineStr">
        <is>
          <t>Noxious Grasp / Garras Nóxias</t>
        </is>
      </c>
      <c r="B2146" s="13" t="inlineStr">
        <is>
          <t>Instant / Mágica Instantânea</t>
        </is>
      </c>
      <c r="C2146" s="13" t="inlineStr">
        <is>
          <t>Uncommon / Incomum</t>
        </is>
      </c>
      <c r="D2146" s="13" t="inlineStr">
        <is>
          <t>Destroy target creature or planeswalker that's green or white. You gain 1 life. / Destrua a criatura ou o planeswalker alvo que seja verde ou branco. Você ganha 1 ponto de vida.</t>
        </is>
      </c>
      <c r="E2146" s="13" t="inlineStr">
        <is>
          <t>{1}{B}</t>
        </is>
      </c>
      <c r="F2146" s="13" t="inlineStr">
        <is>
          <t>Preto</t>
        </is>
      </c>
      <c r="G2146" s="8" t="n">
        <v>0.13</v>
      </c>
      <c r="H2146" s="13" t="inlineStr">
        <is>
          <t>Core Set 2020 (M20)</t>
        </is>
      </c>
      <c r="I2146" s="13" t="inlineStr">
        <is>
          <t>Não</t>
        </is>
      </c>
      <c r="J2146" s="13" t="n">
        <v>2019</v>
      </c>
      <c r="L2146" s="13" t="n">
        <v>2</v>
      </c>
      <c r="M2146" s="8">
        <f>L2146*G2146</f>
        <v/>
      </c>
      <c r="P2146" s="9" t="n"/>
    </row>
    <row r="2147">
      <c r="A2147" s="13" t="inlineStr">
        <is>
          <t>Noxious Newt / Tritão Nocivo</t>
        </is>
      </c>
      <c r="B2147" s="13" t="inlineStr">
        <is>
          <t>Creature — Salamander / Criatura — Salamandra</t>
        </is>
      </c>
      <c r="C2147" s="13" t="inlineStr">
        <is>
          <t>Common / Comum</t>
        </is>
      </c>
      <c r="D2147" s="13" t="inlineStr">
        <is>
          <t>Deathtouch. {T}: Add {G}. / Toque mortífero. {T}: Adicione {G}.</t>
        </is>
      </c>
      <c r="E2147" s="13" t="inlineStr">
        <is>
          <t>{1}{G}</t>
        </is>
      </c>
      <c r="F2147" s="13" t="inlineStr">
        <is>
          <t>Verde</t>
        </is>
      </c>
      <c r="G2147" s="8" t="n">
        <v>0.1</v>
      </c>
      <c r="H2147" s="13" t="inlineStr">
        <is>
          <t>Shadows of Sothia (SOS)</t>
        </is>
      </c>
      <c r="I2147" s="13" t="inlineStr">
        <is>
          <t>No</t>
        </is>
      </c>
      <c r="J2147" s="13" t="n">
        <v>2026</v>
      </c>
      <c r="K2147" s="10" t="n">
        <v>46054</v>
      </c>
      <c r="L2147" s="13" t="n">
        <v>3</v>
      </c>
      <c r="M2147" s="8">
        <f>L2147*G2147</f>
        <v/>
      </c>
      <c r="P2147" s="9" t="n"/>
    </row>
    <row r="2148">
      <c r="A2148" s="13" t="inlineStr">
        <is>
          <t>Null Group Biological Assets</t>
        </is>
      </c>
      <c r="B2148" s="13" t="inlineStr">
        <is>
          <t>Creature — Mutant Mercenary</t>
        </is>
      </c>
      <c r="C2148" s="13" t="inlineStr">
        <is>
          <t>Common / Comum</t>
        </is>
      </c>
      <c r="D2148" s="13" t="inlineStr">
        <is>
          <t>During your turn, this creature has first strike. Whenever this creature attacks, you may discard a card. If you do, draw a card.</t>
        </is>
      </c>
      <c r="E2148" s="13" t="inlineStr">
        <is>
          <t>{2}{R}</t>
        </is>
      </c>
      <c r="F2148" s="13" t="inlineStr">
        <is>
          <t>Vermelho</t>
        </is>
      </c>
      <c r="G2148" s="8" t="n">
        <v>0.1</v>
      </c>
      <c r="H2148" s="13" t="inlineStr">
        <is>
          <t>Teenage Mutant Ninja Turtles (TMT)</t>
        </is>
      </c>
      <c r="I2148" s="13" t="inlineStr">
        <is>
          <t>Não</t>
        </is>
      </c>
      <c r="J2148" s="13" t="n">
        <v>2026</v>
      </c>
      <c r="K2148" s="10" t="n">
        <v>46025</v>
      </c>
      <c r="L2148" s="13" t="n">
        <v>6</v>
      </c>
      <c r="M2148" s="8">
        <f>L2148*G2148</f>
        <v/>
      </c>
      <c r="P2148" s="9" t="n"/>
    </row>
    <row r="2149">
      <c r="A2149" s="13" t="inlineStr">
        <is>
          <t>Número da Broca / Drill Bit</t>
        </is>
      </c>
      <c r="B2149" s="13" t="inlineStr">
        <is>
          <t>Feitiço / Sorcery</t>
        </is>
      </c>
      <c r="C2149" s="13" t="inlineStr">
        <is>
          <t>Incomum / Uncommon</t>
        </is>
      </c>
      <c r="D2149" s="13"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2149" s="13" t="inlineStr">
        <is>
          <t>{2}{B}</t>
        </is>
      </c>
      <c r="F2149" s="13" t="inlineStr">
        <is>
          <t>Preto</t>
        </is>
      </c>
      <c r="G2149" s="8" t="n">
        <v>0.08</v>
      </c>
      <c r="H2149" s="13" t="inlineStr">
        <is>
          <t>Ravnica Allegiance (RNA)</t>
        </is>
      </c>
      <c r="I2149" s="13" t="inlineStr">
        <is>
          <t>Não</t>
        </is>
      </c>
      <c r="J2149" s="13" t="n">
        <v>2019</v>
      </c>
      <c r="L2149" s="13" t="n">
        <v>4</v>
      </c>
      <c r="M2149" s="8">
        <f>L2149*G2149</f>
        <v/>
      </c>
      <c r="P2149" s="9" t="n"/>
    </row>
    <row r="2150">
      <c r="A2150" s="13" t="inlineStr">
        <is>
          <t>Nutrient Block</t>
        </is>
      </c>
      <c r="B2150" s="13" t="inlineStr">
        <is>
          <t>Artifact — Food</t>
        </is>
      </c>
      <c r="C2150" s="13" t="inlineStr">
        <is>
          <t>Common</t>
        </is>
      </c>
      <c r="D2150" s="13" t="inlineStr">
        <is>
          <t>Indestructible (Effects that say "destroy" don't destroy this artifact.) {2}, {T}, Sacrifice this artifact: You gain 3 life. When this artifact is put into a graveyard from the battlefield, draw a card.</t>
        </is>
      </c>
      <c r="E2150" s="13" t="inlineStr">
        <is>
          <t>{1}</t>
        </is>
      </c>
      <c r="F2150" s="13" t="inlineStr">
        <is>
          <t>Colorless</t>
        </is>
      </c>
      <c r="G2150" s="8" t="n">
        <v>0.15</v>
      </c>
      <c r="H2150" s="13" t="inlineStr">
        <is>
          <t>Edge of Eternity (EOE)</t>
        </is>
      </c>
      <c r="I2150" s="13" t="inlineStr">
        <is>
          <t>Não</t>
        </is>
      </c>
      <c r="J2150" s="13" t="n">
        <v>2025</v>
      </c>
      <c r="L2150" s="13" t="n">
        <v>4</v>
      </c>
      <c r="M2150" s="8">
        <f>L2150*G2150</f>
        <v/>
      </c>
      <c r="P2150" s="9" t="n"/>
    </row>
    <row r="2151">
      <c r="A2151" s="13" t="inlineStr">
        <is>
          <t>Nyx Infusion / Infusão de Nyx</t>
        </is>
      </c>
      <c r="B2151" s="13" t="inlineStr">
        <is>
          <t>Enchantment — Aura / Encantamento — Aura</t>
        </is>
      </c>
      <c r="C2151" s="13" t="inlineStr">
        <is>
          <t>Common / Comum</t>
        </is>
      </c>
      <c r="D2151" s="13" t="inlineStr">
        <is>
          <t>Enchant creature Enchanted creature gets +2/+2 as long as it's an enchantment. Otherwise, it gets -2/-2. / Encantar criatura A criatura encantada recebe +2/+2 enquanto for um encantamento. Do contrário, ela recebe -2/-2.</t>
        </is>
      </c>
      <c r="E2151" s="13" t="inlineStr">
        <is>
          <t>{2}{B}</t>
        </is>
      </c>
      <c r="F2151" s="13" t="inlineStr">
        <is>
          <t>Preto</t>
        </is>
      </c>
      <c r="G2151" s="8" t="n">
        <v>0.03</v>
      </c>
      <c r="H2151" s="13" t="inlineStr">
        <is>
          <t>Journey into Nyx (JOU)</t>
        </is>
      </c>
      <c r="I2151" s="13" t="inlineStr">
        <is>
          <t>Não</t>
        </is>
      </c>
      <c r="J2151" s="13" t="n">
        <v>2014</v>
      </c>
      <c r="L2151" s="13" t="n">
        <v>5</v>
      </c>
      <c r="M2151" s="8">
        <f>L2151*G2151</f>
        <v/>
      </c>
      <c r="P2151" s="9" t="n"/>
    </row>
    <row r="2152">
      <c r="A2152" s="13" t="inlineStr">
        <is>
          <t>Nyx-Fleece Ram / Carneiro Velocino-de-Nyx</t>
        </is>
      </c>
      <c r="B2152" s="13" t="inlineStr">
        <is>
          <t>Enchantment Creature — Sheep / Criatura Encantamento — Ovelha</t>
        </is>
      </c>
      <c r="C2152" s="13" t="inlineStr">
        <is>
          <t>Uncommon / Incomum</t>
        </is>
      </c>
      <c r="D2152" s="13" t="inlineStr">
        <is>
          <t>At the beginning of your upkeep, you gain 1 life. / No início de sua manutenção, você ganha 1 ponto de vida.</t>
        </is>
      </c>
      <c r="E2152" s="13" t="inlineStr">
        <is>
          <t>{1}{W}</t>
        </is>
      </c>
      <c r="F2152" s="13" t="inlineStr">
        <is>
          <t>Branco</t>
        </is>
      </c>
      <c r="G2152" s="8" t="n">
        <v>0.44</v>
      </c>
      <c r="H2152" s="13" t="inlineStr">
        <is>
          <t>Historic Anthology 2 (HA2)</t>
        </is>
      </c>
      <c r="I2152" s="13" t="inlineStr">
        <is>
          <t>Não</t>
        </is>
      </c>
      <c r="J2152" s="13" t="n">
        <v>2020</v>
      </c>
      <c r="K2152" s="13" t="inlineStr">
        <is>
          <t>0/5</t>
        </is>
      </c>
      <c r="L2152" s="13" t="n">
        <v>2</v>
      </c>
      <c r="M2152" s="8">
        <f>L2152*G2152</f>
        <v/>
      </c>
      <c r="P2152" s="9" t="n"/>
    </row>
    <row r="2153">
      <c r="A2153" s="13" t="inlineStr">
        <is>
          <t>Nyxborn Brute / Bruto Nyxnato</t>
        </is>
      </c>
      <c r="B2153" s="13" t="inlineStr">
        <is>
          <t>Enchantment Creature — Cyclops / Criatura Encantamento — Ciclope</t>
        </is>
      </c>
      <c r="C2153" s="13" t="inlineStr">
        <is>
          <t>Common / Comum</t>
        </is>
      </c>
      <c r="E2153" s="13" t="inlineStr">
        <is>
          <t>{3}{R}{R}</t>
        </is>
      </c>
      <c r="F2153" s="13" t="inlineStr">
        <is>
          <t>Vermelho</t>
        </is>
      </c>
      <c r="G2153" s="8" t="n">
        <v>0.03</v>
      </c>
      <c r="H2153" s="13" t="inlineStr">
        <is>
          <t>Theros Beyond Death (THB)</t>
        </is>
      </c>
      <c r="I2153" s="13" t="inlineStr">
        <is>
          <t>Não</t>
        </is>
      </c>
      <c r="J2153" s="13" t="n">
        <v>2020</v>
      </c>
      <c r="K2153" s="10" t="n">
        <v>46088</v>
      </c>
      <c r="L2153" s="13" t="n">
        <v>1</v>
      </c>
      <c r="M2153" s="8">
        <f>L2153*G2153</f>
        <v/>
      </c>
      <c r="P2153" s="9" t="n"/>
    </row>
    <row r="2154">
      <c r="A2154" s="13" t="inlineStr">
        <is>
          <t>Nyxborn Hydra / Hidra Nyxnata</t>
        </is>
      </c>
      <c r="B2154" s="13" t="inlineStr">
        <is>
          <t>Enchantment Creature — Hydra / Criatura Encantamento — Hidra</t>
        </is>
      </c>
      <c r="C2154" s="13" t="inlineStr">
        <is>
          <t>Common / Comum</t>
        </is>
      </c>
      <c r="D2154" s="13"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2154" s="13" t="inlineStr">
        <is>
          <t>{X}{G}</t>
        </is>
      </c>
      <c r="F2154" s="13" t="inlineStr">
        <is>
          <t>Verde</t>
        </is>
      </c>
      <c r="G2154" s="8" t="n">
        <v>1.68</v>
      </c>
      <c r="H2154" s="13" t="inlineStr">
        <is>
          <t>Modern Horizons 3 (MH3)</t>
        </is>
      </c>
      <c r="I2154" s="13" t="inlineStr">
        <is>
          <t>Não</t>
        </is>
      </c>
      <c r="J2154" s="13" t="n">
        <v>2024</v>
      </c>
      <c r="K2154" s="13" t="inlineStr">
        <is>
          <t>0/1</t>
        </is>
      </c>
      <c r="L2154" s="13" t="n">
        <v>2</v>
      </c>
      <c r="M2154" s="8">
        <f>L2154*G2154</f>
        <v/>
      </c>
      <c r="P2154" s="9" t="n"/>
    </row>
    <row r="2155">
      <c r="A2155" s="13" t="inlineStr">
        <is>
          <t>Nyxborn Hydra / Hidra Nyxnata</t>
        </is>
      </c>
      <c r="B2155" s="13" t="inlineStr">
        <is>
          <t>Enchantment Creature — Hydra / Criatura Encantamento — Hidra</t>
        </is>
      </c>
      <c r="C2155" s="13" t="inlineStr">
        <is>
          <t>Common / Comum</t>
        </is>
      </c>
      <c r="D2155" s="13"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2155" s="13" t="inlineStr">
        <is>
          <t>{X}{G}</t>
        </is>
      </c>
      <c r="F2155" s="13" t="inlineStr">
        <is>
          <t>Verde</t>
        </is>
      </c>
      <c r="G2155" s="8" t="n">
        <v>4.6</v>
      </c>
      <c r="H2155" s="13" t="inlineStr">
        <is>
          <t>Modern Horizons 3 (MH3)</t>
        </is>
      </c>
      <c r="I2155" s="13" t="inlineStr">
        <is>
          <t>Sim</t>
        </is>
      </c>
      <c r="J2155" s="13" t="n">
        <v>2024</v>
      </c>
      <c r="K2155" s="13" t="inlineStr">
        <is>
          <t>0/1</t>
        </is>
      </c>
      <c r="L2155" s="13" t="n">
        <v>1</v>
      </c>
      <c r="M2155" s="8">
        <f>L2155*G2155</f>
        <v/>
      </c>
      <c r="N2155" s="13" t="inlineStr">
        <is>
          <t>Pasta</t>
        </is>
      </c>
      <c r="P2155" s="9" t="n"/>
    </row>
    <row r="2156">
      <c r="A2156" s="13" t="inlineStr">
        <is>
          <t>Nyxborn Shieldmate / Escudeiro Nyxnato</t>
        </is>
      </c>
      <c r="B2156" s="13" t="inlineStr">
        <is>
          <t>Enchantment Creature — Human Soldier / Criatura Encantamento — Humano Soldado</t>
        </is>
      </c>
      <c r="C2156" s="13" t="inlineStr">
        <is>
          <t>Common / Comum</t>
        </is>
      </c>
      <c r="D2156" s="13"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2156" s="13" t="inlineStr">
        <is>
          <t>{W}</t>
        </is>
      </c>
      <c r="F2156" s="13" t="inlineStr">
        <is>
          <t>Branco</t>
        </is>
      </c>
      <c r="G2156" s="8" t="n">
        <v>0.03</v>
      </c>
      <c r="H2156" s="13" t="inlineStr">
        <is>
          <t>Born of the Gods (BNG)</t>
        </is>
      </c>
      <c r="I2156" s="13" t="inlineStr">
        <is>
          <t>Não</t>
        </is>
      </c>
      <c r="J2156" s="13" t="n">
        <v>2014</v>
      </c>
      <c r="K2156" s="10" t="n">
        <v>46054</v>
      </c>
      <c r="L2156" s="13" t="n">
        <v>1</v>
      </c>
      <c r="M2156" s="8">
        <f>L2156*G2156</f>
        <v/>
      </c>
      <c r="P2156" s="9" t="n"/>
    </row>
    <row r="2157">
      <c r="A2157" s="13" t="inlineStr">
        <is>
          <t>O Boca de Sauron / Mouth of Sauron</t>
        </is>
      </c>
      <c r="B2157" s="13" t="inlineStr">
        <is>
          <t>Criatura Lendária — Humano Conselheiro</t>
        </is>
      </c>
      <c r="C2157" s="13" t="inlineStr">
        <is>
          <t>Incomum</t>
        </is>
      </c>
      <c r="D2157" s="13"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2157" s="13" t="inlineStr">
        <is>
          <t>3{G}{R}</t>
        </is>
      </c>
      <c r="F2157" s="13" t="inlineStr">
        <is>
          <t>Verde e Vermelho</t>
        </is>
      </c>
      <c r="G2157" s="8" t="n">
        <v>0.18</v>
      </c>
      <c r="H2157" s="13" t="inlineStr">
        <is>
          <t>The Lord of the Rings: Tales of Middle-earth (LTR)</t>
        </is>
      </c>
      <c r="I2157" s="13" t="inlineStr">
        <is>
          <t>Sim</t>
        </is>
      </c>
      <c r="J2157" s="13" t="n">
        <v>2023</v>
      </c>
      <c r="L2157" s="13" t="n">
        <v>2</v>
      </c>
      <c r="M2157" s="8">
        <f>L2157*G2157</f>
        <v/>
      </c>
      <c r="P2157" s="9" t="n"/>
    </row>
    <row r="2158">
      <c r="A2158" s="13" t="inlineStr">
        <is>
          <t>O Tormento de Gollum / Gollum's Bite</t>
        </is>
      </c>
      <c r="B2158" s="13" t="inlineStr">
        <is>
          <t>Feitiço</t>
        </is>
      </c>
      <c r="C2158" s="13" t="inlineStr">
        <is>
          <t>Comum</t>
        </is>
      </c>
      <c r="D2158" s="13"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2158" s="13" t="inlineStr">
        <is>
          <t>3{B}</t>
        </is>
      </c>
      <c r="F2158" s="13" t="inlineStr">
        <is>
          <t>Preto</t>
        </is>
      </c>
      <c r="G2158" s="8" t="n">
        <v>0.08</v>
      </c>
      <c r="H2158" s="13" t="inlineStr">
        <is>
          <t>The Lord of the Rings: Tales of Middle-earth (LTR)</t>
        </is>
      </c>
      <c r="I2158" s="13" t="inlineStr">
        <is>
          <t>Não</t>
        </is>
      </c>
      <c r="J2158" s="13" t="n">
        <v>2023</v>
      </c>
      <c r="L2158" s="13" t="n">
        <v>1</v>
      </c>
      <c r="M2158" s="8">
        <f>L2158*G2158</f>
        <v/>
      </c>
      <c r="P2158" s="9" t="n"/>
    </row>
    <row r="2159">
      <c r="A2159" s="13" t="inlineStr">
        <is>
          <t>Oakheart Dryads / Dríades Coração-de-carvalho</t>
        </is>
      </c>
      <c r="B2159" s="13" t="inlineStr">
        <is>
          <t>Enchantment Creature — Nymph Dryad / Criatura Encantamento — Ninfa Dríade</t>
        </is>
      </c>
      <c r="C2159" s="13" t="inlineStr">
        <is>
          <t>Common / Comum</t>
        </is>
      </c>
      <c r="D2159" s="13"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159" s="13" t="inlineStr">
        <is>
          <t>{2}{G}</t>
        </is>
      </c>
      <c r="F2159" s="13" t="inlineStr">
        <is>
          <t>Verde</t>
        </is>
      </c>
      <c r="G2159" s="8" t="n">
        <v>0.03</v>
      </c>
      <c r="H2159" s="13" t="inlineStr">
        <is>
          <t>Journey into Nyx (JOU)</t>
        </is>
      </c>
      <c r="I2159" s="13" t="inlineStr">
        <is>
          <t>Não</t>
        </is>
      </c>
      <c r="J2159" s="13" t="n">
        <v>2014</v>
      </c>
      <c r="K2159" s="10" t="n">
        <v>46083</v>
      </c>
      <c r="L2159" s="13" t="n">
        <v>5</v>
      </c>
      <c r="M2159" s="8">
        <f>L2159*G2159</f>
        <v/>
      </c>
      <c r="P2159" s="9" t="n"/>
    </row>
    <row r="2160">
      <c r="A2160" s="13" t="inlineStr">
        <is>
          <t>Oashra Cultivator / Cultivadora de Oashra</t>
        </is>
      </c>
      <c r="B2160" s="13" t="inlineStr">
        <is>
          <t>Creature — Human Druid / Criatura — Humano Druida</t>
        </is>
      </c>
      <c r="C2160" s="13" t="inlineStr">
        <is>
          <t>Common / Comum</t>
        </is>
      </c>
      <c r="D2160" s="13"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2160" s="13" t="inlineStr">
        <is>
          <t>{G}</t>
        </is>
      </c>
      <c r="F2160" s="13" t="inlineStr">
        <is>
          <t>Verde</t>
        </is>
      </c>
      <c r="G2160" s="8" t="n">
        <v>0.03</v>
      </c>
      <c r="H2160" s="13" t="inlineStr">
        <is>
          <t>Amonkhet (AKH)</t>
        </is>
      </c>
      <c r="I2160" s="13" t="inlineStr">
        <is>
          <t>Não</t>
        </is>
      </c>
      <c r="J2160" s="13" t="n">
        <v>2017</v>
      </c>
      <c r="K2160" s="13" t="inlineStr">
        <is>
          <t>0/3</t>
        </is>
      </c>
      <c r="L2160" s="13" t="n">
        <v>1</v>
      </c>
      <c r="M2160" s="8">
        <f>L2160*G2160</f>
        <v/>
      </c>
      <c r="P2160" s="9" t="n"/>
    </row>
    <row r="2161">
      <c r="A2161" s="13" t="inlineStr">
        <is>
          <t>Oasis</t>
        </is>
      </c>
      <c r="B2161" s="13" t="inlineStr">
        <is>
          <t>Land</t>
        </is>
      </c>
      <c r="C2161" s="13" t="inlineStr">
        <is>
          <t>Uncommon / Incomum</t>
        </is>
      </c>
      <c r="D2161" s="13" t="inlineStr">
        <is>
          <t>{T}: Prevent the next 1 damage that would be dealt to target creature this turn.</t>
        </is>
      </c>
      <c r="F2161" s="13" t="inlineStr">
        <is>
          <t>Incolor</t>
        </is>
      </c>
      <c r="G2161" s="8" t="n">
        <v>0.2</v>
      </c>
      <c r="H2161" s="13" t="inlineStr">
        <is>
          <t xml:space="preserve">Fourth Edition </t>
        </is>
      </c>
      <c r="I2161" s="13" t="inlineStr">
        <is>
          <t>Não</t>
        </is>
      </c>
      <c r="J2161" s="13" t="n">
        <v>1995</v>
      </c>
      <c r="L2161" s="13" t="n">
        <v>1</v>
      </c>
      <c r="M2161" s="8">
        <f>L2161*G2161</f>
        <v/>
      </c>
      <c r="P2161" s="9" t="n"/>
    </row>
    <row r="2162">
      <c r="A2162" s="13" t="inlineStr">
        <is>
          <t>Oasis</t>
        </is>
      </c>
      <c r="B2162" s="13" t="inlineStr">
        <is>
          <t>Land</t>
        </is>
      </c>
      <c r="C2162" s="13" t="inlineStr">
        <is>
          <t>Uncommon / Incomum</t>
        </is>
      </c>
      <c r="D2162" s="13" t="inlineStr">
        <is>
          <t>{T}: Prevent the next 1 damage that would be dealt to target creature this turn.</t>
        </is>
      </c>
      <c r="F2162" s="13" t="inlineStr">
        <is>
          <t>Incolor</t>
        </is>
      </c>
      <c r="G2162" s="8" t="n">
        <v>0.99</v>
      </c>
      <c r="H2162" s="13" t="inlineStr">
        <is>
          <t>Fourth Edition (BB)</t>
        </is>
      </c>
      <c r="I2162" s="13" t="inlineStr">
        <is>
          <t>Não</t>
        </is>
      </c>
      <c r="J2162" s="13" t="n">
        <v>1995</v>
      </c>
      <c r="L2162" s="13" t="n">
        <v>1</v>
      </c>
      <c r="M2162" s="8">
        <f>L2162*G2162</f>
        <v/>
      </c>
      <c r="P2162" s="9" t="n"/>
    </row>
    <row r="2163">
      <c r="A2163" s="13" t="inlineStr">
        <is>
          <t>Oath of Lim-Dûl / Juramento de Lim-Dûl</t>
        </is>
      </c>
      <c r="B2163" s="13" t="inlineStr">
        <is>
          <t>Enchantment</t>
        </is>
      </c>
      <c r="C2163" s="13" t="inlineStr">
        <is>
          <t>Rare / Rara</t>
        </is>
      </c>
      <c r="D2163" s="13" t="inlineStr">
        <is>
          <t>Whenever you lose life, for each 1 life you lost, sacrifice a permanent other than this enchantment unless you discard a card. (Damage dealt to you causes you to lose life.) {B}{B}: Draw a card.</t>
        </is>
      </c>
      <c r="E2163" s="13" t="inlineStr">
        <is>
          <t>{3}{B}</t>
        </is>
      </c>
      <c r="F2163" s="13" t="inlineStr">
        <is>
          <t>Preto</t>
        </is>
      </c>
      <c r="G2163" s="8" t="n">
        <v>0.95</v>
      </c>
      <c r="H2163" s="13" t="inlineStr">
        <is>
          <t>Ice Age (ICE)</t>
        </is>
      </c>
      <c r="I2163" s="13" t="inlineStr">
        <is>
          <t>Não</t>
        </is>
      </c>
      <c r="J2163" s="13" t="n">
        <v>1995</v>
      </c>
      <c r="L2163" s="13" t="n">
        <v>1</v>
      </c>
      <c r="M2163" s="8">
        <f>L2163*G2163</f>
        <v/>
      </c>
      <c r="P2163" s="9" t="n"/>
    </row>
    <row r="2164">
      <c r="A2164" s="13" t="inlineStr">
        <is>
          <t>Obelisco de Naya / Obelisk of Naya</t>
        </is>
      </c>
      <c r="B2164" s="13" t="inlineStr">
        <is>
          <t>Artefato</t>
        </is>
      </c>
      <c r="C2164" s="13" t="inlineStr">
        <is>
          <t>Comum</t>
        </is>
      </c>
      <c r="D2164" s="13" t="inlineStr">
        <is>
          <t>{T}: Adicione {R}, {G} ou {W} à sua reserva de mana.</t>
        </is>
      </c>
      <c r="E2164" s="13" t="inlineStr">
        <is>
          <t>{3}</t>
        </is>
      </c>
      <c r="F2164" s="13" t="inlineStr">
        <is>
          <t>Incolor</t>
        </is>
      </c>
      <c r="G2164" s="8" t="n">
        <v>0.15</v>
      </c>
      <c r="H2164" s="13" t="inlineStr">
        <is>
          <t>Shards of Alara (ALA)</t>
        </is>
      </c>
      <c r="I2164" s="13" t="inlineStr">
        <is>
          <t>Não</t>
        </is>
      </c>
      <c r="J2164" s="13" t="n">
        <v>2008</v>
      </c>
      <c r="L2164" s="13" t="n">
        <v>2</v>
      </c>
      <c r="M2164" s="8">
        <f>L2164*G2164</f>
        <v/>
      </c>
      <c r="P2164" s="9" t="n"/>
    </row>
    <row r="2165">
      <c r="A2165" s="13" t="inlineStr">
        <is>
          <t>Obsianus Golem / Golem Obsianus</t>
        </is>
      </c>
      <c r="B2165" s="13" t="inlineStr">
        <is>
          <t>Artifact Creature — Golem</t>
        </is>
      </c>
      <c r="C2165" s="13" t="inlineStr">
        <is>
          <t>Uncommon / Incomum</t>
        </is>
      </c>
      <c r="E2165" s="13" t="inlineStr">
        <is>
          <t>{6}</t>
        </is>
      </c>
      <c r="F2165" s="13" t="inlineStr">
        <is>
          <t>Incolor</t>
        </is>
      </c>
      <c r="G2165" s="8" t="n">
        <v>0.09</v>
      </c>
      <c r="H2165" s="13" t="inlineStr">
        <is>
          <t>Fourth Edition</t>
        </is>
      </c>
      <c r="I2165" s="13" t="inlineStr">
        <is>
          <t>Não</t>
        </is>
      </c>
      <c r="J2165" s="13" t="n">
        <v>1995</v>
      </c>
      <c r="K2165" s="10" t="n">
        <v>46177</v>
      </c>
      <c r="L2165" s="13" t="n">
        <v>1</v>
      </c>
      <c r="M2165" s="8">
        <f>L2165*G2165</f>
        <v/>
      </c>
      <c r="P2165" s="9" t="n"/>
    </row>
    <row r="2166">
      <c r="A2166" s="13" t="inlineStr">
        <is>
          <t>Obsianus Golem / Golem Obsianus</t>
        </is>
      </c>
      <c r="B2166" s="13" t="inlineStr">
        <is>
          <t>Artifact Creature — Golem</t>
        </is>
      </c>
      <c r="C2166" s="13" t="inlineStr">
        <is>
          <t>Uncommon / Incomum</t>
        </is>
      </c>
      <c r="E2166" s="13" t="inlineStr">
        <is>
          <t>{6}</t>
        </is>
      </c>
      <c r="F2166" s="13" t="inlineStr">
        <is>
          <t>Incolor</t>
        </is>
      </c>
      <c r="G2166" s="8" t="n">
        <v>0.4</v>
      </c>
      <c r="H2166" s="13" t="inlineStr">
        <is>
          <t>Fourth Edition (BB)</t>
        </is>
      </c>
      <c r="I2166" s="13" t="inlineStr">
        <is>
          <t>Não</t>
        </is>
      </c>
      <c r="J2166" s="13" t="n">
        <v>1995</v>
      </c>
      <c r="K2166" s="10" t="n">
        <v>46177</v>
      </c>
      <c r="L2166" s="13" t="n">
        <v>2</v>
      </c>
      <c r="M2166" s="8">
        <f>L2166*G2166</f>
        <v/>
      </c>
      <c r="P2166" s="9" t="n"/>
    </row>
    <row r="2167">
      <c r="A2167" s="13" t="inlineStr">
        <is>
          <t>Obsidian Acolyte</t>
        </is>
      </c>
      <c r="B2167" s="13" t="inlineStr">
        <is>
          <t>Creature — Cleric</t>
        </is>
      </c>
      <c r="C2167" s="13" t="inlineStr">
        <is>
          <t>Common</t>
        </is>
      </c>
      <c r="D2167" s="13" t="inlineStr">
        <is>
          <t>Protection from Preto, {W}: Target creature gains protection from Preto until end of turn.</t>
        </is>
      </c>
      <c r="E2167" s="13" t="inlineStr">
        <is>
          <t>{1}{W}</t>
        </is>
      </c>
      <c r="F2167" s="13" t="inlineStr">
        <is>
          <t>Branco</t>
        </is>
      </c>
      <c r="G2167" s="8" t="n">
        <v>2.5</v>
      </c>
      <c r="H2167" s="13" t="inlineStr">
        <is>
          <t>Invasion (INV)</t>
        </is>
      </c>
      <c r="I2167" s="13" t="inlineStr">
        <is>
          <t>Não</t>
        </is>
      </c>
      <c r="J2167" s="13" t="n">
        <v>2000</v>
      </c>
      <c r="K2167" s="10" t="n">
        <v>46023</v>
      </c>
      <c r="L2167" s="13" t="n">
        <v>1</v>
      </c>
      <c r="M2167" s="8">
        <f>L2167*G2167</f>
        <v/>
      </c>
      <c r="P2167" s="9" t="n"/>
    </row>
    <row r="2168">
      <c r="A2168" s="13" t="inlineStr">
        <is>
          <t>Octopus Form</t>
        </is>
      </c>
      <c r="B2168" s="13" t="inlineStr">
        <is>
          <t>Instant — Lesson</t>
        </is>
      </c>
      <c r="C2168" s="13" t="inlineStr">
        <is>
          <t>Common / Comum</t>
        </is>
      </c>
      <c r="D2168" s="13" t="inlineStr">
        <is>
          <t>Target creature you control gets +1/+1 and gains hexproof until end of turn. Untap it. (It can't be the target of spells or abilities your opponents control.)</t>
        </is>
      </c>
      <c r="E2168" s="13" t="inlineStr">
        <is>
          <t>{U}</t>
        </is>
      </c>
      <c r="F2168" s="13" t="inlineStr">
        <is>
          <t>Azul</t>
        </is>
      </c>
      <c r="G2168" s="8" t="n">
        <v>0.1</v>
      </c>
      <c r="H2168" s="13" t="inlineStr">
        <is>
          <t>Avatar: The Last Airbender (TLA)</t>
        </is>
      </c>
      <c r="I2168" s="13" t="inlineStr">
        <is>
          <t>Não</t>
        </is>
      </c>
      <c r="J2168" s="13" t="n">
        <v>2025</v>
      </c>
      <c r="L2168" s="13" t="n">
        <v>2</v>
      </c>
      <c r="M2168" s="8">
        <f>L2168*G2168</f>
        <v/>
      </c>
      <c r="P2168" s="9" t="n"/>
    </row>
    <row r="2169">
      <c r="A2169" s="13" t="inlineStr">
        <is>
          <t>Ogre Battledriver / Condutor de Guerra Ogro</t>
        </is>
      </c>
      <c r="B2169" s="13" t="inlineStr">
        <is>
          <t>Criatura — Ogro Guerreiro</t>
        </is>
      </c>
      <c r="C2169" s="13" t="inlineStr">
        <is>
          <t>Rara</t>
        </is>
      </c>
      <c r="D2169" s="13" t="inlineStr">
        <is>
          <t>Toda vez que outra criatura entrar no campo de batalha sob o seu controle, aquela criatura receberá +2/+0 e ganhará ímpeto até o final do turno.</t>
        </is>
      </c>
      <c r="E2169" s="13" t="inlineStr">
        <is>
          <t>2RR</t>
        </is>
      </c>
      <c r="F2169" s="13" t="inlineStr">
        <is>
          <t>Vermelho</t>
        </is>
      </c>
      <c r="G2169" s="8" t="n">
        <v>2.39</v>
      </c>
      <c r="H2169" s="13" t="inlineStr">
        <is>
          <t>Duel Decks: Speed vs. Cunning</t>
        </is>
      </c>
      <c r="I2169" s="13" t="inlineStr">
        <is>
          <t>Não</t>
        </is>
      </c>
      <c r="J2169" s="13" t="n">
        <v>2014</v>
      </c>
      <c r="K2169" s="10" t="n">
        <v>46084</v>
      </c>
      <c r="L2169" s="13" t="n">
        <v>1</v>
      </c>
      <c r="M2169" s="8">
        <f>L2169*G2169</f>
        <v/>
      </c>
      <c r="P2169" s="9" t="n"/>
    </row>
    <row r="2170">
      <c r="A2170" s="13" t="inlineStr">
        <is>
          <t>Ohran Yeti / Yeti de Ohran</t>
        </is>
      </c>
      <c r="B2170" s="13" t="inlineStr">
        <is>
          <t>Snow Creature — Yeti / Criatura da Neve — Yeti</t>
        </is>
      </c>
      <c r="C2170" s="13" t="inlineStr">
        <is>
          <t>Common / Comum</t>
        </is>
      </c>
      <c r="D2170" s="13" t="inlineStr">
        <is>
          <t>{2}{S}: Target snow creature gains first strike until end of turn. ({S} can be paid with one mana from a snow source.) / {2}{S}: A criatura da neve alvo ganha iniciativa até o final do turno. ({S} pode ser pago com um mana de uma permanente da neve.)</t>
        </is>
      </c>
      <c r="E2170" s="13" t="inlineStr">
        <is>
          <t>{3}{R}</t>
        </is>
      </c>
      <c r="F2170" s="13" t="inlineStr">
        <is>
          <t>Vermelho</t>
        </is>
      </c>
      <c r="G2170" s="8" t="n">
        <v>0.09</v>
      </c>
      <c r="H2170" s="13" t="inlineStr">
        <is>
          <t>Coldsnap (CSP)</t>
        </is>
      </c>
      <c r="I2170" s="13" t="inlineStr">
        <is>
          <t>Não</t>
        </is>
      </c>
      <c r="J2170" s="13" t="n">
        <v>2006</v>
      </c>
      <c r="K2170" s="10" t="n">
        <v>46084</v>
      </c>
      <c r="L2170" s="13" t="n">
        <v>1</v>
      </c>
      <c r="M2170" s="8">
        <f>L2170*G2170</f>
        <v/>
      </c>
      <c r="P2170" s="9" t="n"/>
    </row>
    <row r="2171">
      <c r="A2171" s="13" t="inlineStr">
        <is>
          <t>Oko's Hospitality / Hospitalidade de Oko</t>
        </is>
      </c>
      <c r="B2171" s="13" t="inlineStr">
        <is>
          <t>Instant / Mágica Instantânea</t>
        </is>
      </c>
      <c r="C2171" s="13" t="inlineStr">
        <is>
          <t>Rare / Rara</t>
        </is>
      </c>
      <c r="D2171" s="13"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2171" s="13" t="inlineStr">
        <is>
          <t>{3}{G}{U}</t>
        </is>
      </c>
      <c r="F2171" s="13" t="inlineStr">
        <is>
          <t>Verde, Azul</t>
        </is>
      </c>
      <c r="G2171" s="8" t="n">
        <v>0.25</v>
      </c>
      <c r="H2171" s="13" t="inlineStr">
        <is>
          <t>Throne of Eldraine (ELD)</t>
        </is>
      </c>
      <c r="I2171" s="13" t="inlineStr">
        <is>
          <t>Não</t>
        </is>
      </c>
      <c r="J2171" s="13" t="n">
        <v>2019</v>
      </c>
      <c r="L2171" s="13" t="n">
        <v>1</v>
      </c>
      <c r="M2171" s="8">
        <f>L2171*G2171</f>
        <v/>
      </c>
      <c r="P2171" s="9" t="n"/>
    </row>
    <row r="2172">
      <c r="A2172" s="13" t="inlineStr">
        <is>
          <t>Old Hob, Alleycat Blues</t>
        </is>
      </c>
      <c r="B2172" s="13" t="inlineStr">
        <is>
          <t>Legendary Creature — Cat Mutant Rebel</t>
        </is>
      </c>
      <c r="C2172" s="13" t="inlineStr">
        <is>
          <t>Uncommon / Incomum</t>
        </is>
      </c>
      <c r="D2172" s="13" t="inlineStr">
        <is>
          <t>At the beginning of combat on your turn, create a 2/2 red Mutant creature token. It gains haste until end of turn. Destroy it at the beginning of the next end step. {1}{W}: Target attacking creature token gains indestructible until end of turn.</t>
        </is>
      </c>
      <c r="E2172" s="13" t="inlineStr">
        <is>
          <t>{4}{R}</t>
        </is>
      </c>
      <c r="F2172" s="13" t="inlineStr">
        <is>
          <t>Vermelho</t>
        </is>
      </c>
      <c r="G2172" s="8" t="n">
        <v>0.08</v>
      </c>
      <c r="H2172" s="13" t="inlineStr">
        <is>
          <t>Teenage Mutant Ninja Turtles (TMT)</t>
        </is>
      </c>
      <c r="I2172" s="13" t="inlineStr">
        <is>
          <t>Não</t>
        </is>
      </c>
      <c r="J2172" s="13" t="n">
        <v>2026</v>
      </c>
      <c r="K2172" s="10" t="n">
        <v>46116</v>
      </c>
      <c r="L2172" s="13" t="n">
        <v>2</v>
      </c>
      <c r="M2172" s="8">
        <f>L2172*G2172</f>
        <v/>
      </c>
      <c r="P2172" s="9" t="n"/>
    </row>
    <row r="2173">
      <c r="A2173" s="13" t="inlineStr">
        <is>
          <t>Old Rutstein / Velho Rutstein</t>
        </is>
      </c>
      <c r="B2173" s="13" t="inlineStr">
        <is>
          <t>Legendary Creature — Human Peasant / Criatura Lendária — Humano Plebeu</t>
        </is>
      </c>
      <c r="C2173" s="13" t="inlineStr">
        <is>
          <t>Rare / Rara</t>
        </is>
      </c>
      <c r="D2173" s="13"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2173" s="13" t="inlineStr">
        <is>
          <t>{1}{B}{G}</t>
        </is>
      </c>
      <c r="F2173" s="13" t="inlineStr">
        <is>
          <t>Preto, Verde</t>
        </is>
      </c>
      <c r="G2173" s="8" t="n">
        <v>3.28</v>
      </c>
      <c r="H2173" s="13" t="inlineStr">
        <is>
          <t>Innistrad: Crimson Vow (VOW)</t>
        </is>
      </c>
      <c r="I2173" s="13" t="inlineStr">
        <is>
          <t>Não</t>
        </is>
      </c>
      <c r="J2173" s="13" t="n">
        <v>2021</v>
      </c>
      <c r="K2173" s="10" t="n">
        <v>46113</v>
      </c>
      <c r="L2173" s="13" t="n">
        <v>1</v>
      </c>
      <c r="M2173" s="8">
        <f>L2173*G2173</f>
        <v/>
      </c>
      <c r="P2173" s="9" t="n"/>
    </row>
    <row r="2174">
      <c r="A2174" s="13" t="inlineStr">
        <is>
          <t>Olho do Peregrino / Pilgrim's Eye</t>
        </is>
      </c>
      <c r="B2174" s="13" t="inlineStr">
        <is>
          <t>Criatura Artefato — Tóptero / Artifact Creature — Thopter</t>
        </is>
      </c>
      <c r="C2174" s="13" t="inlineStr">
        <is>
          <t>Comum / Common</t>
        </is>
      </c>
      <c r="D2174" s="13"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2174" s="13" t="inlineStr">
        <is>
          <t>{3}</t>
        </is>
      </c>
      <c r="F2174" s="13" t="inlineStr">
        <is>
          <t>Incolor / Colorless</t>
        </is>
      </c>
      <c r="G2174" s="8" t="n">
        <v>0.06</v>
      </c>
      <c r="H2174" s="13" t="inlineStr">
        <is>
          <t>Commander Masters (CMM)</t>
        </is>
      </c>
      <c r="I2174" s="13" t="inlineStr">
        <is>
          <t>No</t>
        </is>
      </c>
      <c r="J2174" s="13" t="n">
        <v>2023</v>
      </c>
      <c r="K2174" s="10" t="n">
        <v>46023</v>
      </c>
      <c r="L2174" s="13" t="n">
        <v>1</v>
      </c>
      <c r="M2174" s="8">
        <f>L2174*G2174</f>
        <v/>
      </c>
      <c r="P2174" s="9" t="n"/>
    </row>
    <row r="2175">
      <c r="A2175" s="13" t="inlineStr">
        <is>
          <t>Olifante / Oliphaunt</t>
        </is>
      </c>
      <c r="B2175" s="13" t="inlineStr">
        <is>
          <t>Criatura — Elefante</t>
        </is>
      </c>
      <c r="C2175" s="13" t="inlineStr">
        <is>
          <t>Comum</t>
        </is>
      </c>
      <c r="D2175" s="13" t="inlineStr">
        <is>
          <t>Atropelar. Toda vez que Olifante ataca, outra criatura alvo que você controla recebe +2/+0 e ganha atropelar até o final do turno. Reciclar Montanha {1}</t>
        </is>
      </c>
      <c r="E2175" s="13" t="inlineStr">
        <is>
          <t>5{R}</t>
        </is>
      </c>
      <c r="F2175" s="13" t="inlineStr">
        <is>
          <t>Vermelho</t>
        </is>
      </c>
      <c r="G2175" s="8" t="n">
        <v>0.99</v>
      </c>
      <c r="H2175" s="13" t="inlineStr">
        <is>
          <t>The Lord of the Rings: Tales of Middle-earth (LTR)</t>
        </is>
      </c>
      <c r="I2175" s="13" t="inlineStr">
        <is>
          <t>Não</t>
        </is>
      </c>
      <c r="J2175" s="13" t="n">
        <v>2023</v>
      </c>
      <c r="K2175" s="10" t="n">
        <v>46118</v>
      </c>
      <c r="L2175" s="13" t="n">
        <v>4</v>
      </c>
      <c r="M2175" s="8">
        <f>L2175*G2175</f>
        <v/>
      </c>
      <c r="P2175" s="9" t="n"/>
    </row>
    <row r="2176">
      <c r="A2176" s="13" t="inlineStr">
        <is>
          <t>Omen of the Hunt / Augúrio da Caça</t>
        </is>
      </c>
      <c r="B2176" s="13" t="inlineStr">
        <is>
          <t>Enchantment / Encantamento</t>
        </is>
      </c>
      <c r="C2176" s="13" t="inlineStr">
        <is>
          <t>Common / Comum</t>
        </is>
      </c>
      <c r="D2176" s="13"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2176" s="13" t="inlineStr">
        <is>
          <t>{2}{G}</t>
        </is>
      </c>
      <c r="F2176" s="13" t="inlineStr">
        <is>
          <t>Verde</t>
        </is>
      </c>
      <c r="G2176" s="8" t="n">
        <v>0.06</v>
      </c>
      <c r="H2176" s="13" t="inlineStr">
        <is>
          <t>Theros Beyond Death (THB)</t>
        </is>
      </c>
      <c r="I2176" s="13" t="inlineStr">
        <is>
          <t>Não</t>
        </is>
      </c>
      <c r="J2176" s="13" t="n">
        <v>2020</v>
      </c>
      <c r="L2176" s="13" t="n">
        <v>4</v>
      </c>
      <c r="M2176" s="8">
        <f>L2176*G2176</f>
        <v/>
      </c>
      <c r="P2176" s="9" t="n"/>
    </row>
    <row r="2177">
      <c r="A2177" s="13" t="inlineStr">
        <is>
          <t>Omni-Changeling</t>
        </is>
      </c>
      <c r="B2177" s="13" t="inlineStr">
        <is>
          <t>Creature — Shapeshifter</t>
        </is>
      </c>
      <c r="C2177" s="13" t="inlineStr">
        <is>
          <t>Uncommon</t>
        </is>
      </c>
      <c r="D2177" s="13"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2177" s="13" t="inlineStr">
        <is>
          <t>{3}{U}{U}</t>
        </is>
      </c>
      <c r="F2177" s="13" t="inlineStr">
        <is>
          <t>Azul</t>
        </is>
      </c>
      <c r="G2177" s="8" t="n">
        <v>0.24</v>
      </c>
      <c r="H2177" s="13" t="inlineStr">
        <is>
          <t>Lorwyn Eclipsed (ECL)</t>
        </is>
      </c>
      <c r="I2177" s="13" t="inlineStr">
        <is>
          <t>Não</t>
        </is>
      </c>
      <c r="J2177" s="13" t="n">
        <v>2026</v>
      </c>
      <c r="K2177" s="13" t="inlineStr">
        <is>
          <t>0/0</t>
        </is>
      </c>
      <c r="L2177" s="13" t="n">
        <v>1</v>
      </c>
      <c r="M2177" s="8">
        <f>L2177*G2177</f>
        <v/>
      </c>
      <c r="P2177" s="9" t="n"/>
    </row>
    <row r="2178">
      <c r="A2178" s="13" t="inlineStr">
        <is>
          <t>Omni-Cheese Pizza</t>
        </is>
      </c>
      <c r="B2178" s="13" t="inlineStr">
        <is>
          <t>Artifact — Food</t>
        </is>
      </c>
      <c r="C2178" s="13" t="inlineStr">
        <is>
          <t>Common / Comum</t>
        </is>
      </c>
      <c r="D2178" s="13" t="inlineStr">
        <is>
          <t>When this artifact enters, draw a card. {1}, {T}, Sacrifice this artifact: Add one mana of any color. {2}, {T}, Sacrifice this artifact: You gain 3 life.</t>
        </is>
      </c>
      <c r="E2178" s="13" t="inlineStr">
        <is>
          <t>{2}</t>
        </is>
      </c>
      <c r="F2178" s="13" t="inlineStr">
        <is>
          <t>Incolor</t>
        </is>
      </c>
      <c r="G2178" s="8" t="n">
        <v>0.1</v>
      </c>
      <c r="H2178" s="13" t="inlineStr">
        <is>
          <t>Teenage Mutant Ninja Turtles (TMT)</t>
        </is>
      </c>
      <c r="I2178" s="13" t="inlineStr">
        <is>
          <t>Não</t>
        </is>
      </c>
      <c r="J2178" s="13" t="n">
        <v>2026</v>
      </c>
      <c r="L2178" s="13" t="n">
        <v>2</v>
      </c>
      <c r="M2178" s="8">
        <f>L2178*G2178</f>
        <v/>
      </c>
      <c r="P2178" s="9" t="n"/>
    </row>
    <row r="2179">
      <c r="A2179" s="13" t="inlineStr">
        <is>
          <t>On the Job / Ao Trabalho</t>
        </is>
      </c>
      <c r="B2179" s="13" t="inlineStr">
        <is>
          <t>Instant / Mágica Instantânea</t>
        </is>
      </c>
      <c r="C2179" s="13" t="inlineStr">
        <is>
          <t>Common / Comum</t>
        </is>
      </c>
      <c r="D2179" s="13" t="inlineStr">
        <is>
          <t>Creatures you control get +2/+1 until end of turn. Investigate. (Create a Clue token. It's an artifact with "{2}, Sacrifice this token: Draw a card.") / As criaturas que você controla recebem +2/+1 até o final do turno. Investigue.</t>
        </is>
      </c>
      <c r="E2179" s="13" t="inlineStr">
        <is>
          <t>{2}{W}{W}</t>
        </is>
      </c>
      <c r="F2179" s="13" t="inlineStr">
        <is>
          <t>Branco</t>
        </is>
      </c>
      <c r="G2179" s="8" t="n">
        <v>0.13</v>
      </c>
      <c r="H2179" s="13" t="inlineStr">
        <is>
          <t>Murders at Karlov Manor (MKM)</t>
        </is>
      </c>
      <c r="I2179" s="13" t="inlineStr">
        <is>
          <t>Não</t>
        </is>
      </c>
      <c r="J2179" s="13" t="n">
        <v>2024</v>
      </c>
      <c r="L2179" s="13" t="n">
        <v>1</v>
      </c>
      <c r="M2179" s="8">
        <f>L2179*G2179</f>
        <v/>
      </c>
      <c r="P2179" s="9" t="n"/>
    </row>
    <row r="2180">
      <c r="A2180" s="13" t="inlineStr">
        <is>
          <t>Ondu War Cleric / Clérigo da Guerra de Ondu</t>
        </is>
      </c>
      <c r="B2180" s="13" t="inlineStr">
        <is>
          <t>Creature — Human Cleric Ally / Criatura — Humano Clérigo Aliado</t>
        </is>
      </c>
      <c r="C2180" s="13" t="inlineStr">
        <is>
          <t>Common / Comum</t>
        </is>
      </c>
      <c r="D2180" s="13" t="inlineStr">
        <is>
          <t>Cohort — {T}, Tap an untapped Ally you control: You gain 2 life. / Companheiro — {T}, Vire um Aliado desvirado que você controla: Você ganha 2 pontos de vida.</t>
        </is>
      </c>
      <c r="E2180" s="13" t="inlineStr">
        <is>
          <t>{1}{W}</t>
        </is>
      </c>
      <c r="F2180" s="13" t="inlineStr">
        <is>
          <t>Branco</t>
        </is>
      </c>
      <c r="G2180" s="8" t="n">
        <v>0.06</v>
      </c>
      <c r="H2180" s="13" t="inlineStr">
        <is>
          <t>Oath of the Gatewatch (OGW)</t>
        </is>
      </c>
      <c r="I2180" s="13" t="inlineStr">
        <is>
          <t>Não</t>
        </is>
      </c>
      <c r="J2180" s="13" t="n">
        <v>2016</v>
      </c>
      <c r="K2180" s="10" t="n">
        <v>46055</v>
      </c>
      <c r="L2180" s="13" t="n">
        <v>1</v>
      </c>
      <c r="M2180" s="8">
        <f>L2180*G2180</f>
        <v/>
      </c>
      <c r="P2180" s="9" t="n"/>
    </row>
    <row r="2181">
      <c r="A2181" s="13" t="inlineStr">
        <is>
          <t>Oni of Wild Places / Oni de Lugares Selvagens</t>
        </is>
      </c>
      <c r="B2181" s="13" t="inlineStr">
        <is>
          <t>Criatura — Demônio Espírito</t>
        </is>
      </c>
      <c r="C2181" s="13" t="inlineStr">
        <is>
          <t>Incomum</t>
        </is>
      </c>
      <c r="D2181" s="13" t="inlineStr">
        <is>
          <t>Ímpeto. No início da sua manutenção, devolva uma criatura vermelha que você controla para a mão de seu dono.</t>
        </is>
      </c>
      <c r="E2181" s="13" t="inlineStr">
        <is>
          <t>5R</t>
        </is>
      </c>
      <c r="F2181" s="13" t="inlineStr">
        <is>
          <t>Vermelho</t>
        </is>
      </c>
      <c r="G2181" s="8" t="n">
        <v>0.1</v>
      </c>
      <c r="H2181" s="13" t="inlineStr">
        <is>
          <t>Duel Decks: Speed vs. Cunning</t>
        </is>
      </c>
      <c r="I2181" s="13" t="inlineStr">
        <is>
          <t>Não</t>
        </is>
      </c>
      <c r="J2181" s="13" t="n">
        <v>2014</v>
      </c>
      <c r="K2181" s="10" t="n">
        <v>46148</v>
      </c>
      <c r="L2181" s="13" t="n">
        <v>1</v>
      </c>
      <c r="M2181" s="8">
        <f>L2181*G2181</f>
        <v/>
      </c>
      <c r="P2181" s="9" t="n"/>
    </row>
    <row r="2182">
      <c r="A2182" s="13" t="inlineStr">
        <is>
          <t>Onslaught / Investida Violenta</t>
        </is>
      </c>
      <c r="B2182" s="13" t="inlineStr">
        <is>
          <t>Enchantment</t>
        </is>
      </c>
      <c r="C2182" s="13" t="inlineStr">
        <is>
          <t>Common / Comum</t>
        </is>
      </c>
      <c r="D2182" s="13" t="inlineStr">
        <is>
          <t>Whenever you cast a creature spell, tap target creature.</t>
        </is>
      </c>
      <c r="E2182" s="13" t="inlineStr">
        <is>
          <t>{R}</t>
        </is>
      </c>
      <c r="F2182" s="13" t="inlineStr">
        <is>
          <t>Vermelho</t>
        </is>
      </c>
      <c r="G2182" s="8" t="n">
        <v>0.05</v>
      </c>
      <c r="H2182" s="13" t="inlineStr">
        <is>
          <t>Exodus (EXO)</t>
        </is>
      </c>
      <c r="I2182" s="13" t="inlineStr">
        <is>
          <t>Não</t>
        </is>
      </c>
      <c r="J2182" s="13" t="n">
        <v>1998</v>
      </c>
      <c r="L2182" s="13" t="n">
        <v>2</v>
      </c>
      <c r="M2182" s="8">
        <f>L2182*G2182</f>
        <v/>
      </c>
      <c r="P2182" s="9" t="n"/>
    </row>
    <row r="2183">
      <c r="A2183" s="13" t="inlineStr">
        <is>
          <t>Onulet / Onuleto</t>
        </is>
      </c>
      <c r="B2183" s="13" t="inlineStr">
        <is>
          <t>Artifact Creature — Construct</t>
        </is>
      </c>
      <c r="C2183" s="13" t="inlineStr">
        <is>
          <t>Uncommon / Incomum</t>
        </is>
      </c>
      <c r="D2183" s="13" t="inlineStr">
        <is>
          <t>When this creature dies, you gain 2 life.</t>
        </is>
      </c>
      <c r="E2183" s="13" t="inlineStr">
        <is>
          <t>{3}</t>
        </is>
      </c>
      <c r="F2183" s="13" t="inlineStr">
        <is>
          <t>Incolor</t>
        </is>
      </c>
      <c r="G2183" s="8" t="n">
        <v>0.34</v>
      </c>
      <c r="H2183" s="13" t="inlineStr">
        <is>
          <t>Antiquities (ATQ)</t>
        </is>
      </c>
      <c r="I2183" s="13" t="inlineStr">
        <is>
          <t>Não</t>
        </is>
      </c>
      <c r="J2183" s="13" t="n">
        <v>1994</v>
      </c>
      <c r="K2183" s="10" t="n">
        <v>46055</v>
      </c>
      <c r="L2183" s="13" t="n">
        <v>2</v>
      </c>
      <c r="M2183" s="8">
        <f>L2183*G2183</f>
        <v/>
      </c>
      <c r="P2183" s="9" t="n"/>
    </row>
    <row r="2184">
      <c r="A2184" s="13" t="inlineStr">
        <is>
          <t>Onyx Talisman / Talismã de Ônix</t>
        </is>
      </c>
      <c r="B2184" s="13" t="inlineStr">
        <is>
          <t>Artifact / Artefato</t>
        </is>
      </c>
      <c r="C2184" s="13" t="inlineStr">
        <is>
          <t>Uncommon / Incomum</t>
        </is>
      </c>
      <c r="D2184" s="13"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2184" s="13" t="inlineStr">
        <is>
          <t>{2}</t>
        </is>
      </c>
      <c r="F2184" s="13" t="inlineStr">
        <is>
          <t>Incolor</t>
        </is>
      </c>
      <c r="G2184" s="8" t="n">
        <v>0.18</v>
      </c>
      <c r="H2184" s="13" t="inlineStr">
        <is>
          <t>Ice Age (ICE)</t>
        </is>
      </c>
      <c r="I2184" s="13" t="inlineStr">
        <is>
          <t>No</t>
        </is>
      </c>
      <c r="J2184" s="13" t="n">
        <v>1995</v>
      </c>
      <c r="L2184" s="13" t="n">
        <v>1</v>
      </c>
      <c r="M2184" s="8">
        <f>L2184*G2184</f>
        <v/>
      </c>
      <c r="P2184" s="9" t="n"/>
    </row>
    <row r="2185">
      <c r="A2185" s="13" t="inlineStr">
        <is>
          <t>Oona's Gatewarden / Guardião dos Portões de Oona</t>
        </is>
      </c>
      <c r="B2185" s="13" t="inlineStr">
        <is>
          <t>Creature — Faerie Soldier / Criatura — Fada Soldado</t>
        </is>
      </c>
      <c r="C2185" s="13" t="inlineStr">
        <is>
          <t>Common / Comum</t>
        </is>
      </c>
      <c r="D2185" s="13" t="inlineStr">
        <is>
          <t>Defender, flying Wither (This deals damage to creatures in the form of -1/-1 counters.) / Voar, defensor Murchar (Esta fonte causa dano a criaturas na forma de marcadores -1/-1.)</t>
        </is>
      </c>
      <c r="E2185" s="13" t="inlineStr">
        <is>
          <t>{U/B}</t>
        </is>
      </c>
      <c r="F2185" s="13" t="inlineStr">
        <is>
          <t>Preto, Azul</t>
        </is>
      </c>
      <c r="G2185" s="8" t="n">
        <v>0.14</v>
      </c>
      <c r="H2185" s="13" t="inlineStr">
        <is>
          <t>Shadowmoor (SHM)</t>
        </is>
      </c>
      <c r="I2185" s="13" t="inlineStr">
        <is>
          <t>Não</t>
        </is>
      </c>
      <c r="J2185" s="13" t="n">
        <v>2008</v>
      </c>
      <c r="K2185" s="10" t="n">
        <v>46024</v>
      </c>
      <c r="L2185" s="13" t="n">
        <v>1</v>
      </c>
      <c r="M2185" s="8">
        <f>L2185*G2185</f>
        <v/>
      </c>
      <c r="P2185" s="9" t="n"/>
    </row>
    <row r="2186">
      <c r="A2186" s="13" t="inlineStr">
        <is>
          <t>Ooze Spill</t>
        </is>
      </c>
      <c r="B2186" s="13" t="inlineStr">
        <is>
          <t>Instant</t>
        </is>
      </c>
      <c r="C2186" s="13" t="inlineStr">
        <is>
          <t>Uncommon / Incomum</t>
        </is>
      </c>
      <c r="D2186" s="13" t="inlineStr">
        <is>
          <t>Counter target spell. Create a Mutagen token. (It's an artifact with "{1}, {T}, Sacrifice this token: Put a +1/+1 counter on target creature. Activate only as a sorcery.")</t>
        </is>
      </c>
      <c r="E2186" s="13" t="inlineStr">
        <is>
          <t>{1}{U}{U}</t>
        </is>
      </c>
      <c r="F2186" s="13" t="inlineStr">
        <is>
          <t>Azul</t>
        </is>
      </c>
      <c r="G2186" s="8" t="n">
        <v>0.11</v>
      </c>
      <c r="H2186" s="13" t="inlineStr">
        <is>
          <t>Teenage Mutant Ninja Turtles (TMT)</t>
        </is>
      </c>
      <c r="I2186" s="13" t="inlineStr">
        <is>
          <t>Não</t>
        </is>
      </c>
      <c r="J2186" s="13" t="n">
        <v>2026</v>
      </c>
      <c r="L2186" s="13" t="n">
        <v>2</v>
      </c>
      <c r="M2186" s="8">
        <f>L2186*G2186</f>
        <v/>
      </c>
      <c r="P2186" s="9" t="n"/>
    </row>
    <row r="2187">
      <c r="A2187" s="13" t="inlineStr">
        <is>
          <t>Opal Lake Gatekeepers / Porteiros do Lago de Opala</t>
        </is>
      </c>
      <c r="B2187" s="13" t="inlineStr">
        <is>
          <t>Creature — Vedalken Soldier / Criatura — Vedalkeano Soldado</t>
        </is>
      </c>
      <c r="C2187" s="13" t="inlineStr">
        <is>
          <t>Common / Comum</t>
        </is>
      </c>
      <c r="D2187" s="13" t="inlineStr">
        <is>
          <t>When this creature enters, if you control two or more Gates, you may draw a card. / Quando Porteiros do Lago de Opala entrar no campo de batalha, se você controlar dois ou mais Portões, poderá comprar um card.</t>
        </is>
      </c>
      <c r="E2187" s="13" t="inlineStr">
        <is>
          <t>{3}{U}</t>
        </is>
      </c>
      <c r="F2187" s="13" t="inlineStr">
        <is>
          <t>Azul</t>
        </is>
      </c>
      <c r="G2187" s="8" t="n">
        <v>0.05</v>
      </c>
      <c r="H2187" s="13" t="inlineStr">
        <is>
          <t>Dragon's Maze (DGM)</t>
        </is>
      </c>
      <c r="I2187" s="13" t="inlineStr">
        <is>
          <t>Não</t>
        </is>
      </c>
      <c r="J2187" s="13" t="n">
        <v>2013</v>
      </c>
      <c r="K2187" s="10" t="n">
        <v>46114</v>
      </c>
      <c r="L2187" s="13" t="n">
        <v>1</v>
      </c>
      <c r="M2187" s="8">
        <f>L2187*G2187</f>
        <v/>
      </c>
      <c r="P2187" s="9" t="n"/>
    </row>
    <row r="2188">
      <c r="A2188" s="13" t="inlineStr">
        <is>
          <t>Oppressive Rays / Raios Opressores</t>
        </is>
      </c>
      <c r="B2188" s="13" t="inlineStr">
        <is>
          <t>Enchantment — Aura / Encantamento — Aura</t>
        </is>
      </c>
      <c r="C2188" s="13" t="inlineStr">
        <is>
          <t>Common / Comum</t>
        </is>
      </c>
      <c r="D2188" s="13"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188" s="13" t="inlineStr">
        <is>
          <t>{W}</t>
        </is>
      </c>
      <c r="F2188" s="13" t="inlineStr">
        <is>
          <t>Branco</t>
        </is>
      </c>
      <c r="G2188" s="8" t="n">
        <v>0.03</v>
      </c>
      <c r="H2188" s="13" t="inlineStr">
        <is>
          <t>Journey into Nyx (JOU)</t>
        </is>
      </c>
      <c r="I2188" s="13" t="inlineStr">
        <is>
          <t>Não</t>
        </is>
      </c>
      <c r="J2188" s="13" t="n">
        <v>2014</v>
      </c>
      <c r="L2188" s="13" t="n">
        <v>5</v>
      </c>
      <c r="M2188" s="8">
        <f>L2188*G2188</f>
        <v/>
      </c>
      <c r="P2188" s="9" t="n"/>
    </row>
    <row r="2189">
      <c r="A2189" s="13" t="inlineStr">
        <is>
          <t>Oran-Rief Recluse / Eremita de Oran-Rief</t>
        </is>
      </c>
      <c r="B2189" s="13" t="inlineStr">
        <is>
          <t>Creature — Spider / Criatura — Aranha</t>
        </is>
      </c>
      <c r="C2189" s="13" t="inlineStr">
        <is>
          <t>Common / Comum</t>
        </is>
      </c>
      <c r="D2189" s="13"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2189" s="13" t="inlineStr">
        <is>
          <t>{2}{G}</t>
        </is>
      </c>
      <c r="F2189" s="13" t="inlineStr">
        <is>
          <t>Verde</t>
        </is>
      </c>
      <c r="G2189" s="8" t="n">
        <v>0.05</v>
      </c>
      <c r="H2189" s="13" t="inlineStr">
        <is>
          <t>Zendikar (ZEN)</t>
        </is>
      </c>
      <c r="I2189" s="13" t="inlineStr">
        <is>
          <t>Não</t>
        </is>
      </c>
      <c r="J2189" s="13" t="n">
        <v>2009</v>
      </c>
      <c r="K2189" s="10" t="n">
        <v>46082</v>
      </c>
      <c r="L2189" s="13" t="n">
        <v>1</v>
      </c>
      <c r="M2189" s="8">
        <f>L2189*G2189</f>
        <v/>
      </c>
      <c r="P2189" s="9" t="n"/>
    </row>
    <row r="2190">
      <c r="A2190" s="13" t="inlineStr">
        <is>
          <t>Orazca Frillback / Dorso-frisado de Orazca</t>
        </is>
      </c>
      <c r="B2190" s="13" t="inlineStr">
        <is>
          <t>Creature — Dinosaur / Criatura — Dinossauro</t>
        </is>
      </c>
      <c r="C2190" s="13" t="inlineStr">
        <is>
          <t>Common / Comum</t>
        </is>
      </c>
      <c r="E2190" s="13" t="inlineStr">
        <is>
          <t>{2}{G}</t>
        </is>
      </c>
      <c r="F2190" s="13" t="inlineStr">
        <is>
          <t>Verde</t>
        </is>
      </c>
      <c r="G2190" s="8" t="n">
        <v>0.03</v>
      </c>
      <c r="H2190" s="13" t="inlineStr">
        <is>
          <t>Rivals of Ixalan (RIX)</t>
        </is>
      </c>
      <c r="I2190" s="13" t="inlineStr">
        <is>
          <t>Não</t>
        </is>
      </c>
      <c r="J2190" s="13" t="n">
        <v>2018</v>
      </c>
      <c r="K2190" s="10" t="n">
        <v>46057</v>
      </c>
      <c r="L2190" s="13" t="n">
        <v>1</v>
      </c>
      <c r="M2190" s="8">
        <f>L2190*G2190</f>
        <v/>
      </c>
      <c r="P2190" s="9" t="n"/>
    </row>
    <row r="2191">
      <c r="A2191" s="13" t="inlineStr">
        <is>
          <t>Orcish Artillery / Artilharia Órquica</t>
        </is>
      </c>
      <c r="B2191" s="13" t="inlineStr">
        <is>
          <t>Creature — Orc Warrior / Criatura — Orc Guerreiro</t>
        </is>
      </c>
      <c r="C2191" s="13" t="inlineStr">
        <is>
          <t>Uncommon / Incomum</t>
        </is>
      </c>
      <c r="D2191" s="13" t="inlineStr">
        <is>
          <t>{T}: This creature deals 2 damage to any target and 3 damage to you. / {T}: Artilharia Órquica causa 2 pontos de dano à criatura ou ao jogador alvo e 3 pontos de dano a você.</t>
        </is>
      </c>
      <c r="E2191" s="13" t="inlineStr">
        <is>
          <t>{1}{R}{R}</t>
        </is>
      </c>
      <c r="F2191" s="13" t="inlineStr">
        <is>
          <t>Vermelho</t>
        </is>
      </c>
      <c r="G2191" s="8" t="n">
        <v>0.25</v>
      </c>
      <c r="H2191" s="13" t="inlineStr">
        <is>
          <t>Fourth Edition (BB)</t>
        </is>
      </c>
      <c r="I2191" s="13" t="inlineStr">
        <is>
          <t>Não</t>
        </is>
      </c>
      <c r="J2191" s="13" t="n">
        <v>1995</v>
      </c>
      <c r="K2191" s="10" t="n">
        <v>46082</v>
      </c>
      <c r="L2191" s="13" t="n">
        <v>2</v>
      </c>
      <c r="M2191" s="8">
        <f>L2191*G2191</f>
        <v/>
      </c>
      <c r="P2191" s="9" t="n"/>
    </row>
    <row r="2192">
      <c r="A2192" s="13" t="inlineStr">
        <is>
          <t>Orcish Cannonade / Canoneio Orc</t>
        </is>
      </c>
      <c r="B2192" s="13" t="inlineStr">
        <is>
          <t>Mágica Instantânea</t>
        </is>
      </c>
      <c r="C2192" s="13" t="inlineStr">
        <is>
          <t>Comum</t>
        </is>
      </c>
      <c r="D2192" s="13" t="inlineStr">
        <is>
          <t>Canoneio Orc causa 2 de dano à criatura ou ao jogador alvo e 3 de dano a você. Compre um card.</t>
        </is>
      </c>
      <c r="E2192" s="13" t="inlineStr">
        <is>
          <t>1RR</t>
        </is>
      </c>
      <c r="F2192" s="13" t="inlineStr">
        <is>
          <t>Vermelho</t>
        </is>
      </c>
      <c r="G2192" s="8" t="n">
        <v>0.06</v>
      </c>
      <c r="H2192" s="13" t="inlineStr">
        <is>
          <t>Duel Decks: Speed vs. Cunning</t>
        </is>
      </c>
      <c r="I2192" s="13" t="inlineStr">
        <is>
          <t>Não</t>
        </is>
      </c>
      <c r="J2192" s="13" t="n">
        <v>2014</v>
      </c>
      <c r="L2192" s="13" t="n">
        <v>1</v>
      </c>
      <c r="M2192" s="8">
        <f>L2192*G2192</f>
        <v/>
      </c>
      <c r="P2192" s="9" t="n"/>
    </row>
    <row r="2193">
      <c r="A2193" s="13" t="inlineStr">
        <is>
          <t>Orcish Conscripts / Recrutas Orcs</t>
        </is>
      </c>
      <c r="B2193" s="13" t="inlineStr">
        <is>
          <t>Creature — Orc</t>
        </is>
      </c>
      <c r="C2193" s="13" t="inlineStr">
        <is>
          <t>Common / Comum</t>
        </is>
      </c>
      <c r="D2193" s="13" t="inlineStr">
        <is>
          <t>This creature can't attack unless at least two other creatures attack. This creature can't block unless at least two other creatures block.</t>
        </is>
      </c>
      <c r="E2193" s="13" t="inlineStr">
        <is>
          <t>{R}</t>
        </is>
      </c>
      <c r="F2193" s="13" t="inlineStr">
        <is>
          <t>Vermelho</t>
        </is>
      </c>
      <c r="G2193" s="8" t="n">
        <v>0.06</v>
      </c>
      <c r="H2193" s="13" t="inlineStr">
        <is>
          <t>Ice Age (ICE)</t>
        </is>
      </c>
      <c r="I2193" s="13" t="inlineStr">
        <is>
          <t>Não</t>
        </is>
      </c>
      <c r="J2193" s="13" t="n">
        <v>1995</v>
      </c>
      <c r="K2193" s="10" t="n">
        <v>46055</v>
      </c>
      <c r="L2193" s="13" t="n">
        <v>1</v>
      </c>
      <c r="M2193" s="8">
        <f>L2193*G2193</f>
        <v/>
      </c>
      <c r="P2193" s="9" t="n"/>
    </row>
    <row r="2194">
      <c r="A2194" s="13" t="inlineStr">
        <is>
          <t>Orcish Farmer / Fazendeiro Orc</t>
        </is>
      </c>
      <c r="B2194" s="13" t="inlineStr">
        <is>
          <t>Creature — Orc</t>
        </is>
      </c>
      <c r="C2194" s="13" t="inlineStr">
        <is>
          <t>Common / Comum</t>
        </is>
      </c>
      <c r="D2194" s="13" t="inlineStr">
        <is>
          <t>{T}: Target land becomes a Swamp until its controller's next untap step.</t>
        </is>
      </c>
      <c r="E2194" s="13" t="inlineStr">
        <is>
          <t>{1}{R}{R}</t>
        </is>
      </c>
      <c r="F2194" s="13" t="inlineStr">
        <is>
          <t>Vermelho</t>
        </is>
      </c>
      <c r="G2194" s="8" t="n">
        <v>0.05</v>
      </c>
      <c r="H2194" s="13" t="inlineStr">
        <is>
          <t>Ice Age (ICE)</t>
        </is>
      </c>
      <c r="I2194" s="13" t="inlineStr">
        <is>
          <t>Não</t>
        </is>
      </c>
      <c r="J2194" s="13" t="n">
        <v>1995</v>
      </c>
      <c r="K2194" s="10" t="n">
        <v>46055</v>
      </c>
      <c r="L2194" s="13" t="n">
        <v>1</v>
      </c>
      <c r="M2194" s="8">
        <f>L2194*G2194</f>
        <v/>
      </c>
      <c r="P2194" s="9" t="n"/>
    </row>
    <row r="2195">
      <c r="A2195" s="13" t="inlineStr">
        <is>
          <t>Orcish Librarian / Bibliotecário Orc</t>
        </is>
      </c>
      <c r="B2195" s="13" t="inlineStr">
        <is>
          <t>Creature — Orc / Criatura — Orc</t>
        </is>
      </c>
      <c r="C2195" s="13" t="inlineStr">
        <is>
          <t>Rare / Rara</t>
        </is>
      </c>
      <c r="D2195" s="13"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195" s="13" t="inlineStr">
        <is>
          <t>{1}{R}</t>
        </is>
      </c>
      <c r="F2195" s="13" t="inlineStr">
        <is>
          <t>Vermelho</t>
        </is>
      </c>
      <c r="G2195" s="8" t="n">
        <v>1.5</v>
      </c>
      <c r="H2195" s="13" t="inlineStr">
        <is>
          <t>Ice Age (ICE)</t>
        </is>
      </c>
      <c r="I2195" s="13" t="inlineStr">
        <is>
          <t>Não</t>
        </is>
      </c>
      <c r="J2195" s="13" t="n">
        <v>1995</v>
      </c>
      <c r="K2195" s="10" t="n">
        <v>46023</v>
      </c>
      <c r="L2195" s="13" t="n">
        <v>1</v>
      </c>
      <c r="M2195" s="8">
        <f>L2195*G2195</f>
        <v/>
      </c>
      <c r="P2195" s="9" t="n"/>
    </row>
    <row r="2196">
      <c r="A2196" s="13" t="inlineStr">
        <is>
          <t>Orcish Veteran</t>
        </is>
      </c>
      <c r="B2196" s="13" t="inlineStr">
        <is>
          <t>Creature — Orc</t>
        </is>
      </c>
      <c r="C2196" s="13" t="inlineStr">
        <is>
          <t>Common / Comum</t>
        </is>
      </c>
      <c r="D2196" s="13" t="inlineStr">
        <is>
          <t>This creature can't block white creatures with power 2 or greater. {R}: This creature gains first strike until end of turn.</t>
        </is>
      </c>
      <c r="E2196" s="13" t="inlineStr">
        <is>
          <t>{2}{R}</t>
        </is>
      </c>
      <c r="F2196" s="13" t="inlineStr">
        <is>
          <t>Vermelho</t>
        </is>
      </c>
      <c r="G2196" s="8" t="n">
        <v>0.2</v>
      </c>
      <c r="H2196" s="13" t="inlineStr">
        <is>
          <t>Fallen Empires (FEM)</t>
        </is>
      </c>
      <c r="I2196" s="13" t="inlineStr">
        <is>
          <t>Não</t>
        </is>
      </c>
      <c r="J2196" s="13" t="n">
        <v>1994</v>
      </c>
      <c r="K2196" s="10" t="n">
        <v>46055</v>
      </c>
      <c r="L2196" s="13" t="n">
        <v>2</v>
      </c>
      <c r="M2196" s="8">
        <f>L2196*G2196</f>
        <v/>
      </c>
      <c r="P2196" s="9" t="n"/>
    </row>
    <row r="2197">
      <c r="A2197" s="13" t="inlineStr">
        <is>
          <t>Orcish Veteran</t>
        </is>
      </c>
      <c r="B2197" s="13" t="inlineStr">
        <is>
          <t>Creature — Orc</t>
        </is>
      </c>
      <c r="C2197" s="13" t="inlineStr">
        <is>
          <t>Common / Comum</t>
        </is>
      </c>
      <c r="D2197" s="13" t="inlineStr">
        <is>
          <t>This creature can't block white creatures with power 2 or greater. {R}: This creature gains first strike until end of turn.</t>
        </is>
      </c>
      <c r="E2197" s="13" t="inlineStr">
        <is>
          <t>{2}{R}</t>
        </is>
      </c>
      <c r="F2197" s="13" t="inlineStr">
        <is>
          <t>Vermelho</t>
        </is>
      </c>
      <c r="G2197" s="8" t="n">
        <v>0.24</v>
      </c>
      <c r="H2197" s="13" t="inlineStr">
        <is>
          <t>Fallen Empires (FEM)</t>
        </is>
      </c>
      <c r="I2197" s="13" t="inlineStr">
        <is>
          <t>Não</t>
        </is>
      </c>
      <c r="J2197" s="13" t="n">
        <v>1994</v>
      </c>
      <c r="K2197" s="10" t="n">
        <v>46055</v>
      </c>
      <c r="L2197" s="13" t="n">
        <v>1</v>
      </c>
      <c r="M2197" s="8">
        <f>L2197*G2197</f>
        <v/>
      </c>
      <c r="P2197" s="9" t="n"/>
    </row>
    <row r="2198">
      <c r="A2198" s="13" t="inlineStr">
        <is>
          <t>Orcish Veteran</t>
        </is>
      </c>
      <c r="B2198" s="13" t="inlineStr">
        <is>
          <t>Creature — Orc</t>
        </is>
      </c>
      <c r="C2198" s="13" t="inlineStr">
        <is>
          <t>Common / Comum</t>
        </is>
      </c>
      <c r="D2198" s="13" t="inlineStr">
        <is>
          <t>This creature can't block white creatures with power 2 or greater. {R}: This creature gains first strike until end of turn.</t>
        </is>
      </c>
      <c r="E2198" s="13" t="inlineStr">
        <is>
          <t>{2}{R}</t>
        </is>
      </c>
      <c r="F2198" s="13" t="inlineStr">
        <is>
          <t>Vermelho</t>
        </is>
      </c>
      <c r="G2198" s="8" t="n">
        <v>0.2</v>
      </c>
      <c r="H2198" s="13" t="inlineStr">
        <is>
          <t>Fallen Empires (FEM)</t>
        </is>
      </c>
      <c r="I2198" s="13" t="inlineStr">
        <is>
          <t>Não</t>
        </is>
      </c>
      <c r="J2198" s="13" t="n">
        <v>1994</v>
      </c>
      <c r="K2198" s="10" t="n">
        <v>46055</v>
      </c>
      <c r="L2198" s="13" t="n">
        <v>1</v>
      </c>
      <c r="M2198" s="8">
        <f>L2198*G2198</f>
        <v/>
      </c>
      <c r="P2198" s="9" t="n"/>
    </row>
    <row r="2199">
      <c r="A2199" s="13" t="inlineStr">
        <is>
          <t>Oread of Mountain's Blaze / Oréade da Labareda Montanhesca</t>
        </is>
      </c>
      <c r="B2199" s="13" t="inlineStr">
        <is>
          <t>Enchantment Creature — Nymph / Criatura Encantamento — Ninfa</t>
        </is>
      </c>
      <c r="C2199" s="13" t="inlineStr">
        <is>
          <t>Common / Comum</t>
        </is>
      </c>
      <c r="D2199" s="13" t="inlineStr">
        <is>
          <t>{2}{R}, Discard a card: Draw a card. / {2}{R}, descarte um card: Compre um card.</t>
        </is>
      </c>
      <c r="E2199" s="13" t="inlineStr">
        <is>
          <t>{1}{R}</t>
        </is>
      </c>
      <c r="F2199" s="13" t="inlineStr">
        <is>
          <t>Vermelho</t>
        </is>
      </c>
      <c r="G2199" s="8" t="n">
        <v>0.03</v>
      </c>
      <c r="H2199" s="13" t="inlineStr">
        <is>
          <t>Theros Beyond Death (THB)</t>
        </is>
      </c>
      <c r="I2199" s="13" t="inlineStr">
        <is>
          <t>Não</t>
        </is>
      </c>
      <c r="J2199" s="13" t="n">
        <v>2020</v>
      </c>
      <c r="K2199" s="10" t="n">
        <v>46082</v>
      </c>
      <c r="L2199" s="13" t="n">
        <v>1</v>
      </c>
      <c r="M2199" s="8">
        <f>L2199*G2199</f>
        <v/>
      </c>
      <c r="P2199" s="9" t="n"/>
    </row>
    <row r="2200">
      <c r="A2200" s="13" t="inlineStr">
        <is>
          <t>Oreplate Pangolin / Pangolim das Placas de Minério</t>
        </is>
      </c>
      <c r="B2200" s="13" t="inlineStr">
        <is>
          <t>Criatura Artefato — Robô Pangolim</t>
        </is>
      </c>
      <c r="C2200" s="13" t="inlineStr">
        <is>
          <t>Comum</t>
        </is>
      </c>
      <c r="D2200" s="13" t="inlineStr">
        <is>
          <t>Sempre que um outro artefato que você controla entrar, você pode pagar {1}. Se fizer isso, coloque um marcador +1/+1 nesta criatura.</t>
        </is>
      </c>
      <c r="E2200" s="13" t="inlineStr">
        <is>
          <t>1{R}</t>
        </is>
      </c>
      <c r="F2200" s="13" t="inlineStr">
        <is>
          <t>Vermelho</t>
        </is>
      </c>
      <c r="G2200" s="8" t="n">
        <v>0.05</v>
      </c>
      <c r="H2200" s="13" t="inlineStr">
        <is>
          <t>Edge of Eternity</t>
        </is>
      </c>
      <c r="I2200" s="13" t="inlineStr">
        <is>
          <t>Não</t>
        </is>
      </c>
      <c r="J2200" s="13" t="n">
        <v>2025</v>
      </c>
      <c r="K2200" s="10" t="n">
        <v>46055</v>
      </c>
      <c r="L2200" s="13" t="n">
        <v>2</v>
      </c>
      <c r="M2200" s="8">
        <f>L2200*G2200</f>
        <v/>
      </c>
      <c r="P2200" s="9" t="n"/>
    </row>
    <row r="2201">
      <c r="A2201" s="13" t="inlineStr">
        <is>
          <t>Oreskos Swiftclaw / Garra-veloz de Oreskos</t>
        </is>
      </c>
      <c r="B2201" s="13" t="inlineStr">
        <is>
          <t>Creature — Cat Warrior / Criatura — Felino Guerreiro</t>
        </is>
      </c>
      <c r="C2201" s="13" t="inlineStr">
        <is>
          <t>Common / Comum</t>
        </is>
      </c>
      <c r="E2201" s="13" t="inlineStr">
        <is>
          <t>{1}{W}</t>
        </is>
      </c>
      <c r="F2201" s="13" t="inlineStr">
        <is>
          <t>Branco</t>
        </is>
      </c>
      <c r="G2201" s="8" t="n">
        <v>0.03</v>
      </c>
      <c r="H2201" s="13" t="inlineStr">
        <is>
          <t>Journey into Nyx (JOU)</t>
        </is>
      </c>
      <c r="I2201" s="13" t="inlineStr">
        <is>
          <t>Não</t>
        </is>
      </c>
      <c r="J2201" s="13" t="n">
        <v>2014</v>
      </c>
      <c r="K2201" s="10" t="n">
        <v>46025</v>
      </c>
      <c r="L2201" s="13" t="n">
        <v>2</v>
      </c>
      <c r="M2201" s="8">
        <f>L2201*G2201</f>
        <v/>
      </c>
      <c r="P2201" s="9" t="n"/>
    </row>
    <row r="2202">
      <c r="A2202" s="13" t="inlineStr">
        <is>
          <t>Orim's Cure / Cura de Orim</t>
        </is>
      </c>
      <c r="B2202" s="13" t="inlineStr">
        <is>
          <t>Instant</t>
        </is>
      </c>
      <c r="C2202" s="13" t="inlineStr">
        <is>
          <t>Common / Comum</t>
        </is>
      </c>
      <c r="D2202" s="13" t="inlineStr">
        <is>
          <t>If you control a Plains, you may tap an untapped creature you control rather than pay this spell's mana cost. Prevent the next 4 damage that would be dealt to any target this turn.</t>
        </is>
      </c>
      <c r="E2202" s="13" t="inlineStr">
        <is>
          <t>{1}{W}</t>
        </is>
      </c>
      <c r="F2202" s="13" t="inlineStr">
        <is>
          <t>Branco</t>
        </is>
      </c>
      <c r="G2202" s="8" t="n">
        <v>0.24</v>
      </c>
      <c r="H2202" s="13" t="inlineStr">
        <is>
          <t>Mercadian Masques (MMQ)</t>
        </is>
      </c>
      <c r="I2202" s="13" t="inlineStr">
        <is>
          <t>Não</t>
        </is>
      </c>
      <c r="J2202" s="13" t="n">
        <v>1999</v>
      </c>
      <c r="L2202" s="13" t="n">
        <v>1</v>
      </c>
      <c r="M2202" s="8">
        <f>L2202*G2202</f>
        <v/>
      </c>
      <c r="P2202" s="9" t="n"/>
    </row>
    <row r="2203">
      <c r="A2203" s="13" t="inlineStr">
        <is>
          <t>Ornithopter</t>
        </is>
      </c>
      <c r="B2203" s="13" t="inlineStr">
        <is>
          <t>Artifact Creature</t>
        </is>
      </c>
      <c r="C2203" s="13" t="inlineStr">
        <is>
          <t>Uncommon</t>
        </is>
      </c>
      <c r="D2203" s="13" t="inlineStr">
        <is>
          <t>Flying</t>
        </is>
      </c>
      <c r="E2203" s="13" t="inlineStr">
        <is>
          <t>{0}</t>
        </is>
      </c>
      <c r="F2203" s="13" t="inlineStr">
        <is>
          <t>Colorless</t>
        </is>
      </c>
      <c r="G2203" s="8" t="n">
        <v>1.1</v>
      </c>
      <c r="H2203" s="13" t="inlineStr">
        <is>
          <t>Mirrodin (MRD)</t>
        </is>
      </c>
      <c r="I2203" s="13" t="inlineStr">
        <is>
          <t>Não</t>
        </is>
      </c>
      <c r="J2203" s="13" t="n">
        <v>2003</v>
      </c>
      <c r="K2203" s="13" t="inlineStr">
        <is>
          <t>0/2</t>
        </is>
      </c>
      <c r="L2203" s="13" t="n">
        <v>1</v>
      </c>
      <c r="M2203" s="8">
        <f>L2203*G2203</f>
        <v/>
      </c>
      <c r="P2203" s="9" t="n"/>
    </row>
    <row r="2204">
      <c r="A2204" s="13" t="inlineStr">
        <is>
          <t>Ornithopter / Ornitóptero</t>
        </is>
      </c>
      <c r="B2204" s="13" t="inlineStr">
        <is>
          <t>Artifact Creature — Thopter / Criatura Artefato — Tóptero</t>
        </is>
      </c>
      <c r="C2204" s="13" t="inlineStr">
        <is>
          <t>Common / Comum</t>
        </is>
      </c>
      <c r="D2204" s="13" t="inlineStr">
        <is>
          <t>Flying / Voar (Esta criatura só pode ser bloqueada por criaturas com voar ou alcance.)</t>
        </is>
      </c>
      <c r="E2204" s="13" t="inlineStr">
        <is>
          <t>{0}</t>
        </is>
      </c>
      <c r="F2204" s="13" t="inlineStr">
        <is>
          <t>Incolor</t>
        </is>
      </c>
      <c r="G2204" s="8" t="n">
        <v>2.7</v>
      </c>
      <c r="H2204" s="13" t="inlineStr">
        <is>
          <t>Revised Edition</t>
        </is>
      </c>
      <c r="I2204" s="13" t="inlineStr">
        <is>
          <t>Não</t>
        </is>
      </c>
      <c r="J2204" s="13" t="n">
        <v>1994</v>
      </c>
      <c r="K2204" s="13" t="inlineStr">
        <is>
          <t>0/2</t>
        </is>
      </c>
      <c r="L2204" s="13" t="n">
        <v>1</v>
      </c>
      <c r="M2204" s="8">
        <f>L2204*G2204</f>
        <v/>
      </c>
      <c r="P2204" s="9" t="n"/>
    </row>
    <row r="2205">
      <c r="A2205" s="13" t="inlineStr">
        <is>
          <t>Orochi Leafcaller / Invocador de Folhas Orochi</t>
        </is>
      </c>
      <c r="B2205" s="13" t="inlineStr">
        <is>
          <t>Creature — Snake Shaman / Criatura — Cobra Xamã</t>
        </is>
      </c>
      <c r="C2205" s="13" t="inlineStr">
        <is>
          <t>Common / Comum</t>
        </is>
      </c>
      <c r="D2205" s="13" t="inlineStr">
        <is>
          <t>{G}: Add one mana of any color to your mana pool. / {G}: Adicione um mana de qualquer cor à sua reserva de mana.</t>
        </is>
      </c>
      <c r="E2205" s="13" t="inlineStr">
        <is>
          <t>{G}</t>
        </is>
      </c>
      <c r="F2205" s="13" t="inlineStr">
        <is>
          <t>Verde</t>
        </is>
      </c>
      <c r="G2205" s="8" t="n">
        <v>1.47</v>
      </c>
      <c r="H2205" s="13" t="inlineStr">
        <is>
          <t>Champions of Kamigawa (CHK)</t>
        </is>
      </c>
      <c r="I2205" s="13" t="inlineStr">
        <is>
          <t>Não</t>
        </is>
      </c>
      <c r="J2205" s="13" t="n">
        <v>2004</v>
      </c>
      <c r="K2205" s="10" t="n">
        <v>46023</v>
      </c>
      <c r="L2205" s="13" t="n">
        <v>1</v>
      </c>
      <c r="M2205" s="8">
        <f>L2205*G2205</f>
        <v/>
      </c>
      <c r="P2205" s="9" t="n"/>
    </row>
    <row r="2206">
      <c r="A2206" s="13" t="inlineStr">
        <is>
          <t>Orochi Ranger</t>
        </is>
      </c>
      <c r="B2206" s="13" t="inlineStr">
        <is>
          <t>Creature — Snake Warrior</t>
        </is>
      </c>
      <c r="C2206" s="13" t="inlineStr">
        <is>
          <t>Uncommon</t>
        </is>
      </c>
      <c r="D2206" s="13" t="inlineStr">
        <is>
          <t>Whenever Orochi Ranger deals combat damage to a creature, tap that creature and it doesn't untap during its controller's next untap step.</t>
        </is>
      </c>
      <c r="E2206" s="13" t="inlineStr">
        <is>
          <t>{1}{G}</t>
        </is>
      </c>
      <c r="F2206" s="13" t="inlineStr">
        <is>
          <t>Verde</t>
        </is>
      </c>
      <c r="G2206" s="8" t="n">
        <v>0.03</v>
      </c>
      <c r="H2206" s="8" t="inlineStr">
        <is>
          <t>Champions of Kamigawa (CHK)</t>
        </is>
      </c>
      <c r="I2206" s="13" t="inlineStr">
        <is>
          <t>Não</t>
        </is>
      </c>
      <c r="J2206" s="13" t="n">
        <v>2004</v>
      </c>
      <c r="K2206" s="10" t="n">
        <v>46024</v>
      </c>
      <c r="L2206" s="13" t="n">
        <v>1</v>
      </c>
      <c r="M2206" s="8">
        <f>L2206*G2206</f>
        <v/>
      </c>
      <c r="P2206" s="9" t="n"/>
    </row>
    <row r="2207">
      <c r="A2207" s="13" t="inlineStr">
        <is>
          <t>Orochi Sustainer / Orochi Chama-Folhas</t>
        </is>
      </c>
      <c r="B2207" s="13" t="inlineStr">
        <is>
          <t>Creature — Snake Shaman</t>
        </is>
      </c>
      <c r="C2207" s="13" t="inlineStr">
        <is>
          <t>Common</t>
        </is>
      </c>
      <c r="D2207" s="13" t="inlineStr">
        <is>
          <t>{T}: Add {G} to your mana pool.</t>
        </is>
      </c>
      <c r="E2207" s="13" t="inlineStr">
        <is>
          <t>{1}{G}</t>
        </is>
      </c>
      <c r="F2207" s="13" t="inlineStr">
        <is>
          <t>Verde</t>
        </is>
      </c>
      <c r="G2207" s="8" t="n">
        <v>0.09</v>
      </c>
      <c r="H2207" s="13" t="inlineStr">
        <is>
          <t>Champions of Kamigawa (CHK)</t>
        </is>
      </c>
      <c r="I2207" s="13" t="inlineStr">
        <is>
          <t>Não</t>
        </is>
      </c>
      <c r="J2207" s="13" t="n">
        <v>2004</v>
      </c>
      <c r="K2207" s="10" t="n">
        <v>46054</v>
      </c>
      <c r="L2207" s="13" t="n">
        <v>2</v>
      </c>
      <c r="M2207" s="8">
        <f>L2207*G2207</f>
        <v/>
      </c>
      <c r="P2207" s="9" t="n"/>
    </row>
    <row r="2208">
      <c r="A2208" s="13" t="inlineStr">
        <is>
          <t>Oroku Saki, Shredder Rising</t>
        </is>
      </c>
      <c r="B2208" s="13" t="inlineStr">
        <is>
          <t>Legendary Creature — Human Ninja</t>
        </is>
      </c>
      <c r="C2208" s="13" t="inlineStr">
        <is>
          <t>Common / Comum</t>
        </is>
      </c>
      <c r="D2208" s="13" t="inlineStr">
        <is>
          <t>Sneak {1}{B} (You may cast this spell for {1}{B} if you also return an unblocked attacker you control to hand during the declare blockers step. He enters tapped and attacking.) Whenever Oroku Saki deals combat damage to a player, you draw a card and lose 1 life.</t>
        </is>
      </c>
      <c r="E2208" s="13" t="inlineStr">
        <is>
          <t>{2}{B}</t>
        </is>
      </c>
      <c r="F2208" s="13" t="inlineStr">
        <is>
          <t>Preto</t>
        </is>
      </c>
      <c r="G2208" s="8" t="n">
        <v>0.17</v>
      </c>
      <c r="H2208" s="13" t="inlineStr">
        <is>
          <t>Teenage Mutant Ninja Turtles (TMT)</t>
        </is>
      </c>
      <c r="I2208" s="13" t="inlineStr">
        <is>
          <t>Não</t>
        </is>
      </c>
      <c r="J2208" s="13" t="n">
        <v>2026</v>
      </c>
      <c r="K2208" s="10" t="n">
        <v>46025</v>
      </c>
      <c r="L2208" s="13" t="n">
        <v>2</v>
      </c>
      <c r="M2208" s="8">
        <f>L2208*G2208</f>
        <v/>
      </c>
      <c r="P2208" s="9" t="n"/>
    </row>
    <row r="2209">
      <c r="A2209" s="13" t="inlineStr">
        <is>
          <t>Orphans of the Wheat</t>
        </is>
      </c>
      <c r="B2209" s="13" t="inlineStr">
        <is>
          <t>Creature — Human</t>
        </is>
      </c>
      <c r="C2209" s="13" t="inlineStr">
        <is>
          <t>Uncommon / Incomum</t>
        </is>
      </c>
      <c r="D2209" s="13" t="inlineStr">
        <is>
          <t>Whenever this creature attacks, tap any number of untapped creatures you control. This creature gets +1/+1 until end of turn for each creature tapped this way.</t>
        </is>
      </c>
      <c r="E2209" s="13" t="inlineStr">
        <is>
          <t>{1}{W}</t>
        </is>
      </c>
      <c r="F2209" s="13" t="inlineStr">
        <is>
          <t>Branco</t>
        </is>
      </c>
      <c r="G2209" s="8" t="n">
        <v>0.05</v>
      </c>
      <c r="H2209" s="13" t="inlineStr">
        <is>
          <t>Duskmourn: House of Horror (DSK)</t>
        </is>
      </c>
      <c r="I2209" s="13" t="inlineStr">
        <is>
          <t>Não</t>
        </is>
      </c>
      <c r="J2209" s="13" t="n">
        <v>2024</v>
      </c>
      <c r="K2209" s="10" t="n">
        <v>46024</v>
      </c>
      <c r="L2209" s="13" t="n">
        <v>1</v>
      </c>
      <c r="M2209" s="8">
        <f>L2209*G2209</f>
        <v/>
      </c>
      <c r="P2209" s="9" t="n"/>
    </row>
    <row r="2210">
      <c r="A2210" s="13" t="inlineStr">
        <is>
          <t>Orzhov Guildgate / Portão da Guilda Orzhov</t>
        </is>
      </c>
      <c r="B2210" s="13" t="inlineStr">
        <is>
          <t>Land — Gate / Terreno — Portão</t>
        </is>
      </c>
      <c r="C2210" s="13" t="inlineStr">
        <is>
          <t>Common / Comum</t>
        </is>
      </c>
      <c r="D2210" s="13" t="inlineStr">
        <is>
          <t>This land enters tapped. {T}: Add {W} or {B}. / Portão da Guilda Orzhov entra no campo de batalha virado. {T}: Adicione {W} ou {B}.</t>
        </is>
      </c>
      <c r="F2210" s="13" t="inlineStr">
        <is>
          <t>Preto, Branco</t>
        </is>
      </c>
      <c r="G2210" s="8" t="n">
        <v>0.09</v>
      </c>
      <c r="H2210" s="13" t="inlineStr">
        <is>
          <t>Dragon's Maze (DGM)</t>
        </is>
      </c>
      <c r="I2210" s="13" t="inlineStr">
        <is>
          <t>Não</t>
        </is>
      </c>
      <c r="J2210" s="13" t="n">
        <v>2013</v>
      </c>
      <c r="L2210" s="13" t="n">
        <v>1</v>
      </c>
      <c r="M2210" s="8">
        <f>L2210*G2210</f>
        <v/>
      </c>
      <c r="N2210" s="13" t="inlineStr">
        <is>
          <t>Bulk Shopee</t>
        </is>
      </c>
      <c r="P2210" s="9" t="n"/>
    </row>
    <row r="2211">
      <c r="A2211" s="13" t="inlineStr">
        <is>
          <t>Orzhov Guildgate / Portão da Guilda Orzhov</t>
        </is>
      </c>
      <c r="B2211" s="13" t="inlineStr">
        <is>
          <t>Land — Gate / Terreno — Portão</t>
        </is>
      </c>
      <c r="C2211" s="13" t="inlineStr">
        <is>
          <t>Common / Comum</t>
        </is>
      </c>
      <c r="D2211" s="13" t="inlineStr">
        <is>
          <t>This land enters tapped. {T}: Add {W} or {B}. / Portão da Guilda Orzhov entra no campo de batalha virado. {T}: Adicione {W} ou {B}.</t>
        </is>
      </c>
      <c r="F2211" s="13" t="inlineStr">
        <is>
          <t>Preto, Branco</t>
        </is>
      </c>
      <c r="G2211" s="8" t="n">
        <v>0.09</v>
      </c>
      <c r="H2211" s="13" t="inlineStr">
        <is>
          <t>Ravnica Allegiance (RNA)</t>
        </is>
      </c>
      <c r="I2211" s="13" t="inlineStr">
        <is>
          <t>Não</t>
        </is>
      </c>
      <c r="J2211" s="13" t="n">
        <v>2019</v>
      </c>
      <c r="L2211" s="13" t="n">
        <v>2</v>
      </c>
      <c r="M2211" s="8">
        <f>L2211*G2211</f>
        <v/>
      </c>
      <c r="P2211" s="9" t="n"/>
    </row>
    <row r="2212">
      <c r="A2212" s="13" t="inlineStr">
        <is>
          <t>Orzhov Pontiff / Pontífice Orzhov</t>
        </is>
      </c>
      <c r="B2212" s="13" t="inlineStr">
        <is>
          <t>Creature — Human Cleric / Criatura — Clérigo Humano</t>
        </is>
      </c>
      <c r="C2212" s="13" t="inlineStr">
        <is>
          <t>Uncommon / Incomum</t>
        </is>
      </c>
      <c r="D2212" s="13"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2212" s="13" t="inlineStr">
        <is>
          <t>{1}{W}{B}</t>
        </is>
      </c>
      <c r="F2212" s="13" t="inlineStr">
        <is>
          <t>Preto, Branco</t>
        </is>
      </c>
      <c r="G2212" s="8" t="n">
        <v>0.23</v>
      </c>
      <c r="H2212" s="13" t="inlineStr">
        <is>
          <t>Double Masters 2022 (2X2)</t>
        </is>
      </c>
      <c r="I2212" s="13" t="inlineStr">
        <is>
          <t>Sim</t>
        </is>
      </c>
      <c r="J2212" s="13" t="n">
        <v>2022</v>
      </c>
      <c r="K2212" s="10" t="n">
        <v>46023</v>
      </c>
      <c r="L2212" s="13" t="n">
        <v>1</v>
      </c>
      <c r="M2212" s="8">
        <f>L2212*G2212</f>
        <v/>
      </c>
      <c r="P2212" s="9" t="n"/>
    </row>
    <row r="2213">
      <c r="A2213" s="13" t="inlineStr">
        <is>
          <t>Os Portos Cinzentos / The Grey Havens</t>
        </is>
      </c>
      <c r="B2213" s="13" t="inlineStr">
        <is>
          <t>Terreno Lendário</t>
        </is>
      </c>
      <c r="C2213" s="13" t="inlineStr">
        <is>
          <t>Incomum</t>
        </is>
      </c>
      <c r="D2213" s="13" t="inlineStr">
        <is>
          <t>Quando Os Portos Cinzentos entrar no campo de batalha, use vidência 1. {T}: Adicione {C}. {T}: Adicione um mana de qualquer cor entre as dos cards de criatura lendários em seu cemitério.</t>
        </is>
      </c>
      <c r="E2213" s="13" t="inlineStr">
        <is>
          <t>-</t>
        </is>
      </c>
      <c r="F2213" s="13" t="inlineStr">
        <is>
          <t>Incolor</t>
        </is>
      </c>
      <c r="G2213" s="8" t="n">
        <v>0.85</v>
      </c>
      <c r="H2213" s="13" t="inlineStr">
        <is>
          <t>The Lord of the Rings: Tales of Middle-earth (LTR)</t>
        </is>
      </c>
      <c r="I2213" s="13" t="inlineStr">
        <is>
          <t>Não</t>
        </is>
      </c>
      <c r="J2213" s="13" t="n">
        <v>2023</v>
      </c>
      <c r="L2213" s="13" t="n">
        <v>1</v>
      </c>
      <c r="M2213" s="8">
        <f>L2213*G2213</f>
        <v/>
      </c>
      <c r="P2213" s="9" t="n"/>
    </row>
    <row r="2214">
      <c r="A2214" s="13" t="inlineStr">
        <is>
          <t>Osso-marreta / Bone-Scythe</t>
        </is>
      </c>
      <c r="B2214" s="13" t="inlineStr">
        <is>
          <t>Artifact — Equipment / Artefato — Equipamento</t>
        </is>
      </c>
      <c r="C2214" s="13" t="inlineStr">
        <is>
          <t>Uncommon / Incomum</t>
        </is>
      </c>
      <c r="D2214" s="13"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2214" s="13" t="inlineStr">
        <is>
          <t>{2}</t>
        </is>
      </c>
      <c r="F2214" s="13" t="inlineStr">
        <is>
          <t>Incolor</t>
        </is>
      </c>
      <c r="G2214" s="8" t="n">
        <v>0.09</v>
      </c>
      <c r="H2214" s="13" t="inlineStr">
        <is>
          <t>Modern Horizons 2 (MH2)</t>
        </is>
      </c>
      <c r="I2214" s="13" t="inlineStr">
        <is>
          <t>No</t>
        </is>
      </c>
      <c r="J2214" s="13" t="n">
        <v>2021</v>
      </c>
      <c r="L2214" s="13" t="n">
        <v>1</v>
      </c>
      <c r="M2214" s="8">
        <f>L2214*G2214</f>
        <v/>
      </c>
      <c r="P2214" s="9" t="n"/>
    </row>
    <row r="2215">
      <c r="A2215" s="13" t="inlineStr">
        <is>
          <t>Ostrich-Horse</t>
        </is>
      </c>
      <c r="B2215" s="13" t="inlineStr">
        <is>
          <t>Creature — Bird Horse</t>
        </is>
      </c>
      <c r="C2215" s="13" t="inlineStr">
        <is>
          <t>Common / Comum</t>
        </is>
      </c>
      <c r="D2215" s="13" t="inlineStr">
        <is>
          <t>When this creature enters, mill three cards. You may put a land card from among them into your hand. If you don't, put a +1/+1 counter on this creature. (To mill three cards, put the top three cards of your library into your graveyard.)</t>
        </is>
      </c>
      <c r="E2215" s="13" t="inlineStr">
        <is>
          <t>{2}{G}</t>
        </is>
      </c>
      <c r="F2215" s="13" t="inlineStr">
        <is>
          <t>Verde</t>
        </is>
      </c>
      <c r="G2215" s="8" t="n">
        <v>0.08</v>
      </c>
      <c r="H2215" s="13" t="inlineStr">
        <is>
          <t>Avatar: The Last Airbender (TLA)</t>
        </is>
      </c>
      <c r="I2215" s="13" t="inlineStr">
        <is>
          <t>Não</t>
        </is>
      </c>
      <c r="J2215" s="13" t="n">
        <v>2025</v>
      </c>
      <c r="K2215" s="10" t="n">
        <v>46025</v>
      </c>
      <c r="L2215" s="13" t="n">
        <v>3</v>
      </c>
      <c r="M2215" s="8">
        <f>L2215*G2215</f>
        <v/>
      </c>
      <c r="P2215" s="9" t="n"/>
    </row>
    <row r="2216">
      <c r="A2216" s="13" t="inlineStr">
        <is>
          <t>Otter-Penguin</t>
        </is>
      </c>
      <c r="B2216" s="13" t="inlineStr">
        <is>
          <t>Creature — Otter Bird</t>
        </is>
      </c>
      <c r="C2216" s="13" t="inlineStr">
        <is>
          <t>Common / Comum</t>
        </is>
      </c>
      <c r="D2216" s="13" t="inlineStr">
        <is>
          <t>Whenever you draw your second card each turn, this creature gets +1/+2 until end of turn and can't be blocked this turn.</t>
        </is>
      </c>
      <c r="E2216" s="13" t="inlineStr">
        <is>
          <t>{1}{U}</t>
        </is>
      </c>
      <c r="F2216" s="13" t="inlineStr">
        <is>
          <t>Azul</t>
        </is>
      </c>
      <c r="G2216" s="8" t="n">
        <v>0.1</v>
      </c>
      <c r="H2216" s="13" t="inlineStr">
        <is>
          <t>Avatar: The Last Airbender (TLA)</t>
        </is>
      </c>
      <c r="I2216" s="13" t="inlineStr">
        <is>
          <t>Não</t>
        </is>
      </c>
      <c r="J2216" s="13" t="n">
        <v>2025</v>
      </c>
      <c r="K2216" s="10" t="n">
        <v>46024</v>
      </c>
      <c r="L2216" s="13" t="n">
        <v>1</v>
      </c>
      <c r="M2216" s="8">
        <f>L2216*G2216</f>
        <v/>
      </c>
      <c r="P2216" s="9" t="n"/>
    </row>
    <row r="2217">
      <c r="A2217" s="13" t="inlineStr">
        <is>
          <t>Out Cold / Inconsciente</t>
        </is>
      </c>
      <c r="B2217" s="13" t="inlineStr">
        <is>
          <t>Instant / Mágica Instantânea</t>
        </is>
      </c>
      <c r="C2217" s="13" t="inlineStr">
        <is>
          <t>Common / Comum</t>
        </is>
      </c>
      <c r="D2217" s="13"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2217" s="13" t="inlineStr">
        <is>
          <t>{3}{U}</t>
        </is>
      </c>
      <c r="F2217" s="13" t="inlineStr">
        <is>
          <t>Azul</t>
        </is>
      </c>
      <c r="G2217" s="8" t="n">
        <v>0.08</v>
      </c>
      <c r="H2217" s="13" t="inlineStr">
        <is>
          <t>Murders at Karlov Manor (MKM)</t>
        </is>
      </c>
      <c r="I2217" s="13" t="inlineStr">
        <is>
          <t>Não</t>
        </is>
      </c>
      <c r="J2217" s="13" t="n">
        <v>2024</v>
      </c>
      <c r="L2217" s="13" t="n">
        <v>1</v>
      </c>
      <c r="M2217" s="8">
        <f>L2217*G2217</f>
        <v/>
      </c>
      <c r="P2217" s="9" t="n"/>
    </row>
    <row r="2218">
      <c r="A2218" s="13" t="inlineStr">
        <is>
          <t>Outcaster Greenblade / Laminaverde Renegado</t>
        </is>
      </c>
      <c r="B2218" s="13" t="inlineStr">
        <is>
          <t>Creature — Human Mercenary / Criatura — Humano Mercenário</t>
        </is>
      </c>
      <c r="C2218" s="13" t="inlineStr">
        <is>
          <t>Uncommon / Incomum</t>
        </is>
      </c>
      <c r="D2218" s="13"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2218" s="13" t="inlineStr">
        <is>
          <t>{2}{G}</t>
        </is>
      </c>
      <c r="F2218" s="13" t="inlineStr">
        <is>
          <t>Verde</t>
        </is>
      </c>
      <c r="G2218" s="8" t="n">
        <v>0.1</v>
      </c>
      <c r="H2218" s="13" t="inlineStr">
        <is>
          <t>Outlaws of Thunder Junction (OTJ)</t>
        </is>
      </c>
      <c r="I2218" s="13" t="inlineStr">
        <is>
          <t>Não</t>
        </is>
      </c>
      <c r="J2218" s="13" t="n">
        <v>2024</v>
      </c>
      <c r="K2218" s="10" t="n">
        <v>46054</v>
      </c>
      <c r="L2218" s="13" t="n">
        <v>2</v>
      </c>
      <c r="M2218" s="8">
        <f>L2218*G2218</f>
        <v/>
      </c>
      <c r="P2218" s="9" t="n"/>
    </row>
    <row r="2219">
      <c r="A2219" s="13" t="inlineStr">
        <is>
          <t>Overkill</t>
        </is>
      </c>
      <c r="B2219" s="13" t="inlineStr">
        <is>
          <t>Instant</t>
        </is>
      </c>
      <c r="C2219" s="13" t="inlineStr">
        <is>
          <t>Incomum</t>
        </is>
      </c>
      <c r="D2219" s="13" t="inlineStr">
        <is>
          <t>Target creature gets -0/-9999 until end of turn.</t>
        </is>
      </c>
      <c r="E2219" s="13" t="inlineStr">
        <is>
          <t>2B</t>
        </is>
      </c>
      <c r="F2219" s="13" t="inlineStr">
        <is>
          <t>Preta</t>
        </is>
      </c>
      <c r="G2219" s="8" t="n">
        <v>0.21</v>
      </c>
      <c r="H2219" s="13" t="inlineStr">
        <is>
          <t>Final Fantasy (FFX)</t>
        </is>
      </c>
      <c r="I2219" s="13" t="inlineStr">
        <is>
          <t>Não</t>
        </is>
      </c>
      <c r="J2219" s="13" t="n">
        <v>2025</v>
      </c>
      <c r="L2219" s="13" t="n">
        <v>1</v>
      </c>
      <c r="M2219" s="8">
        <f>L2219*G2219</f>
        <v/>
      </c>
      <c r="P2219" s="9" t="n"/>
    </row>
    <row r="2220">
      <c r="A2220" s="13" t="inlineStr">
        <is>
          <t>Overwhelming Stampede / Estouro Avassalador</t>
        </is>
      </c>
      <c r="B2220" s="13" t="inlineStr">
        <is>
          <t>Sorcery / Feitiço</t>
        </is>
      </c>
      <c r="C2220" s="13" t="inlineStr">
        <is>
          <t>Rare / Raro</t>
        </is>
      </c>
      <c r="D2220" s="13"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2220" s="13" t="inlineStr">
        <is>
          <t>{3}{G}{G}</t>
        </is>
      </c>
      <c r="F2220" s="13" t="inlineStr">
        <is>
          <t>Verde</t>
        </is>
      </c>
      <c r="G2220" s="8" t="n">
        <v>0.5</v>
      </c>
      <c r="H2220" s="13" t="inlineStr">
        <is>
          <t>Magic 2011 (M11)</t>
        </is>
      </c>
      <c r="I2220" s="13" t="inlineStr">
        <is>
          <t>Não</t>
        </is>
      </c>
      <c r="J2220" s="13" t="n">
        <v>2010</v>
      </c>
      <c r="L2220" s="13" t="n">
        <v>1</v>
      </c>
      <c r="M2220" s="8">
        <f>L2220*G2220</f>
        <v/>
      </c>
      <c r="P2220" s="9" t="n"/>
    </row>
    <row r="2221">
      <c r="A2221" s="13" t="inlineStr">
        <is>
          <t>Oviya Pashiri, Sage Lifecrafter / Oviya Pashiri, Sábia Vivideira</t>
        </is>
      </c>
      <c r="B2221" s="13" t="inlineStr">
        <is>
          <t>Legendary Creature — Human Artificer / Criatura Lendária — Humano Artesão</t>
        </is>
      </c>
      <c r="C2221" s="13" t="inlineStr">
        <is>
          <t>Uncommon / Incomum</t>
        </is>
      </c>
      <c r="D2221" s="13"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2221" s="13" t="inlineStr">
        <is>
          <t>{G}</t>
        </is>
      </c>
      <c r="F2221" s="13" t="inlineStr">
        <is>
          <t>Verde</t>
        </is>
      </c>
      <c r="G2221" s="8" t="n">
        <v>0.35</v>
      </c>
      <c r="H2221" s="13" t="inlineStr">
        <is>
          <t>Commander Masters (CMM)</t>
        </is>
      </c>
      <c r="I2221" s="13" t="inlineStr">
        <is>
          <t>Não</t>
        </is>
      </c>
      <c r="J2221" s="13" t="n">
        <v>2023</v>
      </c>
      <c r="K2221" s="10" t="n">
        <v>46054</v>
      </c>
      <c r="L2221" s="13" t="n">
        <v>1</v>
      </c>
      <c r="M2221" s="8">
        <f>L2221*G2221</f>
        <v/>
      </c>
      <c r="P2221" s="9" t="n"/>
    </row>
    <row r="2222">
      <c r="A2222" s="13" t="inlineStr">
        <is>
          <t>Ovo de Ouro / Golden Egg</t>
        </is>
      </c>
      <c r="B2222" s="13" t="inlineStr">
        <is>
          <t>Artifact — Food / Artefato — Comida</t>
        </is>
      </c>
      <c r="C2222" s="13" t="inlineStr">
        <is>
          <t>Common / Comum</t>
        </is>
      </c>
      <c r="D2222" s="13"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2222" s="13" t="inlineStr">
        <is>
          <t>{2}</t>
        </is>
      </c>
      <c r="F2222" s="13" t="inlineStr">
        <is>
          <t>Incolor</t>
        </is>
      </c>
      <c r="G2222" s="8" t="n">
        <v>0.06</v>
      </c>
      <c r="H2222" s="13" t="inlineStr">
        <is>
          <t>Throne of Eldraine (ELD)</t>
        </is>
      </c>
      <c r="I2222" s="13" t="inlineStr">
        <is>
          <t>No</t>
        </is>
      </c>
      <c r="J2222" s="13" t="n">
        <v>2019</v>
      </c>
      <c r="L2222" s="13" t="n">
        <v>1</v>
      </c>
      <c r="M2222" s="8">
        <f>L2222*G2222</f>
        <v/>
      </c>
      <c r="P2222" s="9" t="n"/>
    </row>
    <row r="2223">
      <c r="A2223" s="13" t="inlineStr">
        <is>
          <t>Owlin Historian</t>
        </is>
      </c>
      <c r="B2223" s="13" t="inlineStr">
        <is>
          <t>Creature — Bird Cleric</t>
        </is>
      </c>
      <c r="C2223" s="13" t="inlineStr">
        <is>
          <t>Common / Comum</t>
        </is>
      </c>
      <c r="D2223" s="13" t="inlineStr">
        <is>
          <t>Flying When this creature enters, surveil 1. (Look at the top card of your library. You may put it into your graveyard.) Whenever one or more cards leave your graveyard, this creature gets +1/+1 until end of turn.</t>
        </is>
      </c>
      <c r="E2223" s="13" t="inlineStr">
        <is>
          <t>{2}{W}</t>
        </is>
      </c>
      <c r="F2223" s="13" t="inlineStr">
        <is>
          <t>Branco</t>
        </is>
      </c>
      <c r="G2223" s="8" t="n">
        <v>0.29</v>
      </c>
      <c r="H2223" s="13" t="inlineStr">
        <is>
          <t>Secrets of Strixhaven (SOS)</t>
        </is>
      </c>
      <c r="I2223" s="13" t="inlineStr">
        <is>
          <t>Sim</t>
        </is>
      </c>
      <c r="J2223" s="13" t="n">
        <v>2026</v>
      </c>
      <c r="K2223" s="10" t="n">
        <v>46083</v>
      </c>
      <c r="L2223" s="13" t="n">
        <v>1</v>
      </c>
      <c r="M2223" s="8">
        <f>L2223*G2223</f>
        <v/>
      </c>
      <c r="P2223" s="9" t="n"/>
    </row>
    <row r="2224">
      <c r="A2224" s="13" t="inlineStr">
        <is>
          <t>Owlin Historian</t>
        </is>
      </c>
      <c r="B2224" s="13" t="inlineStr">
        <is>
          <t>Creature — Bird Cleric</t>
        </is>
      </c>
      <c r="C2224" s="13" t="inlineStr">
        <is>
          <t>Common / Comum</t>
        </is>
      </c>
      <c r="D2224" s="13" t="inlineStr">
        <is>
          <t>Flying When this creature enters, surveil 1. (Look at the top card of your library. You may put it into your graveyard.) Whenever one or more cards leave your graveyard, this creature gets +1/+1 until end of turn.</t>
        </is>
      </c>
      <c r="E2224" s="13" t="inlineStr">
        <is>
          <t>{2}{W}</t>
        </is>
      </c>
      <c r="F2224" s="13" t="inlineStr">
        <is>
          <t>Branco</t>
        </is>
      </c>
      <c r="G2224" s="8" t="n">
        <v>0.07000000000000001</v>
      </c>
      <c r="H2224" s="13" t="inlineStr">
        <is>
          <t>Secrets of Strixhaven (SOS)</t>
        </is>
      </c>
      <c r="I2224" s="13" t="inlineStr">
        <is>
          <t>Sim</t>
        </is>
      </c>
      <c r="J2224" s="13" t="n">
        <v>2026</v>
      </c>
      <c r="K2224" s="10" t="n">
        <v>46083</v>
      </c>
      <c r="L2224" s="13" t="n">
        <v>3</v>
      </c>
      <c r="M2224" s="8">
        <f>L2224*G2224</f>
        <v/>
      </c>
      <c r="P2224" s="9" t="n"/>
    </row>
    <row r="2225">
      <c r="A2225" s="13" t="inlineStr">
        <is>
          <t>Owlin Shieldmage / Escudomante Corujim</t>
        </is>
      </c>
      <c r="B2225" s="13" t="inlineStr">
        <is>
          <t>Creature — Bird Warlock / Criatura — Ave Bruxo</t>
        </is>
      </c>
      <c r="C2225" s="13" t="inlineStr">
        <is>
          <t>Common / Comum</t>
        </is>
      </c>
      <c r="D2225" s="13"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2225" s="13" t="inlineStr">
        <is>
          <t>{3}{W}{B}</t>
        </is>
      </c>
      <c r="F2225" s="13" t="inlineStr">
        <is>
          <t>Preto, Branco</t>
        </is>
      </c>
      <c r="G2225" s="8" t="n">
        <v>0.05</v>
      </c>
      <c r="H2225" s="13" t="inlineStr">
        <is>
          <t>Strixhaven: School of Mages (STX)</t>
        </is>
      </c>
      <c r="I2225" s="13" t="inlineStr">
        <is>
          <t>Não</t>
        </is>
      </c>
      <c r="J2225" s="13" t="n">
        <v>2021</v>
      </c>
      <c r="K2225" s="10" t="n">
        <v>46084</v>
      </c>
      <c r="L2225" s="13" t="n">
        <v>2</v>
      </c>
      <c r="M2225" s="8">
        <f>L2225*G2225</f>
        <v/>
      </c>
      <c r="P2225" s="9" t="n"/>
    </row>
    <row r="2226">
      <c r="A2226" s="13" t="inlineStr">
        <is>
          <t>Pacifism / Pacifismo</t>
        </is>
      </c>
      <c r="B2226" s="13" t="inlineStr">
        <is>
          <t>Enchantment — Aura / Encantamento — Aura</t>
        </is>
      </c>
      <c r="C2226" s="13" t="inlineStr">
        <is>
          <t>Common / Comum</t>
        </is>
      </c>
      <c r="D2226" s="13" t="inlineStr">
        <is>
          <t>Enchant creature Enchanted creature can't attack or block. / Encantar criatura A criatura encantada não pode atacar nem bloquear.</t>
        </is>
      </c>
      <c r="E2226" s="13" t="inlineStr">
        <is>
          <t>{1}{W}</t>
        </is>
      </c>
      <c r="F2226" s="13" t="inlineStr">
        <is>
          <t>Branco</t>
        </is>
      </c>
      <c r="G2226" s="8" t="n">
        <v>0.06</v>
      </c>
      <c r="H2226" s="13" t="inlineStr">
        <is>
          <t>Ikoria: Lair of Behemoths (IKO)</t>
        </is>
      </c>
      <c r="I2226" s="13" t="inlineStr">
        <is>
          <t>Não</t>
        </is>
      </c>
      <c r="J2226" s="13" t="n">
        <v>2020</v>
      </c>
      <c r="L2226" s="13" t="n">
        <v>4</v>
      </c>
      <c r="M2226" s="8">
        <f>L2226*G2226</f>
        <v/>
      </c>
      <c r="P2226" s="9" t="n"/>
    </row>
    <row r="2227">
      <c r="A2227" s="13" t="inlineStr">
        <is>
          <t>Pack Guardian / Alfas Reunidos</t>
        </is>
      </c>
      <c r="B2227" s="13" t="inlineStr">
        <is>
          <t>Creature — Wolf / Criatura — Lobo</t>
        </is>
      </c>
      <c r="C2227" s="13" t="inlineStr">
        <is>
          <t>Rare / Rara</t>
        </is>
      </c>
      <c r="D2227" s="13"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2227" s="13" t="inlineStr">
        <is>
          <t>{5}{R}</t>
        </is>
      </c>
      <c r="F2227" s="13" t="inlineStr">
        <is>
          <t>Vermelho</t>
        </is>
      </c>
      <c r="G2227" s="8" t="n">
        <v>0.65</v>
      </c>
      <c r="H2227" s="13" t="inlineStr">
        <is>
          <t>Eldritch Moon (EMN)</t>
        </is>
      </c>
      <c r="I2227" s="13" t="inlineStr">
        <is>
          <t>Sim</t>
        </is>
      </c>
      <c r="J2227" s="13" t="n">
        <v>2016</v>
      </c>
      <c r="K2227" s="10" t="n">
        <v>46147</v>
      </c>
      <c r="L2227" s="13" t="n">
        <v>1</v>
      </c>
      <c r="M2227" s="8">
        <f>L2227*G2227</f>
        <v/>
      </c>
      <c r="P2227" s="9" t="n"/>
    </row>
    <row r="2228">
      <c r="A2228" s="13" t="inlineStr">
        <is>
          <t>Pain for All / Dor para Todos</t>
        </is>
      </c>
      <c r="B2228" s="13" t="inlineStr">
        <is>
          <t>Encantamento — Aura</t>
        </is>
      </c>
      <c r="C2228" s="13" t="inlineStr">
        <is>
          <t>Raro</t>
        </is>
      </c>
      <c r="D2228" s="13" t="inlineStr">
        <is>
          <t>Encantar criatura que você controla. Quando esta Aura entrar, a criatura encantada causa dano igual ao seu poder a qualquer outro alvo. Sempre que causar dano à criatura encantada, ela causa aquela mesma quantidade de dano a cada oponente.</t>
        </is>
      </c>
      <c r="E2228" s="13" t="inlineStr">
        <is>
          <t>2{R}</t>
        </is>
      </c>
      <c r="F2228" s="13" t="inlineStr">
        <is>
          <t>Vermelho</t>
        </is>
      </c>
      <c r="G2228" s="8" t="n">
        <v>0.72</v>
      </c>
      <c r="H2228" s="13" t="inlineStr">
        <is>
          <t>Edge of Eternity</t>
        </is>
      </c>
      <c r="I2228" s="13" t="inlineStr">
        <is>
          <t>Não</t>
        </is>
      </c>
      <c r="J2228" s="13" t="n">
        <v>2025</v>
      </c>
      <c r="L2228" s="13" t="n">
        <v>1</v>
      </c>
      <c r="M2228" s="8">
        <f>L2228*G2228</f>
        <v/>
      </c>
      <c r="P2228" s="9" t="n"/>
    </row>
    <row r="2229">
      <c r="A2229" s="13" t="inlineStr">
        <is>
          <t>Painter's Studio // Defaced Gallery</t>
        </is>
      </c>
      <c r="B2229" s="13" t="inlineStr">
        <is>
          <t>Enchantment — Room // Enchantment — Room</t>
        </is>
      </c>
      <c r="C2229" s="13" t="inlineStr">
        <is>
          <t>Uncommon / Incomum</t>
        </is>
      </c>
      <c r="D2229" s="13"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2229" s="13" t="inlineStr">
        <is>
          <t>{2}{R} // {1}{R}</t>
        </is>
      </c>
      <c r="F2229" s="13" t="inlineStr">
        <is>
          <t>Vermelho</t>
        </is>
      </c>
      <c r="G2229" s="8" t="n">
        <v>0.1</v>
      </c>
      <c r="H2229" s="13" t="inlineStr">
        <is>
          <t>Duskmourn: House of Horror (DSK)</t>
        </is>
      </c>
      <c r="I2229" s="13" t="inlineStr">
        <is>
          <t>Não</t>
        </is>
      </c>
      <c r="J2229" s="13" t="n">
        <v>2024</v>
      </c>
      <c r="L2229" s="13" t="n">
        <v>1</v>
      </c>
      <c r="M2229" s="8">
        <f>L2229*G2229</f>
        <v/>
      </c>
      <c r="P2229" s="9" t="n"/>
    </row>
    <row r="2230">
      <c r="A2230" s="13" t="inlineStr">
        <is>
          <t>Paladin's Arms</t>
        </is>
      </c>
      <c r="B2230" s="13" t="inlineStr">
        <is>
          <t>Artifact — Equipment</t>
        </is>
      </c>
      <c r="C2230" s="13" t="inlineStr">
        <is>
          <t>Comum</t>
        </is>
      </c>
      <c r="D2230" s="13" t="inlineStr">
        <is>
          <t>Job select (When this Equipment enters, create a 1/1 colorless Hero creature token, then attach this to it.) Equipped creature gets +2/+1, has ward 1, and is a Knight in addition to its other types. Lightbringer and Hero's Shield — Equip 4</t>
        </is>
      </c>
      <c r="E2230" s="13" t="inlineStr">
        <is>
          <t>2W</t>
        </is>
      </c>
      <c r="F2230" s="13" t="inlineStr">
        <is>
          <t>Branca</t>
        </is>
      </c>
      <c r="G2230" s="8" t="n">
        <v>0.4</v>
      </c>
      <c r="H2230" s="13" t="inlineStr">
        <is>
          <t>Final Fantasy (FFXIV)</t>
        </is>
      </c>
      <c r="I2230" s="13" t="inlineStr">
        <is>
          <t>Sim</t>
        </is>
      </c>
      <c r="J2230" s="13" t="n">
        <v>2025</v>
      </c>
      <c r="L2230" s="13" t="n">
        <v>1</v>
      </c>
      <c r="M2230" s="8">
        <f>L2230*G2230</f>
        <v/>
      </c>
      <c r="P2230" s="9" t="n"/>
    </row>
    <row r="2231">
      <c r="A2231" s="13" t="inlineStr">
        <is>
          <t>Paladin's Arms</t>
        </is>
      </c>
      <c r="B2231" s="13" t="inlineStr">
        <is>
          <t>Artifact — Equipment</t>
        </is>
      </c>
      <c r="C2231" s="13" t="inlineStr">
        <is>
          <t>Comum</t>
        </is>
      </c>
      <c r="D2231" s="13" t="inlineStr">
        <is>
          <t>Job select (When this Equipment enters, create a 1/1 colorless Hero creature token, then attach this to it.) Equipped creature gets +2/+1, has ward 1, and is a Knight in addition to its other types. Lightbringer and Hero's Shield — Equip 4</t>
        </is>
      </c>
      <c r="E2231" s="13" t="inlineStr">
        <is>
          <t>2W</t>
        </is>
      </c>
      <c r="F2231" s="13" t="inlineStr">
        <is>
          <t>Branca</t>
        </is>
      </c>
      <c r="G2231" s="8" t="n">
        <v>0.05</v>
      </c>
      <c r="H2231" s="13" t="inlineStr">
        <is>
          <t>Final Fantasy (FFXIV)</t>
        </is>
      </c>
      <c r="I2231" s="13" t="inlineStr">
        <is>
          <t xml:space="preserve">Não </t>
        </is>
      </c>
      <c r="J2231" s="13" t="n">
        <v>2025</v>
      </c>
      <c r="L2231" s="13" t="n">
        <v>11</v>
      </c>
      <c r="M2231" s="8">
        <f>L2231*G2231</f>
        <v/>
      </c>
      <c r="P2231" s="9" t="n"/>
    </row>
    <row r="2232">
      <c r="A2232" s="13" t="inlineStr">
        <is>
          <t>Panic / Pânico</t>
        </is>
      </c>
      <c r="B2232" s="13" t="inlineStr">
        <is>
          <t>Instant</t>
        </is>
      </c>
      <c r="C2232" s="13" t="inlineStr">
        <is>
          <t>Common / Comum</t>
        </is>
      </c>
      <c r="D2232" s="13" t="inlineStr">
        <is>
          <t>Cast this spell only during combat before blockers are declared. Target creature can't block this turn. Draw a card at the beginning of the next turn's upkeep.</t>
        </is>
      </c>
      <c r="E2232" s="13" t="inlineStr">
        <is>
          <t>{R}</t>
        </is>
      </c>
      <c r="F2232" s="13" t="inlineStr">
        <is>
          <t>Vermelho</t>
        </is>
      </c>
      <c r="G2232" s="8" t="n">
        <v>0.05</v>
      </c>
      <c r="H2232" s="13" t="inlineStr">
        <is>
          <t>Ice Age (ICE)</t>
        </is>
      </c>
      <c r="I2232" s="13" t="inlineStr">
        <is>
          <t>Não</t>
        </is>
      </c>
      <c r="J2232" s="13" t="n">
        <v>1995</v>
      </c>
      <c r="L2232" s="13" t="n">
        <v>3</v>
      </c>
      <c r="M2232" s="8">
        <f>L2232*G2232</f>
        <v/>
      </c>
      <c r="P2232" s="9" t="n"/>
    </row>
    <row r="2233">
      <c r="A2233" s="13" t="inlineStr">
        <is>
          <t>Pantheon's Altar / Altar do Panteão</t>
        </is>
      </c>
      <c r="B2233" s="13" t="inlineStr">
        <is>
          <t>Artifact / Artefato</t>
        </is>
      </c>
      <c r="C2233" s="13" t="inlineStr">
        <is>
          <t>Common / Comum</t>
        </is>
      </c>
      <c r="D2233" s="13" t="inlineStr">
        <is>
          <t>Your devotion to each color and each color combination is increased by one. {T}: Add one mana of any color. If you control a God, Demigod, or legendary enchantment, you gain 1 life.</t>
        </is>
      </c>
      <c r="E2233" s="13" t="inlineStr">
        <is>
          <t>{3}</t>
        </is>
      </c>
      <c r="F2233" s="13" t="inlineStr">
        <is>
          <t>Incolor</t>
        </is>
      </c>
      <c r="G2233" s="8" t="n">
        <v>0.06</v>
      </c>
      <c r="H2233" s="13" t="inlineStr">
        <is>
          <t>Theros Beyond Death (THB)</t>
        </is>
      </c>
      <c r="I2233" s="13" t="inlineStr">
        <is>
          <t>No</t>
        </is>
      </c>
      <c r="J2233" s="13" t="n">
        <v>2020</v>
      </c>
      <c r="L2233" s="13" t="n">
        <v>1</v>
      </c>
      <c r="M2233" s="8">
        <f>L2233*G2233</f>
        <v/>
      </c>
      <c r="P2233" s="9" t="n"/>
    </row>
    <row r="2234">
      <c r="A2234" s="13" t="inlineStr">
        <is>
          <t>Paralyze / Paralizar</t>
        </is>
      </c>
      <c r="B2234" s="13" t="inlineStr">
        <is>
          <t>Enchantment — Aura</t>
        </is>
      </c>
      <c r="C2234" s="13" t="inlineStr">
        <is>
          <t>Common / Comum</t>
        </is>
      </c>
      <c r="D2234" s="13"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34" s="13" t="inlineStr">
        <is>
          <t>{B}</t>
        </is>
      </c>
      <c r="F2234" s="13" t="inlineStr">
        <is>
          <t>Preto</t>
        </is>
      </c>
      <c r="G2234" s="8" t="n">
        <v>0.05</v>
      </c>
      <c r="H2234" s="13" t="inlineStr">
        <is>
          <t>Quarta Edição</t>
        </is>
      </c>
      <c r="I2234" s="13" t="inlineStr">
        <is>
          <t>Não</t>
        </is>
      </c>
      <c r="J2234" s="13" t="n">
        <v>1995</v>
      </c>
      <c r="L2234" s="13" t="n">
        <v>2</v>
      </c>
      <c r="M2234" s="8">
        <f>L2234*G2234</f>
        <v/>
      </c>
      <c r="P2234" s="9" t="n"/>
    </row>
    <row r="2235">
      <c r="A2235" s="13" t="inlineStr">
        <is>
          <t>Paralyze / Paralizar</t>
        </is>
      </c>
      <c r="B2235" s="13" t="inlineStr">
        <is>
          <t>Enchantment — Aura</t>
        </is>
      </c>
      <c r="C2235" s="13" t="inlineStr">
        <is>
          <t>Common / Comum</t>
        </is>
      </c>
      <c r="D2235" s="13"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35" s="13" t="inlineStr">
        <is>
          <t>{B}</t>
        </is>
      </c>
      <c r="F2235" s="13" t="inlineStr">
        <is>
          <t>Preto</t>
        </is>
      </c>
      <c r="G2235" s="8" t="n">
        <v>0.12</v>
      </c>
      <c r="H2235" s="13" t="inlineStr">
        <is>
          <t>Quarta Edição (BB)</t>
        </is>
      </c>
      <c r="I2235" s="13" t="inlineStr">
        <is>
          <t>Não</t>
        </is>
      </c>
      <c r="J2235" s="13" t="n">
        <v>1995</v>
      </c>
      <c r="L2235" s="13" t="n">
        <v>2</v>
      </c>
      <c r="M2235" s="8">
        <f>L2235*G2235</f>
        <v/>
      </c>
      <c r="P2235" s="9" t="n"/>
    </row>
    <row r="2236">
      <c r="A2236" s="13" t="inlineStr">
        <is>
          <t>Paralyze / Paralizar</t>
        </is>
      </c>
      <c r="B2236" s="13" t="inlineStr">
        <is>
          <t>Enchantment — Aura</t>
        </is>
      </c>
      <c r="C2236" s="13" t="inlineStr">
        <is>
          <t>Common / Comum</t>
        </is>
      </c>
      <c r="D2236" s="13"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36" s="13" t="inlineStr">
        <is>
          <t>{B}</t>
        </is>
      </c>
      <c r="F2236" s="13" t="inlineStr">
        <is>
          <t>Preto</t>
        </is>
      </c>
      <c r="G2236" s="8" t="n">
        <v>0.48</v>
      </c>
      <c r="H2236" s="13" t="inlineStr">
        <is>
          <t>Revised Edition</t>
        </is>
      </c>
      <c r="I2236" s="13" t="inlineStr">
        <is>
          <t>Não</t>
        </is>
      </c>
      <c r="J2236" s="13" t="n">
        <v>1994</v>
      </c>
      <c r="L2236" s="13" t="n">
        <v>2</v>
      </c>
      <c r="M2236" s="8">
        <f>L2236*G2236</f>
        <v/>
      </c>
      <c r="P2236" s="9" t="n"/>
    </row>
    <row r="2237">
      <c r="A2237" s="13" t="inlineStr">
        <is>
          <t>Paramecia Coloniex</t>
        </is>
      </c>
      <c r="B2237" s="13" t="inlineStr">
        <is>
          <t>Creature — Zombie Worm</t>
        </is>
      </c>
      <c r="C2237" s="13" t="inlineStr">
        <is>
          <t>Uncommon / Incomum</t>
        </is>
      </c>
      <c r="D2237" s="13" t="inlineStr">
        <is>
          <t>When this creature enters, mill three cards. (Put the top three cards of your library into your graveyard.) When this creature dies, you may exile it. When you do, put target creature card from your graveyard on top of your library.</t>
        </is>
      </c>
      <c r="E2237" s="13" t="inlineStr">
        <is>
          <t>{1}{B}</t>
        </is>
      </c>
      <c r="F2237" s="13" t="inlineStr">
        <is>
          <t>Preto</t>
        </is>
      </c>
      <c r="G2237" s="8" t="n">
        <v>0.16</v>
      </c>
      <c r="H2237" s="13" t="inlineStr">
        <is>
          <t>Teenage Mutant Ninja Turtles (TMT)</t>
        </is>
      </c>
      <c r="I2237" s="13" t="inlineStr">
        <is>
          <t>Não</t>
        </is>
      </c>
      <c r="J2237" s="13" t="n">
        <v>2026</v>
      </c>
      <c r="K2237" s="10" t="n">
        <v>46055</v>
      </c>
      <c r="L2237" s="13" t="n">
        <v>2</v>
      </c>
      <c r="M2237" s="8">
        <f>L2237*G2237</f>
        <v/>
      </c>
      <c r="P2237" s="9" t="n"/>
    </row>
    <row r="2238">
      <c r="A2238" s="13" t="inlineStr">
        <is>
          <t>Parish-Blade Trainee / Recruta Lâmina Paroquial</t>
        </is>
      </c>
      <c r="B2238" s="13" t="inlineStr">
        <is>
          <t>Creature — Human Soldier / Criatura — Humano Soldado</t>
        </is>
      </c>
      <c r="C2238" s="13" t="inlineStr">
        <is>
          <t>Common / Comum</t>
        </is>
      </c>
      <c r="D2238" s="13"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2238" s="13" t="inlineStr">
        <is>
          <t>{1}{W}</t>
        </is>
      </c>
      <c r="F2238" s="13" t="inlineStr">
        <is>
          <t>Branco</t>
        </is>
      </c>
      <c r="G2238" s="8" t="n">
        <v>0.06</v>
      </c>
      <c r="H2238" s="13" t="inlineStr">
        <is>
          <t>Innistrad: Crimson Vow (VOW)</t>
        </is>
      </c>
      <c r="I2238" s="13" t="inlineStr">
        <is>
          <t>Não</t>
        </is>
      </c>
      <c r="J2238" s="13" t="n">
        <v>2021</v>
      </c>
      <c r="K2238" s="10" t="n">
        <v>46054</v>
      </c>
      <c r="L2238" s="13" t="n">
        <v>1</v>
      </c>
      <c r="M2238" s="8">
        <f>L2238*G2238</f>
        <v/>
      </c>
      <c r="P2238" s="9" t="n"/>
    </row>
    <row r="2239">
      <c r="A2239" s="13" t="inlineStr">
        <is>
          <t>Passageway Seer / Vidente da Passagem</t>
        </is>
      </c>
      <c r="B2239" s="13" t="inlineStr">
        <is>
          <t>Creature — Tiefling Warlock / Criatura — Tiferino Bruxo</t>
        </is>
      </c>
      <c r="C2239" s="13" t="inlineStr">
        <is>
          <t>Uncommon / Incomum</t>
        </is>
      </c>
      <c r="D2239" s="13"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2239" s="13" t="inlineStr">
        <is>
          <t>{3}{B}</t>
        </is>
      </c>
      <c r="F2239" s="13" t="inlineStr">
        <is>
          <t>Preto</t>
        </is>
      </c>
      <c r="G2239" s="8" t="n">
        <v>0.14</v>
      </c>
      <c r="H2239" s="13" t="inlineStr">
        <is>
          <t>Commander Legends: Battle for Baldur's Gate (CLB)</t>
        </is>
      </c>
      <c r="I2239" s="13" t="inlineStr">
        <is>
          <t>Não</t>
        </is>
      </c>
      <c r="J2239" s="13" t="n">
        <v>2022</v>
      </c>
      <c r="K2239" s="10" t="n">
        <v>46055</v>
      </c>
      <c r="L2239" s="13" t="n">
        <v>1</v>
      </c>
      <c r="M2239" s="8">
        <f>L2239*G2239</f>
        <v/>
      </c>
      <c r="P2239" s="9" t="n"/>
    </row>
    <row r="2240">
      <c r="A2240" s="13" t="inlineStr">
        <is>
          <t>Path to Redemption</t>
        </is>
      </c>
      <c r="B2240" s="13" t="inlineStr">
        <is>
          <t>Enchantment — Aura</t>
        </is>
      </c>
      <c r="C2240" s="13" t="inlineStr">
        <is>
          <t>Common / Comum</t>
        </is>
      </c>
      <c r="D2240" s="13" t="inlineStr">
        <is>
          <t>Enchant creature Enchanted creature can't attack or block. {5}, Sacrifice this Aura: Exile enchanted creature. Create a 1/1 white Ally creature token. Activate only during your turn.</t>
        </is>
      </c>
      <c r="E2240" s="13" t="inlineStr">
        <is>
          <t>{1}{W}</t>
        </is>
      </c>
      <c r="F2240" s="13" t="inlineStr">
        <is>
          <t>Branco</t>
        </is>
      </c>
      <c r="G2240" s="8" t="n">
        <v>0.05</v>
      </c>
      <c r="H2240" s="13" t="inlineStr">
        <is>
          <t>Avatar: The Last Airbender (TLA)</t>
        </is>
      </c>
      <c r="I2240" s="13" t="inlineStr">
        <is>
          <t>Não</t>
        </is>
      </c>
      <c r="J2240" s="13" t="n">
        <v>2025</v>
      </c>
      <c r="L2240" s="13" t="n">
        <v>1</v>
      </c>
      <c r="M2240" s="8">
        <f>L2240*G2240</f>
        <v/>
      </c>
      <c r="P2240" s="9" t="n"/>
    </row>
    <row r="2241">
      <c r="A2241" s="13" t="inlineStr">
        <is>
          <t>Path to Redemption</t>
        </is>
      </c>
      <c r="B2241" s="13" t="inlineStr">
        <is>
          <t>Enchantment — Aura</t>
        </is>
      </c>
      <c r="C2241" s="13" t="inlineStr">
        <is>
          <t>Common / Comum</t>
        </is>
      </c>
      <c r="D2241" s="13" t="inlineStr">
        <is>
          <t>Enchant creature Enchanted creature can't attack or block. {5}, Sacrifice this Aura: Exile enchanted creature. Create a 1/1 white Ally creature token. Activate only during your turn.</t>
        </is>
      </c>
      <c r="E2241" s="13" t="inlineStr">
        <is>
          <t>{1}{W}</t>
        </is>
      </c>
      <c r="F2241" s="13" t="inlineStr">
        <is>
          <t>Branco</t>
        </is>
      </c>
      <c r="G2241" s="8" t="n">
        <v>0.05</v>
      </c>
      <c r="H2241" s="13" t="inlineStr">
        <is>
          <t>Avatar: The Last Airbender (TLA)</t>
        </is>
      </c>
      <c r="I2241" s="13" t="inlineStr">
        <is>
          <t>Não</t>
        </is>
      </c>
      <c r="J2241" s="13" t="n">
        <v>2025</v>
      </c>
      <c r="L2241" s="13" t="n">
        <v>3</v>
      </c>
      <c r="M2241" s="8">
        <f>L2241*G2241</f>
        <v/>
      </c>
      <c r="P2241" s="9" t="n"/>
    </row>
    <row r="2242">
      <c r="A2242" s="13" t="inlineStr">
        <is>
          <t>Patrician's Scorn / Desprezo de Compatrício</t>
        </is>
      </c>
      <c r="B2242" s="13" t="inlineStr">
        <is>
          <t>Instant / Mágica Instantânea</t>
        </is>
      </c>
      <c r="C2242" s="13" t="inlineStr">
        <is>
          <t>Common / Comum</t>
        </is>
      </c>
      <c r="D2242" s="13"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2242" s="13" t="inlineStr">
        <is>
          <t>{3}{W}</t>
        </is>
      </c>
      <c r="F2242" s="13" t="inlineStr">
        <is>
          <t>Branco</t>
        </is>
      </c>
      <c r="G2242" s="8" t="n">
        <v>0.41</v>
      </c>
      <c r="H2242" s="13" t="inlineStr">
        <is>
          <t>Future Sight (FUT)</t>
        </is>
      </c>
      <c r="I2242" s="13" t="inlineStr">
        <is>
          <t>Não</t>
        </is>
      </c>
      <c r="J2242" s="13" t="n">
        <v>2007</v>
      </c>
      <c r="L2242" s="13" t="n">
        <v>2</v>
      </c>
      <c r="M2242" s="8">
        <f>L2242*G2242</f>
        <v/>
      </c>
      <c r="P2242" s="9" t="n"/>
    </row>
    <row r="2243">
      <c r="A2243" s="13" t="inlineStr">
        <is>
          <t>Pay No Heed / Desconsiderar</t>
        </is>
      </c>
      <c r="B2243" s="13" t="inlineStr">
        <is>
          <t>Instant / Mágica Instantânea</t>
        </is>
      </c>
      <c r="C2243" s="13" t="inlineStr">
        <is>
          <t>Common / Comum</t>
        </is>
      </c>
      <c r="D2243" s="13" t="inlineStr">
        <is>
          <t>Prevent all damage a source of your choice would deal this turn. / Previna todo o dano que uma fonte à sua escolha causaria neste turno.</t>
        </is>
      </c>
      <c r="E2243" s="13" t="inlineStr">
        <is>
          <t>{W}</t>
        </is>
      </c>
      <c r="F2243" s="13" t="inlineStr">
        <is>
          <t>Branco</t>
        </is>
      </c>
      <c r="G2243" s="8" t="n">
        <v>0.05</v>
      </c>
      <c r="H2243" s="13" t="inlineStr">
        <is>
          <t>Magic 2014 (M14)</t>
        </is>
      </c>
      <c r="I2243" s="13" t="inlineStr">
        <is>
          <t>Não</t>
        </is>
      </c>
      <c r="J2243" s="13" t="n">
        <v>2013</v>
      </c>
      <c r="L2243" s="13" t="n">
        <v>1</v>
      </c>
      <c r="M2243" s="8">
        <f>L2243*G2243</f>
        <v/>
      </c>
      <c r="P2243" s="9" t="n"/>
    </row>
    <row r="2244">
      <c r="A2244" s="13" t="inlineStr">
        <is>
          <t>Pearled Unicorn / Unicórnio Perolado</t>
        </is>
      </c>
      <c r="B2244" s="13" t="inlineStr">
        <is>
          <t>Creature — Unicorn / Criatura — Unicórnio</t>
        </is>
      </c>
      <c r="C2244" s="13" t="inlineStr">
        <is>
          <t>Common / Comum</t>
        </is>
      </c>
      <c r="D2244" s="13" t="inlineStr">
        <is>
          <t>None. / Nenhuma.</t>
        </is>
      </c>
      <c r="E2244" s="13" t="inlineStr">
        <is>
          <t>{2}{W}</t>
        </is>
      </c>
      <c r="F2244" s="13" t="inlineStr">
        <is>
          <t>Branco</t>
        </is>
      </c>
      <c r="G2244" s="8" t="n">
        <v>0.17</v>
      </c>
      <c r="H2244" s="13" t="inlineStr">
        <is>
          <t>Fourth Edition (4ED)</t>
        </is>
      </c>
      <c r="I2244" s="13" t="inlineStr">
        <is>
          <t>No</t>
        </is>
      </c>
      <c r="J2244" s="13" t="n">
        <v>1995</v>
      </c>
      <c r="K2244" s="10" t="n">
        <v>46055</v>
      </c>
      <c r="L2244" s="13" t="n">
        <v>1</v>
      </c>
      <c r="M2244" s="8">
        <f>L2244*G2244</f>
        <v/>
      </c>
      <c r="P2244" s="9" t="n"/>
    </row>
    <row r="2245">
      <c r="A2245" s="13" t="inlineStr">
        <is>
          <t>Pedregulho Fugitivo / Runaway Boulder</t>
        </is>
      </c>
      <c r="B2245" s="13" t="inlineStr">
        <is>
          <t>Artifact / Artefato</t>
        </is>
      </c>
      <c r="C2245" s="13" t="inlineStr">
        <is>
          <t>Common / Comum</t>
        </is>
      </c>
      <c r="D2245" s="13"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2245" s="13" t="inlineStr">
        <is>
          <t>{6}</t>
        </is>
      </c>
      <c r="F2245" s="13" t="inlineStr">
        <is>
          <t>Incolor</t>
        </is>
      </c>
      <c r="G2245" s="8" t="n">
        <v>0.07000000000000001</v>
      </c>
      <c r="H2245" s="13" t="inlineStr">
        <is>
          <t>The Lost Caverns of Ixalan (LCI)</t>
        </is>
      </c>
      <c r="I2245" s="13" t="inlineStr">
        <is>
          <t>No</t>
        </is>
      </c>
      <c r="J2245" s="13" t="n">
        <v>2023</v>
      </c>
      <c r="L2245" s="13" t="n">
        <v>1</v>
      </c>
      <c r="M2245" s="8">
        <f>L2245*G2245</f>
        <v/>
      </c>
      <c r="P2245" s="9" t="n"/>
    </row>
    <row r="2246">
      <c r="A2246" s="13" t="inlineStr">
        <is>
          <t>Peema Aether-Seer / Eteromante de Peema</t>
        </is>
      </c>
      <c r="B2246" s="13" t="inlineStr">
        <is>
          <t>Creature — Elf Druid / Criatura — Elfo Druida</t>
        </is>
      </c>
      <c r="C2246" s="13" t="inlineStr">
        <is>
          <t>Uncommon / Incomum</t>
        </is>
      </c>
      <c r="D2246" s="13"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2246" s="13" t="inlineStr">
        <is>
          <t>{3}{G}</t>
        </is>
      </c>
      <c r="F2246" s="13" t="inlineStr">
        <is>
          <t>Verde</t>
        </is>
      </c>
      <c r="G2246" s="8" t="n">
        <v>0.03</v>
      </c>
      <c r="H2246" s="13" t="inlineStr">
        <is>
          <t>Aether Revolt (AER)</t>
        </is>
      </c>
      <c r="I2246" s="13" t="inlineStr">
        <is>
          <t>Não</t>
        </is>
      </c>
      <c r="J2246" s="13" t="n">
        <v>2017</v>
      </c>
      <c r="K2246" s="10" t="n">
        <v>46056</v>
      </c>
      <c r="L2246" s="13" t="n">
        <v>1</v>
      </c>
      <c r="M2246" s="8">
        <f>L2246*G2246</f>
        <v/>
      </c>
      <c r="P2246" s="9" t="n"/>
    </row>
    <row r="2247">
      <c r="A2247" s="13" t="inlineStr">
        <is>
          <t>Pentagram of the Ages / Pentagrama das Eras</t>
        </is>
      </c>
      <c r="B2247" s="13" t="inlineStr">
        <is>
          <t>Artifact / Artefato</t>
        </is>
      </c>
      <c r="C2247" s="13" t="inlineStr">
        <is>
          <t>Rare / Rara</t>
        </is>
      </c>
      <c r="D2247" s="13" t="inlineStr">
        <is>
          <t>{4}, {T}: The next time a source of your choice would deal damage to you this turn, prevent that damage.</t>
        </is>
      </c>
      <c r="E2247" s="13" t="inlineStr">
        <is>
          <t>{4}</t>
        </is>
      </c>
      <c r="F2247" s="13" t="inlineStr">
        <is>
          <t>Incolor</t>
        </is>
      </c>
      <c r="G2247" s="8" t="n">
        <v>0.31</v>
      </c>
      <c r="H2247" s="13" t="inlineStr">
        <is>
          <t>Ice Age (ICE)</t>
        </is>
      </c>
      <c r="I2247" s="13" t="inlineStr">
        <is>
          <t>Não</t>
        </is>
      </c>
      <c r="J2247" s="13" t="n">
        <v>1995</v>
      </c>
      <c r="L2247" s="13" t="n">
        <v>1</v>
      </c>
      <c r="M2247" s="8">
        <f>L2247*G2247</f>
        <v/>
      </c>
      <c r="P2247" s="9" t="n"/>
    </row>
    <row r="2248">
      <c r="A2248" s="13" t="inlineStr">
        <is>
          <t>Perda / Down // Lucro / Dirty</t>
        </is>
      </c>
      <c r="B2248" s="13" t="inlineStr">
        <is>
          <t>Mágica Instantânea / Instant</t>
        </is>
      </c>
      <c r="C2248" s="13" t="inlineStr">
        <is>
          <t>Incomum / Uncommon</t>
        </is>
      </c>
      <c r="D2248" s="13"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2248" s="13" t="inlineStr">
        <is>
          <t>{2}{B} // {1}{W}</t>
        </is>
      </c>
      <c r="F2248" s="13" t="inlineStr">
        <is>
          <t>Preto e Branco / Black and White</t>
        </is>
      </c>
      <c r="G2248" s="8" t="n">
        <v>0.08</v>
      </c>
      <c r="H2248" s="13" t="inlineStr">
        <is>
          <t>Dragon's Maze (DGM)</t>
        </is>
      </c>
      <c r="I2248" s="13" t="inlineStr">
        <is>
          <t>Não</t>
        </is>
      </c>
      <c r="J2248" s="13" t="n">
        <v>2013</v>
      </c>
      <c r="L2248" s="13" t="n">
        <v>2</v>
      </c>
      <c r="M2248" s="8">
        <f>L2248*G2248</f>
        <v/>
      </c>
      <c r="P2248" s="9" t="n"/>
    </row>
    <row r="2249">
      <c r="A2249" s="13" t="inlineStr">
        <is>
          <t>Peregrin Tûk / Peregrin Took</t>
        </is>
      </c>
      <c r="B2249" s="13" t="inlineStr">
        <is>
          <t>Criatura Lendária — Pequenino Cidadão</t>
        </is>
      </c>
      <c r="C2249" s="13" t="inlineStr">
        <is>
          <t>Incomum</t>
        </is>
      </c>
      <c r="D2249" s="13"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2249" s="13" t="inlineStr">
        <is>
          <t>2{G}</t>
        </is>
      </c>
      <c r="F2249" s="13" t="inlineStr">
        <is>
          <t>Verde</t>
        </is>
      </c>
      <c r="G2249" s="8" t="n">
        <v>1.01</v>
      </c>
      <c r="H2249" s="13" t="inlineStr">
        <is>
          <t>The Lord of the Rings: Tales of Middle-earth (LTR)</t>
        </is>
      </c>
      <c r="I2249" s="13" t="inlineStr">
        <is>
          <t>Não</t>
        </is>
      </c>
      <c r="J2249" s="13" t="n">
        <v>2023</v>
      </c>
      <c r="K2249" s="10" t="n">
        <v>46083</v>
      </c>
      <c r="L2249" s="13" t="n">
        <v>2</v>
      </c>
      <c r="M2249" s="8">
        <f>L2249*G2249</f>
        <v/>
      </c>
      <c r="P2249" s="9" t="n"/>
    </row>
    <row r="2250">
      <c r="A2250" s="13" t="inlineStr">
        <is>
          <t>Perfect Intimidation</t>
        </is>
      </c>
      <c r="B2250" s="13" t="inlineStr">
        <is>
          <t>Sorcery</t>
        </is>
      </c>
      <c r="C2250" s="13" t="inlineStr">
        <is>
          <t>Uncommon</t>
        </is>
      </c>
      <c r="D2250" s="13" t="inlineStr">
        <is>
          <t>Choose one or both — Target opponent exiles two cards from their hand. Remove all counters from target creature.</t>
        </is>
      </c>
      <c r="E2250" s="13" t="inlineStr">
        <is>
          <t>{3}{B}</t>
        </is>
      </c>
      <c r="F2250" s="13" t="inlineStr">
        <is>
          <t>Preto</t>
        </is>
      </c>
      <c r="G2250" s="8" t="n">
        <v>0.08</v>
      </c>
      <c r="H2250" s="13" t="inlineStr">
        <is>
          <t>Lorwyn Eclipsed (ECL)</t>
        </is>
      </c>
      <c r="I2250" s="13" t="inlineStr">
        <is>
          <t>Não</t>
        </is>
      </c>
      <c r="J2250" s="13" t="n">
        <v>2026</v>
      </c>
      <c r="L2250" s="13" t="n">
        <v>1</v>
      </c>
      <c r="M2250" s="8">
        <f>L2250*G2250</f>
        <v/>
      </c>
      <c r="P2250" s="9" t="n"/>
    </row>
    <row r="2251">
      <c r="A2251" s="13" t="inlineStr">
        <is>
          <t>Perplexing Chimera / Quimera Desconcertante</t>
        </is>
      </c>
      <c r="B2251" s="13" t="inlineStr">
        <is>
          <t>Enchantment Creature — Chimera / Criatura Encantamento — Quimera</t>
        </is>
      </c>
      <c r="C2251" s="13" t="inlineStr">
        <is>
          <t>Rare / Rara</t>
        </is>
      </c>
      <c r="D2251" s="13"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2251" s="13" t="inlineStr">
        <is>
          <t>{4}{U}</t>
        </is>
      </c>
      <c r="F2251" s="13" t="inlineStr">
        <is>
          <t>Azul</t>
        </is>
      </c>
      <c r="G2251" s="8" t="n">
        <v>0.4</v>
      </c>
      <c r="H2251" s="13" t="inlineStr">
        <is>
          <t>Born of the Gods (BNG)</t>
        </is>
      </c>
      <c r="I2251" s="13" t="inlineStr">
        <is>
          <t>Não</t>
        </is>
      </c>
      <c r="J2251" s="13" t="n">
        <v>2014</v>
      </c>
      <c r="K2251" s="10" t="n">
        <v>46084</v>
      </c>
      <c r="L2251" s="13" t="n">
        <v>1</v>
      </c>
      <c r="M2251" s="8">
        <f>L2251*G2251</f>
        <v/>
      </c>
      <c r="P2251" s="9" t="n"/>
    </row>
    <row r="2252">
      <c r="A2252" s="13" t="inlineStr">
        <is>
          <t>Persistent Marshstalker</t>
        </is>
      </c>
      <c r="B2252" s="13" t="inlineStr">
        <is>
          <t>Creature — Rat Berserker</t>
        </is>
      </c>
      <c r="C2252" s="13" t="inlineStr">
        <is>
          <t>Uncommon / Incomum</t>
        </is>
      </c>
      <c r="D2252" s="13"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2252" s="13" t="inlineStr">
        <is>
          <t>{1}{B}</t>
        </is>
      </c>
      <c r="F2252" s="13" t="inlineStr">
        <is>
          <t>Preto</t>
        </is>
      </c>
      <c r="G2252" s="8" t="n">
        <v>0.15</v>
      </c>
      <c r="H2252" s="13" t="inlineStr">
        <is>
          <t>Bloomburrow (BLB)</t>
        </is>
      </c>
      <c r="I2252" s="13" t="inlineStr">
        <is>
          <t>Não</t>
        </is>
      </c>
      <c r="J2252" s="13" t="n">
        <v>2024</v>
      </c>
      <c r="K2252" s="10" t="n">
        <v>46025</v>
      </c>
      <c r="L2252" s="13" t="n">
        <v>1</v>
      </c>
      <c r="M2252" s="8">
        <f>L2252*G2252</f>
        <v/>
      </c>
      <c r="P2252" s="9" t="n"/>
    </row>
    <row r="2253">
      <c r="A2253" s="13" t="inlineStr">
        <is>
          <t>Persistent Petitioners / Peticionários Persistentes</t>
        </is>
      </c>
      <c r="B2253" s="13" t="inlineStr">
        <is>
          <t>Creature — Human Advisor / Criatura — Humano Conselheiro</t>
        </is>
      </c>
      <c r="C2253" s="13" t="inlineStr">
        <is>
          <t>Common / Comum</t>
        </is>
      </c>
      <c r="D2253" s="13"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2253" s="13" t="inlineStr">
        <is>
          <t>{1}{U}</t>
        </is>
      </c>
      <c r="F2253" s="13" t="inlineStr">
        <is>
          <t>Azul</t>
        </is>
      </c>
      <c r="G2253" s="8" t="n">
        <v>0.57</v>
      </c>
      <c r="H2253" s="13" t="inlineStr">
        <is>
          <t>Ravnica Remastered (RVR)</t>
        </is>
      </c>
      <c r="I2253" s="13" t="inlineStr">
        <is>
          <t>Não</t>
        </is>
      </c>
      <c r="J2253" s="13" t="n">
        <v>2024</v>
      </c>
      <c r="K2253" s="10" t="n">
        <v>46082</v>
      </c>
      <c r="L2253" s="13" t="n">
        <v>1</v>
      </c>
      <c r="M2253" s="8">
        <f>L2253*G2253</f>
        <v/>
      </c>
      <c r="P2253" s="9" t="n"/>
    </row>
    <row r="2254">
      <c r="A2254" s="13" t="inlineStr">
        <is>
          <t>Persistent Specimen / Espécime Persistente</t>
        </is>
      </c>
      <c r="B2254" s="13" t="inlineStr">
        <is>
          <t>Creature — Skeleton / Criatura — Esqueleto</t>
        </is>
      </c>
      <c r="C2254" s="13" t="inlineStr">
        <is>
          <t>Common / Comum</t>
        </is>
      </c>
      <c r="D2254" s="13" t="inlineStr">
        <is>
          <t>{2}{B}: Return this card from your graveyard to the battlefield tapped. / {2}{B}: Devolva Espécime Persistente de seu cemitério para o campo de batalha virado.</t>
        </is>
      </c>
      <c r="E2254" s="13" t="inlineStr">
        <is>
          <t>{B}</t>
        </is>
      </c>
      <c r="F2254" s="13" t="inlineStr">
        <is>
          <t>Preto</t>
        </is>
      </c>
      <c r="G2254" s="8" t="n">
        <v>0.1</v>
      </c>
      <c r="H2254" s="13" t="inlineStr">
        <is>
          <t>Innistrad: Crimson Vow (VOW)</t>
        </is>
      </c>
      <c r="I2254" s="13" t="inlineStr">
        <is>
          <t>Não</t>
        </is>
      </c>
      <c r="J2254" s="13" t="n">
        <v>2021</v>
      </c>
      <c r="K2254" s="10" t="n">
        <v>46023</v>
      </c>
      <c r="L2254" s="13" t="n">
        <v>1</v>
      </c>
      <c r="M2254" s="8">
        <f>L2254*G2254</f>
        <v/>
      </c>
      <c r="P2254" s="9" t="n"/>
    </row>
    <row r="2255">
      <c r="A2255" s="13" t="inlineStr">
        <is>
          <t>Personify</t>
        </is>
      </c>
      <c r="B2255" s="13" t="inlineStr">
        <is>
          <t>Instant</t>
        </is>
      </c>
      <c r="C2255" s="13" t="inlineStr">
        <is>
          <t>Uncommon / Incomum</t>
        </is>
      </c>
      <c r="D2255" s="13" t="inlineStr">
        <is>
          <t>Exile target creature you control, then return that card to the battlefield under its owner's control. Create a 1/1 colorless Shapeshifter creature token with changeling. (It's every creature type.)</t>
        </is>
      </c>
      <c r="E2255" s="13" t="inlineStr">
        <is>
          <t>{1}{W}</t>
        </is>
      </c>
      <c r="F2255" s="13" t="inlineStr">
        <is>
          <t>Branco</t>
        </is>
      </c>
      <c r="G2255" s="8" t="n">
        <v>0.07000000000000001</v>
      </c>
      <c r="H2255" s="13" t="inlineStr">
        <is>
          <t>Lorwyn Eclipsed (ECL)</t>
        </is>
      </c>
      <c r="I2255" s="13" t="inlineStr">
        <is>
          <t>Não</t>
        </is>
      </c>
      <c r="J2255" s="13" t="n">
        <v>2026</v>
      </c>
      <c r="L2255" s="13" t="n">
        <v>1</v>
      </c>
      <c r="M2255" s="8">
        <f>L2255*G2255</f>
        <v/>
      </c>
      <c r="P2255" s="9" t="n"/>
    </row>
    <row r="2256">
      <c r="A2256" s="13" t="inlineStr">
        <is>
          <t>Perturbador de Redes / Network Disruptor</t>
        </is>
      </c>
      <c r="B2256" s="13" t="inlineStr">
        <is>
          <t>Criatura Artefato — Cidadão-da-lua Ladino / Artifact Creature — Moonfolk Rogue</t>
        </is>
      </c>
      <c r="C2256" s="13" t="inlineStr">
        <is>
          <t>Comum / Common</t>
        </is>
      </c>
      <c r="D2256" s="13" t="inlineStr">
        <is>
          <t>Voar. Quando Perturbador de Redes entrar no campo de batalha, vire a permanente alvo. / Flying. When Network Disruptor enters the battlefield, tap target permanent.</t>
        </is>
      </c>
      <c r="E2256" s="13" t="inlineStr">
        <is>
          <t>{U}</t>
        </is>
      </c>
      <c r="F2256" s="13" t="inlineStr">
        <is>
          <t>Azul</t>
        </is>
      </c>
      <c r="G2256" s="8" t="n">
        <v>0.2</v>
      </c>
      <c r="H2256" s="13" t="inlineStr">
        <is>
          <t>Kamigawa: Neon Dynasty (NEO)</t>
        </is>
      </c>
      <c r="I2256" s="13" t="inlineStr">
        <is>
          <t>Não</t>
        </is>
      </c>
      <c r="J2256" s="13" t="n">
        <v>2022</v>
      </c>
      <c r="K2256" s="10" t="n">
        <v>46023</v>
      </c>
      <c r="L2256" s="13" t="n">
        <v>1</v>
      </c>
      <c r="M2256" s="8">
        <f>L2256*G2256</f>
        <v/>
      </c>
      <c r="P2256" s="9" t="n"/>
    </row>
    <row r="2257">
      <c r="A2257" s="13" t="inlineStr">
        <is>
          <t>Pestbrood Sloth / Preguiça da Ninhada de Pragas</t>
        </is>
      </c>
      <c r="B2257" s="13" t="inlineStr">
        <is>
          <t>Creature — Plant Sloth / Criatura — Planta Preguiça</t>
        </is>
      </c>
      <c r="C2257" s="13" t="inlineStr">
        <is>
          <t>Uncommon / Incomum</t>
        </is>
      </c>
      <c r="D2257" s="13"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2257" s="13" t="inlineStr">
        <is>
          <t>{3}{G}</t>
        </is>
      </c>
      <c r="F2257" s="13" t="inlineStr">
        <is>
          <t>Verde</t>
        </is>
      </c>
      <c r="G2257" s="8" t="n">
        <v>0.4</v>
      </c>
      <c r="H2257" s="13" t="inlineStr">
        <is>
          <t>Shadows of Sothia (SOS)</t>
        </is>
      </c>
      <c r="I2257" s="13" t="inlineStr">
        <is>
          <t>Sim</t>
        </is>
      </c>
      <c r="J2257" s="13" t="n">
        <v>2026</v>
      </c>
      <c r="K2257" s="10" t="n">
        <v>46116</v>
      </c>
      <c r="L2257" s="13" t="n">
        <v>1</v>
      </c>
      <c r="M2257" s="8">
        <f>L2257*G2257</f>
        <v/>
      </c>
      <c r="P2257" s="9" t="n"/>
    </row>
    <row r="2258">
      <c r="A2258" s="13" t="inlineStr">
        <is>
          <t>Pestilence / Pestilência</t>
        </is>
      </c>
      <c r="B2258" s="13" t="inlineStr">
        <is>
          <t>Enchantment</t>
        </is>
      </c>
      <c r="C2258" s="13" t="inlineStr">
        <is>
          <t>Comum</t>
        </is>
      </c>
      <c r="D2258" s="13" t="inlineStr">
        <is>
          <t>{B}: Do 1 damage to each creature and to both players. If there are no creatures in play at the end of any turn, Pestilence must be discarded.</t>
        </is>
      </c>
      <c r="E2258" s="13" t="inlineStr">
        <is>
          <t>{2}{B}{B}</t>
        </is>
      </c>
      <c r="F2258" s="13" t="inlineStr">
        <is>
          <t>Preto</t>
        </is>
      </c>
      <c r="G2258" s="8" t="n">
        <v>3.12</v>
      </c>
      <c r="H2258" s="13" t="inlineStr">
        <is>
          <t>Alpha</t>
        </is>
      </c>
      <c r="I2258" s="13" t="inlineStr">
        <is>
          <t>Não</t>
        </is>
      </c>
      <c r="J2258" s="13" t="n">
        <v>1993</v>
      </c>
      <c r="L2258" s="13" t="n">
        <v>2</v>
      </c>
      <c r="M2258" s="8">
        <f>L2258*G2258</f>
        <v/>
      </c>
      <c r="P2258" s="9" t="n"/>
    </row>
    <row r="2259">
      <c r="A2259" s="13" t="inlineStr">
        <is>
          <t>Pestilence / Pestilência</t>
        </is>
      </c>
      <c r="B2259" s="13" t="inlineStr">
        <is>
          <t>Enchantment</t>
        </is>
      </c>
      <c r="C2259" s="13" t="inlineStr">
        <is>
          <t>Common / Comum</t>
        </is>
      </c>
      <c r="D2259" s="13" t="inlineStr">
        <is>
          <t>At the beginning of the end step, if no creatures are on the battlefield, sacrifice this enchantment. {B}: This enchantment deals 1 damage to each creature and each player.</t>
        </is>
      </c>
      <c r="E2259" s="13" t="inlineStr">
        <is>
          <t>{2}{B}{B}</t>
        </is>
      </c>
      <c r="F2259" s="13" t="inlineStr">
        <is>
          <t>Preto</t>
        </is>
      </c>
      <c r="G2259" s="8" t="n">
        <v>0.99</v>
      </c>
      <c r="H2259" s="13" t="inlineStr">
        <is>
          <t>Quarta edição</t>
        </is>
      </c>
      <c r="I2259" s="13" t="inlineStr">
        <is>
          <t>Não</t>
        </is>
      </c>
      <c r="J2259" s="13" t="n">
        <v>1995</v>
      </c>
      <c r="L2259" s="13" t="n">
        <v>3</v>
      </c>
      <c r="M2259" s="8">
        <f>L2259*G2259</f>
        <v/>
      </c>
      <c r="P2259" s="9" t="n"/>
    </row>
    <row r="2260">
      <c r="A2260" s="13" t="inlineStr">
        <is>
          <t>Pestilence / Pestilência</t>
        </is>
      </c>
      <c r="B2260" s="13" t="inlineStr">
        <is>
          <t>Enchantment</t>
        </is>
      </c>
      <c r="C2260" s="13" t="inlineStr">
        <is>
          <t>Common / Comum</t>
        </is>
      </c>
      <c r="D2260" s="13" t="inlineStr">
        <is>
          <t>At the beginning of the end step, if no creatures are on the battlefield, sacrifice this enchantment. {B}: This enchantment deals 1 damage to each creature and each player.</t>
        </is>
      </c>
      <c r="E2260" s="13" t="inlineStr">
        <is>
          <t>{2}{B}{B}</t>
        </is>
      </c>
      <c r="F2260" s="13" t="inlineStr">
        <is>
          <t>Preto</t>
        </is>
      </c>
      <c r="G2260" s="8" t="n">
        <v>3.12</v>
      </c>
      <c r="H2260" s="13" t="inlineStr">
        <is>
          <t>Revised Edition</t>
        </is>
      </c>
      <c r="I2260" s="13" t="inlineStr">
        <is>
          <t>Não</t>
        </is>
      </c>
      <c r="J2260" s="13" t="n">
        <v>1993</v>
      </c>
      <c r="L2260" s="13" t="n">
        <v>1</v>
      </c>
      <c r="M2260" s="8">
        <f>L2260*G2260</f>
        <v/>
      </c>
      <c r="P2260" s="9" t="n"/>
    </row>
    <row r="2261">
      <c r="A2261" s="13" t="inlineStr">
        <is>
          <t>Pestilence / Pestilência</t>
        </is>
      </c>
      <c r="B2261" s="13" t="inlineStr">
        <is>
          <t>Enchantment</t>
        </is>
      </c>
      <c r="C2261" s="13" t="inlineStr">
        <is>
          <t>Common / Comum</t>
        </is>
      </c>
      <c r="D2261" s="13" t="inlineStr">
        <is>
          <t>At the beginning of the end step, if no creatures are on the battlefield, sacrifice this enchantment. {B}: This enchantment deals 1 damage to each creature and each player.</t>
        </is>
      </c>
      <c r="E2261" s="13" t="inlineStr">
        <is>
          <t>{2}{B}{B}</t>
        </is>
      </c>
      <c r="F2261" s="13" t="inlineStr">
        <is>
          <t>Preto</t>
        </is>
      </c>
      <c r="G2261" s="8" t="n">
        <v>1.25</v>
      </c>
      <c r="H2261" s="13" t="inlineStr">
        <is>
          <t>Urza's Saga (USG)</t>
        </is>
      </c>
      <c r="I2261" s="13" t="inlineStr">
        <is>
          <t>Não</t>
        </is>
      </c>
      <c r="J2261" s="13" t="n">
        <v>1998</v>
      </c>
      <c r="L2261" s="13" t="n">
        <v>1</v>
      </c>
      <c r="M2261" s="8">
        <f>L2261*G2261</f>
        <v/>
      </c>
      <c r="P2261" s="9" t="n"/>
    </row>
    <row r="2262">
      <c r="A2262" s="13" t="inlineStr">
        <is>
          <t>Pestilence Rats / Ratos da Peste</t>
        </is>
      </c>
      <c r="B2262" s="13" t="inlineStr">
        <is>
          <t>Creature — Rat</t>
        </is>
      </c>
      <c r="C2262" s="13" t="inlineStr">
        <is>
          <t>Common / Comum</t>
        </is>
      </c>
      <c r="D2262" s="13" t="inlineStr">
        <is>
          <t>Pestilence Rats's power is equal to the number of other Rats on the battlefield. (For example, as long as there are two other Rats on the battlefield, Pestilence Rats's power and toughness are 2/3.)</t>
        </is>
      </c>
      <c r="E2262" s="13" t="inlineStr">
        <is>
          <t>{2}{B}</t>
        </is>
      </c>
      <c r="F2262" s="13" t="inlineStr">
        <is>
          <t>Preto</t>
        </is>
      </c>
      <c r="G2262" s="8" t="n">
        <v>0.4</v>
      </c>
      <c r="H2262" s="13" t="inlineStr">
        <is>
          <t>Ice Age (ICE)</t>
        </is>
      </c>
      <c r="I2262" s="13" t="inlineStr">
        <is>
          <t>Não</t>
        </is>
      </c>
      <c r="J2262" s="13" t="n">
        <v>1995</v>
      </c>
      <c r="K2262" s="13" t="inlineStr">
        <is>
          <t>*/3</t>
        </is>
      </c>
      <c r="L2262" s="13" t="n">
        <v>1</v>
      </c>
      <c r="M2262" s="8">
        <f>L2262*G2262</f>
        <v/>
      </c>
      <c r="P2262" s="9" t="n"/>
    </row>
    <row r="2263">
      <c r="A2263" s="13" t="inlineStr">
        <is>
          <t>Pests of Honor / Pragas de Honra</t>
        </is>
      </c>
      <c r="B2263" s="13" t="inlineStr">
        <is>
          <t>Creature — Mouse / Criatura — Camundongo</t>
        </is>
      </c>
      <c r="C2263" s="13" t="inlineStr">
        <is>
          <t>Uncommon / Incomum</t>
        </is>
      </c>
      <c r="D2263" s="13"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2263" s="13" t="inlineStr">
        <is>
          <t>{2}{W}</t>
        </is>
      </c>
      <c r="F2263" s="13" t="inlineStr">
        <is>
          <t>Branco</t>
        </is>
      </c>
      <c r="G2263" s="8" t="n">
        <v>0.16</v>
      </c>
      <c r="H2263" s="13" t="inlineStr">
        <is>
          <t>Wilds of Eldraine (WOE)</t>
        </is>
      </c>
      <c r="I2263" s="13" t="inlineStr">
        <is>
          <t>Não</t>
        </is>
      </c>
      <c r="J2263" s="13" t="n">
        <v>2023</v>
      </c>
      <c r="K2263" s="10" t="n">
        <v>46055</v>
      </c>
      <c r="L2263" s="13" t="n">
        <v>1</v>
      </c>
      <c r="M2263" s="8">
        <f>L2263*G2263</f>
        <v/>
      </c>
      <c r="P2263" s="9" t="n"/>
    </row>
    <row r="2264">
      <c r="A2264" s="13" t="inlineStr">
        <is>
          <t>Phalanx Formation / Formação de Falange</t>
        </is>
      </c>
      <c r="B2264" s="13" t="inlineStr">
        <is>
          <t>Instant / Mágica Instantânea</t>
        </is>
      </c>
      <c r="C2264" s="13" t="inlineStr">
        <is>
          <t>Uncommon / Incomum</t>
        </is>
      </c>
      <c r="D2264" s="13"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4" s="13" t="inlineStr">
        <is>
          <t>{2}{W}</t>
        </is>
      </c>
      <c r="F2264" s="13" t="inlineStr">
        <is>
          <t>Branco</t>
        </is>
      </c>
      <c r="G2264" s="8" t="n">
        <v>0.05</v>
      </c>
      <c r="H2264" s="13" t="inlineStr">
        <is>
          <t>Journey into Nyx (JOU)</t>
        </is>
      </c>
      <c r="I2264" s="13" t="inlineStr">
        <is>
          <t>Não</t>
        </is>
      </c>
      <c r="J2264" s="13" t="n">
        <v>2014</v>
      </c>
      <c r="L2264" s="13" t="n">
        <v>1</v>
      </c>
      <c r="M2264" s="8">
        <f>L2264*G2264</f>
        <v/>
      </c>
      <c r="P2264" s="9" t="n"/>
    </row>
    <row r="2265">
      <c r="A2265" s="13" t="inlineStr">
        <is>
          <t>Phantom Train / Trem Fantasma</t>
        </is>
      </c>
      <c r="B2265" s="13" t="inlineStr">
        <is>
          <t>Artefato — Veículo</t>
        </is>
      </c>
      <c r="C2265" s="13" t="inlineStr">
        <is>
          <t>Incomum</t>
        </is>
      </c>
      <c r="D2265" s="13" t="inlineStr">
        <is>
          <t>Atropelar. Sacrifique outro artefato ou criatura: Coloque um marcador +1/+1 neste Veículo. Ele se torna uma criatura artefato Espírito além de seus outros tipos até o final do turno.</t>
        </is>
      </c>
      <c r="E2265" s="13" t="inlineStr">
        <is>
          <t>3{B}</t>
        </is>
      </c>
      <c r="F2265" s="13" t="inlineStr">
        <is>
          <t>Preto</t>
        </is>
      </c>
      <c r="G2265" s="8" t="n">
        <v>0.22</v>
      </c>
      <c r="H2265" s="13" t="inlineStr">
        <is>
          <t>Final Fantasy</t>
        </is>
      </c>
      <c r="I2265" s="13" t="inlineStr">
        <is>
          <t>Não</t>
        </is>
      </c>
      <c r="J2265" s="13" t="n">
        <v>2025</v>
      </c>
      <c r="K2265" s="10" t="n">
        <v>46116</v>
      </c>
      <c r="L2265" s="13" t="n">
        <v>1</v>
      </c>
      <c r="M2265" s="8">
        <f>L2265*G2265</f>
        <v/>
      </c>
      <c r="P2265" s="9" t="n"/>
    </row>
    <row r="2266">
      <c r="A2266" s="13" t="inlineStr">
        <is>
          <t>Pharagax Giant / Gigante de Faragax</t>
        </is>
      </c>
      <c r="B2266" s="13" t="inlineStr">
        <is>
          <t>Creature — Giant / Criatura — Gigante</t>
        </is>
      </c>
      <c r="C2266" s="13" t="inlineStr">
        <is>
          <t>Common / Comum</t>
        </is>
      </c>
      <c r="D2266" s="13"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2266" s="13" t="inlineStr">
        <is>
          <t>{4}{R}</t>
        </is>
      </c>
      <c r="F2266" s="13" t="inlineStr">
        <is>
          <t>Vermelho</t>
        </is>
      </c>
      <c r="G2266" s="8" t="n">
        <v>0.03</v>
      </c>
      <c r="H2266" s="13" t="inlineStr">
        <is>
          <t>Born of the Gods (BNG)</t>
        </is>
      </c>
      <c r="I2266" s="13" t="inlineStr">
        <is>
          <t>Não</t>
        </is>
      </c>
      <c r="J2266" s="13" t="n">
        <v>2014</v>
      </c>
      <c r="K2266" s="10" t="n">
        <v>46084</v>
      </c>
      <c r="L2266" s="13" t="n">
        <v>1</v>
      </c>
      <c r="M2266" s="8">
        <f>L2266*G2266</f>
        <v/>
      </c>
      <c r="P2266" s="9" t="n"/>
    </row>
    <row r="2267">
      <c r="A2267" s="13" t="inlineStr">
        <is>
          <t>Pharika, God of Affliction / Fárica, Deusa do Padecimento</t>
        </is>
      </c>
      <c r="B2267" s="13" t="inlineStr">
        <is>
          <t>Legendary Enchantment Creature — God / Criatura Encantamento Lendária — Deus</t>
        </is>
      </c>
      <c r="C2267" s="13" t="inlineStr">
        <is>
          <t>Mythic / Mítica</t>
        </is>
      </c>
      <c r="D2267" s="13"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2267" s="13" t="inlineStr">
        <is>
          <t>{1}{B}{G}</t>
        </is>
      </c>
      <c r="F2267" s="13" t="inlineStr">
        <is>
          <t>Preto, Verde</t>
        </is>
      </c>
      <c r="G2267" s="8" t="n">
        <v>29.5</v>
      </c>
      <c r="H2267" s="13" t="inlineStr">
        <is>
          <t>Journey into Nyx (JOU)</t>
        </is>
      </c>
      <c r="I2267" s="13" t="inlineStr">
        <is>
          <t>Sim</t>
        </is>
      </c>
      <c r="J2267" s="13" t="n">
        <v>2014</v>
      </c>
      <c r="K2267" s="10" t="n">
        <v>46147</v>
      </c>
      <c r="L2267" s="13" t="n">
        <v>1</v>
      </c>
      <c r="M2267" s="8">
        <f>L2267*G2267</f>
        <v/>
      </c>
      <c r="P2267" s="9" t="n"/>
    </row>
    <row r="2268">
      <c r="A2268" s="13" t="inlineStr">
        <is>
          <t>Pharika's Chosen / Escolhida de Fárica</t>
        </is>
      </c>
      <c r="B2268" s="13" t="inlineStr">
        <is>
          <t>Creature — Snake / Criatura — Cobra</t>
        </is>
      </c>
      <c r="C2268" s="13" t="inlineStr">
        <is>
          <t>Common / Comum</t>
        </is>
      </c>
      <c r="D2268" s="13" t="inlineStr">
        <is>
          <t>Deathtouch (Any amount of damage this deals to a creature is enough to destroy it.) / Toque mortífero (Qualquer quantidade de dano que esta criatura cause a uma criatura é suficiente para destruí-la.)</t>
        </is>
      </c>
      <c r="E2268" s="13" t="inlineStr">
        <is>
          <t>{B}</t>
        </is>
      </c>
      <c r="F2268" s="13" t="inlineStr">
        <is>
          <t>Preto</t>
        </is>
      </c>
      <c r="G2268" s="8" t="n">
        <v>0.06</v>
      </c>
      <c r="H2268" s="13" t="inlineStr">
        <is>
          <t>Journey into Nyx (JOU)</t>
        </is>
      </c>
      <c r="I2268" s="13" t="inlineStr">
        <is>
          <t>Não</t>
        </is>
      </c>
      <c r="J2268" s="13" t="n">
        <v>2014</v>
      </c>
      <c r="K2268" s="10" t="n">
        <v>46023</v>
      </c>
      <c r="L2268" s="13" t="n">
        <v>3</v>
      </c>
      <c r="M2268" s="8">
        <f>L2268*G2268</f>
        <v/>
      </c>
      <c r="P2268" s="9" t="n"/>
    </row>
    <row r="2269">
      <c r="A2269" s="13" t="inlineStr">
        <is>
          <t>Pheres-Band Thunderhoof / Casco-de-trovão do Bando Feres</t>
        </is>
      </c>
      <c r="B2269" s="13" t="inlineStr">
        <is>
          <t>Creature — Centaur Warrior / Criatura — Centauro Guerreiro</t>
        </is>
      </c>
      <c r="C2269" s="13" t="inlineStr">
        <is>
          <t>Common / Comum</t>
        </is>
      </c>
      <c r="D2269" s="13"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69" s="13" t="inlineStr">
        <is>
          <t>{4}{G}</t>
        </is>
      </c>
      <c r="F2269" s="13" t="inlineStr">
        <is>
          <t>Verde</t>
        </is>
      </c>
      <c r="G2269" s="8" t="n">
        <v>0.03</v>
      </c>
      <c r="H2269" s="13" t="inlineStr">
        <is>
          <t>Journey into Nyx (JOU)</t>
        </is>
      </c>
      <c r="I2269" s="13" t="inlineStr">
        <is>
          <t>Não</t>
        </is>
      </c>
      <c r="J2269" s="13" t="n">
        <v>2014</v>
      </c>
      <c r="K2269" s="10" t="n">
        <v>46115</v>
      </c>
      <c r="L2269" s="13" t="n">
        <v>1</v>
      </c>
      <c r="M2269" s="8">
        <f>L2269*G2269</f>
        <v/>
      </c>
      <c r="P2269" s="9" t="n"/>
    </row>
    <row r="2270">
      <c r="A2270" s="13" t="inlineStr">
        <is>
          <t>Phoenix Down / Pluma de Fênix</t>
        </is>
      </c>
      <c r="B2270" s="13" t="inlineStr">
        <is>
          <t>Artefato</t>
        </is>
      </c>
      <c r="C2270" s="13" t="inlineStr">
        <is>
          <t>Incomum</t>
        </is>
      </c>
      <c r="D2270" s="13" t="inlineStr">
        <is>
          <t>{1}{W}, {T}, Exile este artefato: Escolha um — • Devolva o card de criatura alvo com valor de mana igual ou inferior a 4 de seu cemitério para o campo de batalha virado. • Exile o Esqueleto, Espírito ou Zumbi alvo.</t>
        </is>
      </c>
      <c r="E2270" s="13" t="inlineStr">
        <is>
          <t>{W}</t>
        </is>
      </c>
      <c r="F2270" s="13" t="inlineStr">
        <is>
          <t>Branco</t>
        </is>
      </c>
      <c r="G2270" s="8" t="n">
        <v>0.2</v>
      </c>
      <c r="H2270" s="13" t="inlineStr">
        <is>
          <t>Final Fantasy</t>
        </is>
      </c>
      <c r="I2270" s="13" t="inlineStr">
        <is>
          <t>Não</t>
        </is>
      </c>
      <c r="J2270" s="13" t="n">
        <v>2025</v>
      </c>
      <c r="L2270" s="13" t="n">
        <v>1</v>
      </c>
      <c r="M2270" s="8">
        <f>L2270*G2270</f>
        <v/>
      </c>
      <c r="P2270" s="9" t="n"/>
    </row>
    <row r="2271">
      <c r="A2271" s="13" t="inlineStr">
        <is>
          <t>Phoenix Down / Pluma de Fênix</t>
        </is>
      </c>
      <c r="B2271" s="13" t="inlineStr">
        <is>
          <t>Artefato</t>
        </is>
      </c>
      <c r="C2271" s="13" t="inlineStr">
        <is>
          <t>Incomum</t>
        </is>
      </c>
      <c r="D2271" s="13" t="inlineStr">
        <is>
          <t>{1}{W}, {T}, Exile este artefato: Escolha um — • Devolva o card de criatura alvo com valor de mana igual ou inferior a 4 de seu cemitério para o campo de batalha virado. • Exile o Esqueleto, Espírito ou Zumbi alvo.</t>
        </is>
      </c>
      <c r="E2271" s="13" t="inlineStr">
        <is>
          <t>{W}</t>
        </is>
      </c>
      <c r="F2271" s="13" t="inlineStr">
        <is>
          <t>Branco</t>
        </is>
      </c>
      <c r="G2271" s="8" t="n">
        <v>0.85</v>
      </c>
      <c r="H2271" s="13" t="inlineStr">
        <is>
          <t>Final Fantasy</t>
        </is>
      </c>
      <c r="I2271" s="13" t="inlineStr">
        <is>
          <t>Sim</t>
        </is>
      </c>
      <c r="J2271" s="13" t="n">
        <v>2025</v>
      </c>
      <c r="L2271" s="13" t="n">
        <v>1</v>
      </c>
      <c r="M2271" s="8">
        <f>L2271*G2271</f>
        <v/>
      </c>
      <c r="P2271" s="9" t="n"/>
    </row>
    <row r="2272">
      <c r="A2272" s="13" t="inlineStr">
        <is>
          <t>Phyrexian Debaser / Degradador Phyrexiano</t>
        </is>
      </c>
      <c r="B2272" s="13" t="inlineStr">
        <is>
          <t>Creature — Phyrexian Carrier / Criatura — Phyrexiano Portador</t>
        </is>
      </c>
      <c r="C2272" s="13" t="inlineStr">
        <is>
          <t>Common / Comum</t>
        </is>
      </c>
      <c r="D2272" s="13" t="inlineStr">
        <is>
          <t>Flying {T}, Sacrifice this creature: Target creature gets -2/-2 until end of turn. / Voar {T}, sacrifique Degradador Phyrexiano: A criatura alvo recebe -2/-2 até o final do turno.</t>
        </is>
      </c>
      <c r="E2272" s="13" t="inlineStr">
        <is>
          <t>{3}{B}</t>
        </is>
      </c>
      <c r="F2272" s="13" t="inlineStr">
        <is>
          <t>Preto</t>
        </is>
      </c>
      <c r="G2272" s="8" t="n">
        <v>0.04</v>
      </c>
      <c r="H2272" s="13" t="inlineStr">
        <is>
          <t>Dominaria Remastered (DMR)</t>
        </is>
      </c>
      <c r="I2272" s="13" t="inlineStr">
        <is>
          <t>Não</t>
        </is>
      </c>
      <c r="J2272" s="13" t="n">
        <v>2023</v>
      </c>
      <c r="K2272" s="10" t="n">
        <v>46055</v>
      </c>
      <c r="L2272" s="13" t="n">
        <v>1</v>
      </c>
      <c r="M2272" s="8">
        <f>L2272*G2272</f>
        <v/>
      </c>
      <c r="P2272" s="9" t="n"/>
    </row>
    <row r="2273">
      <c r="A2273" s="13" t="inlineStr">
        <is>
          <t>Phyrexian Rager / Raivoso Phyrexiano</t>
        </is>
      </c>
      <c r="B2273" s="13" t="inlineStr">
        <is>
          <t>Creature — Phyrexian Horror / Criatura — Phyrexiano Horror</t>
        </is>
      </c>
      <c r="C2273" s="13" t="inlineStr">
        <is>
          <t>Common / Comum</t>
        </is>
      </c>
      <c r="D2273" s="13" t="inlineStr">
        <is>
          <t>When this creature enters, you draw a card and you lose 1 life. / Quando Raivoso Phyrexiano entra no campo de batalha, você compra um card e perde 1 ponto de vida.</t>
        </is>
      </c>
      <c r="E2273" s="13" t="inlineStr">
        <is>
          <t>{2}{B}</t>
        </is>
      </c>
      <c r="F2273" s="13" t="inlineStr">
        <is>
          <t>Preto</t>
        </is>
      </c>
      <c r="G2273" s="8" t="n">
        <v>0.1</v>
      </c>
      <c r="H2273" s="13" t="inlineStr">
        <is>
          <t>Dominaria United (DMU)</t>
        </is>
      </c>
      <c r="I2273" s="13" t="inlineStr">
        <is>
          <t>Não</t>
        </is>
      </c>
      <c r="J2273" s="13" t="n">
        <v>2022</v>
      </c>
      <c r="K2273" s="10" t="n">
        <v>46055</v>
      </c>
      <c r="L2273" s="13" t="n">
        <v>1</v>
      </c>
      <c r="M2273" s="8">
        <f>L2273*G2273</f>
        <v/>
      </c>
      <c r="P2273" s="9" t="n"/>
    </row>
    <row r="2274">
      <c r="A2274" s="13" t="inlineStr">
        <is>
          <t>Pianna, Nomad Captain / Pianna, Capitã Nômade</t>
        </is>
      </c>
      <c r="B2274" s="13" t="inlineStr">
        <is>
          <t>Legendary Creature — Human Nomad / Criatura Lendária — Humano Nômade</t>
        </is>
      </c>
      <c r="C2274" s="13" t="inlineStr">
        <is>
          <t>Uncommon / Incomum</t>
        </is>
      </c>
      <c r="D2274" s="13" t="inlineStr">
        <is>
          <t>Whenever Pianna attacks, attacking creatures get +1/+1 until end of turn. / Toda vez que Pianna, Capitã Nômade ataca, as criaturas atacantes recebem +1/+1 até o final do turno.</t>
        </is>
      </c>
      <c r="E2274" s="13" t="inlineStr">
        <is>
          <t>{1}{W}{W}</t>
        </is>
      </c>
      <c r="F2274" s="13" t="inlineStr">
        <is>
          <t>Branco</t>
        </is>
      </c>
      <c r="G2274" s="8" t="n">
        <v>0.2</v>
      </c>
      <c r="H2274" s="13" t="inlineStr">
        <is>
          <t>Commander Masters (CMM)</t>
        </is>
      </c>
      <c r="I2274" s="13" t="inlineStr">
        <is>
          <t>Não</t>
        </is>
      </c>
      <c r="J2274" s="13" t="n">
        <v>2023</v>
      </c>
      <c r="K2274" s="10" t="n">
        <v>46055</v>
      </c>
      <c r="L2274" s="13" t="n">
        <v>1</v>
      </c>
      <c r="M2274" s="8">
        <f>L2274*G2274</f>
        <v/>
      </c>
      <c r="P2274" s="9" t="n"/>
    </row>
    <row r="2275">
      <c r="A2275" s="13" t="inlineStr">
        <is>
          <t>Picklock Prankster // Free the Fae / Traquinas Arrombador // Libertar as Fadinas</t>
        </is>
      </c>
      <c r="B2275" s="13" t="inlineStr">
        <is>
          <t>Creature — Faerie Rogue // Instant — Adventure / Criatura — Fada Ladino</t>
        </is>
      </c>
      <c r="C2275" s="13" t="inlineStr">
        <is>
          <t>Uncommon / Incomum</t>
        </is>
      </c>
      <c r="D2275" s="13" t="inlineStr">
        <is>
          <t>Picklock Prankster: Flying, vigilance // Free the Fae: Mill four cards. Then put an instant, sorcery, or Faerie card from among the milled cards into your hand. / Voar, vigilância</t>
        </is>
      </c>
      <c r="E2275" s="13" t="inlineStr">
        <is>
          <t>{1}{U} // {1}{U}</t>
        </is>
      </c>
      <c r="F2275" s="13" t="inlineStr">
        <is>
          <t>Azul</t>
        </is>
      </c>
      <c r="G2275" s="8" t="n">
        <v>0.47</v>
      </c>
      <c r="H2275" s="13" t="inlineStr">
        <is>
          <t>Wilds of Eldraine (WOE)</t>
        </is>
      </c>
      <c r="I2275" s="13" t="inlineStr">
        <is>
          <t>Não</t>
        </is>
      </c>
      <c r="J2275" s="13" t="n">
        <v>2023</v>
      </c>
      <c r="K2275" s="10" t="n">
        <v>46082</v>
      </c>
      <c r="L2275" s="13" t="n">
        <v>3</v>
      </c>
      <c r="M2275" s="8">
        <f>L2275*G2275</f>
        <v/>
      </c>
      <c r="P2275" s="9" t="n"/>
    </row>
    <row r="2276">
      <c r="A2276" s="13" t="inlineStr">
        <is>
          <t>Piedade / Mercy</t>
        </is>
      </c>
      <c r="B2276" s="13" t="inlineStr">
        <is>
          <t>Instant / Mágica Instantânea</t>
        </is>
      </c>
      <c r="C2276" s="13" t="inlineStr">
        <is>
          <t>Common / Comum</t>
        </is>
      </c>
      <c r="D2276" s="13" t="inlineStr">
        <is>
          <t>Todas as criaturas que estiverem bloqueando ganharão +0/+3 até o final do turno.</t>
        </is>
      </c>
      <c r="E2276" s="13" t="inlineStr">
        <is>
          <t>{2}{W}</t>
        </is>
      </c>
      <c r="F2276" s="13" t="inlineStr">
        <is>
          <t>Branco</t>
        </is>
      </c>
      <c r="G2276" s="8" t="n">
        <v>0.14</v>
      </c>
      <c r="H2276" s="13" t="inlineStr">
        <is>
          <t>Ice Age (ICE)</t>
        </is>
      </c>
      <c r="I2276" s="13" t="inlineStr">
        <is>
          <t>No</t>
        </is>
      </c>
      <c r="J2276" s="13" t="n">
        <v>1995</v>
      </c>
      <c r="L2276" s="13" t="n">
        <v>1</v>
      </c>
      <c r="M2276" s="8">
        <f>L2276*G2276</f>
        <v/>
      </c>
      <c r="P2276" s="9" t="n"/>
    </row>
    <row r="2277">
      <c r="A2277" s="13" t="inlineStr">
        <is>
          <t>Piedade / Piety</t>
        </is>
      </c>
      <c r="B2277" s="13" t="inlineStr">
        <is>
          <t>Mágica Instantânea / Instant</t>
        </is>
      </c>
      <c r="C2277" s="13" t="inlineStr">
        <is>
          <t>Comum / Common</t>
        </is>
      </c>
      <c r="D2277" s="13" t="inlineStr">
        <is>
          <t>Todas as criaturas que estiverem bloqueando ganharão +0/+3 até o final do turno. / All creatures currently blocking get +0/+3 until end of turn.</t>
        </is>
      </c>
      <c r="E2277" s="13" t="inlineStr">
        <is>
          <t>{2}{W}</t>
        </is>
      </c>
      <c r="F2277" s="13" t="inlineStr">
        <is>
          <t>Branco</t>
        </is>
      </c>
      <c r="G2277" s="8" t="n">
        <v>0.09</v>
      </c>
      <c r="H2277" s="13" t="inlineStr">
        <is>
          <t>Fourth Edition</t>
        </is>
      </c>
      <c r="I2277" s="13" t="inlineStr">
        <is>
          <t>Não</t>
        </is>
      </c>
      <c r="J2277" s="13" t="n">
        <v>1995</v>
      </c>
      <c r="L2277" s="13" t="n">
        <v>3</v>
      </c>
      <c r="M2277" s="8">
        <f>L2277*G2277</f>
        <v/>
      </c>
      <c r="P2277" s="9" t="n"/>
    </row>
    <row r="2278">
      <c r="A2278" s="13" t="inlineStr">
        <is>
          <t>Piedade / Piety</t>
        </is>
      </c>
      <c r="B2278" s="13" t="inlineStr">
        <is>
          <t>Mágica Instantânea / Instant</t>
        </is>
      </c>
      <c r="C2278" s="13" t="inlineStr">
        <is>
          <t>Comum / Common</t>
        </is>
      </c>
      <c r="D2278" s="13" t="inlineStr">
        <is>
          <t>Todas as criaturas que estiverem bloqueando ganharão +0/+3 até o final do turno. / All creatures currently blocking get +0/+3 until end of turn.</t>
        </is>
      </c>
      <c r="E2278" s="13" t="inlineStr">
        <is>
          <t>{2}{W}</t>
        </is>
      </c>
      <c r="F2278" s="13" t="inlineStr">
        <is>
          <t>Branco</t>
        </is>
      </c>
      <c r="G2278" s="8" t="n">
        <v>0.14</v>
      </c>
      <c r="H2278" s="13" t="inlineStr">
        <is>
          <t>Fourth Edition (BB)</t>
        </is>
      </c>
      <c r="I2278" s="13" t="inlineStr">
        <is>
          <t>Não</t>
        </is>
      </c>
      <c r="J2278" s="13" t="n">
        <v>1995</v>
      </c>
      <c r="L2278" s="13" t="n">
        <v>3</v>
      </c>
      <c r="M2278" s="8">
        <f>L2278*G2278</f>
        <v/>
      </c>
      <c r="P2278" s="9" t="n"/>
    </row>
    <row r="2279">
      <c r="A2279" s="13" t="inlineStr">
        <is>
          <t>Piggy Bank</t>
        </is>
      </c>
      <c r="B2279" s="13" t="inlineStr">
        <is>
          <t>Artifact Creature — Boar Toy</t>
        </is>
      </c>
      <c r="C2279" s="13" t="inlineStr">
        <is>
          <t>Uncommon / Incomum</t>
        </is>
      </c>
      <c r="D2279" s="13" t="inlineStr">
        <is>
          <t>When this creature dies, create a Treasure token. (It's an artifact with "{T}, Sacrifice this token: Add one mana of any color.")</t>
        </is>
      </c>
      <c r="E2279" s="13" t="inlineStr">
        <is>
          <t>{1}{R}</t>
        </is>
      </c>
      <c r="F2279" s="13" t="inlineStr">
        <is>
          <t>Vermelho</t>
        </is>
      </c>
      <c r="G2279" s="8" t="n">
        <v>0.15</v>
      </c>
      <c r="H2279" s="13" t="inlineStr">
        <is>
          <t>Duskmourn: House of Horror (DSK)</t>
        </is>
      </c>
      <c r="I2279" s="13" t="inlineStr">
        <is>
          <t>Não</t>
        </is>
      </c>
      <c r="J2279" s="13" t="n">
        <v>2024</v>
      </c>
      <c r="K2279" s="10" t="n">
        <v>46056</v>
      </c>
      <c r="L2279" s="13" t="n">
        <v>1</v>
      </c>
      <c r="M2279" s="8">
        <f>L2279*G2279</f>
        <v/>
      </c>
      <c r="P2279" s="9" t="n"/>
    </row>
    <row r="2280">
      <c r="A2280" s="13" t="inlineStr">
        <is>
          <t>Pilfering Imp / Diabrete Afanador</t>
        </is>
      </c>
      <c r="B2280" s="13" t="inlineStr">
        <is>
          <t>Creature — Imp / Criatura — Diabrete</t>
        </is>
      </c>
      <c r="C2280" s="13" t="inlineStr">
        <is>
          <t>Uncommon / Incomum</t>
        </is>
      </c>
      <c r="D2280" s="13"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280" s="13" t="inlineStr">
        <is>
          <t>{B}</t>
        </is>
      </c>
      <c r="F2280" s="13" t="inlineStr">
        <is>
          <t>Preto</t>
        </is>
      </c>
      <c r="G2280" s="8" t="n">
        <v>0.06</v>
      </c>
      <c r="H2280" s="13" t="inlineStr">
        <is>
          <t>Guilds of Ravnica (GRN)</t>
        </is>
      </c>
      <c r="I2280" s="13" t="inlineStr">
        <is>
          <t>Não</t>
        </is>
      </c>
      <c r="J2280" s="13" t="n">
        <v>2018</v>
      </c>
      <c r="K2280" s="10" t="n">
        <v>46023</v>
      </c>
      <c r="L2280" s="13" t="n">
        <v>1</v>
      </c>
      <c r="M2280" s="8">
        <f>L2280*G2280</f>
        <v/>
      </c>
      <c r="N2280" s="13" t="inlineStr">
        <is>
          <t>Bulk Shopee</t>
        </is>
      </c>
      <c r="P2280" s="9" t="n"/>
    </row>
    <row r="2281">
      <c r="A2281" s="13" t="inlineStr">
        <is>
          <t>Pilgrim of Virtue / Peregrino da Virtude</t>
        </is>
      </c>
      <c r="B2281" s="13" t="inlineStr">
        <is>
          <t>Creature — Human Cleric / Criatura — Clérigo</t>
        </is>
      </c>
      <c r="C2281" s="13" t="inlineStr">
        <is>
          <t>Common / Comum</t>
        </is>
      </c>
      <c r="D2281" s="13"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2281" s="13" t="inlineStr">
        <is>
          <t>{2}{W}</t>
        </is>
      </c>
      <c r="F2281" s="13" t="inlineStr">
        <is>
          <t>Branco</t>
        </is>
      </c>
      <c r="G2281" s="8" t="n">
        <v>3.5</v>
      </c>
      <c r="H2281" s="13" t="inlineStr">
        <is>
          <t>Odyssey (ODY)</t>
        </is>
      </c>
      <c r="I2281" s="13" t="inlineStr">
        <is>
          <t>Sim</t>
        </is>
      </c>
      <c r="J2281" s="13" t="n">
        <v>2001</v>
      </c>
      <c r="K2281" s="10" t="n">
        <v>46082</v>
      </c>
      <c r="L2281" s="13" t="n">
        <v>1</v>
      </c>
      <c r="M2281" s="8">
        <f>L2281*G2281</f>
        <v/>
      </c>
      <c r="N2281" s="13" t="inlineStr">
        <is>
          <t>Pasta</t>
        </is>
      </c>
      <c r="P2281" s="9" t="n"/>
    </row>
    <row r="2282">
      <c r="A2282" s="13" t="inlineStr">
        <is>
          <t>Pillar Launch</t>
        </is>
      </c>
      <c r="B2282" s="13" t="inlineStr">
        <is>
          <t>Instant</t>
        </is>
      </c>
      <c r="C2282" s="13" t="inlineStr">
        <is>
          <t>Common / Comum</t>
        </is>
      </c>
      <c r="D2282" s="13" t="inlineStr">
        <is>
          <t>Target creature gets +2/+2 and gains reach until end of turn. Untap it.</t>
        </is>
      </c>
      <c r="E2282" s="13" t="inlineStr">
        <is>
          <t>{G}</t>
        </is>
      </c>
      <c r="F2282" s="13" t="inlineStr">
        <is>
          <t>Verde</t>
        </is>
      </c>
      <c r="G2282" s="8" t="n">
        <v>0.08</v>
      </c>
      <c r="H2282" s="13" t="inlineStr">
        <is>
          <t>Avatar: The Last Airbender (TLA)</t>
        </is>
      </c>
      <c r="I2282" s="13" t="inlineStr">
        <is>
          <t>Não</t>
        </is>
      </c>
      <c r="J2282" s="13" t="n">
        <v>2025</v>
      </c>
      <c r="L2282" s="13" t="n">
        <v>3</v>
      </c>
      <c r="M2282" s="8">
        <f>L2282*G2282</f>
        <v/>
      </c>
      <c r="P2282" s="9" t="n"/>
    </row>
    <row r="2283">
      <c r="A2283" s="13" t="inlineStr">
        <is>
          <t>Pillar Launch</t>
        </is>
      </c>
      <c r="B2283" s="13" t="inlineStr">
        <is>
          <t>Instant</t>
        </is>
      </c>
      <c r="C2283" s="13" t="inlineStr">
        <is>
          <t>Common / Comum</t>
        </is>
      </c>
      <c r="D2283" s="13" t="inlineStr">
        <is>
          <t>Target creature gets +2/+2 and gains reach until end of turn. Untap it.</t>
        </is>
      </c>
      <c r="E2283" s="13" t="inlineStr">
        <is>
          <t>{G}</t>
        </is>
      </c>
      <c r="F2283" s="13" t="inlineStr">
        <is>
          <t>Verde</t>
        </is>
      </c>
      <c r="G2283" s="8" t="n">
        <v>0.25</v>
      </c>
      <c r="H2283" s="13" t="inlineStr">
        <is>
          <t>Avatar: The Last Airbender (TLA)</t>
        </is>
      </c>
      <c r="I2283" s="13" t="inlineStr">
        <is>
          <t>Sim</t>
        </is>
      </c>
      <c r="J2283" s="13" t="n">
        <v>2025</v>
      </c>
      <c r="L2283" s="13" t="n">
        <v>1</v>
      </c>
      <c r="M2283" s="8">
        <f>L2283*G2283</f>
        <v/>
      </c>
      <c r="P2283" s="9" t="n"/>
    </row>
    <row r="2284">
      <c r="A2284" s="13" t="inlineStr">
        <is>
          <t>Pillar of Flame / Pilar de Chamas</t>
        </is>
      </c>
      <c r="B2284" s="13" t="inlineStr">
        <is>
          <t>Feitiço</t>
        </is>
      </c>
      <c r="C2284" s="13" t="inlineStr">
        <is>
          <t>Comum</t>
        </is>
      </c>
      <c r="D2284" s="13" t="inlineStr">
        <is>
          <t>Pilar de Chamas causa 2 de dano à criatura ou ao jogador alvo. Se uma criatura que sofreu dano desta forma fosse morrer neste turno, em vez disso, exile-a.</t>
        </is>
      </c>
      <c r="E2284" s="13" t="inlineStr">
        <is>
          <t>{R}</t>
        </is>
      </c>
      <c r="F2284" s="13" t="inlineStr">
        <is>
          <t>Vermelho</t>
        </is>
      </c>
      <c r="G2284" s="8" t="n">
        <v>0.33</v>
      </c>
      <c r="H2284" s="13" t="inlineStr">
        <is>
          <t>Avacyn Restored</t>
        </is>
      </c>
      <c r="I2284" s="13" t="inlineStr">
        <is>
          <t>Não</t>
        </is>
      </c>
      <c r="J2284" s="13" t="n">
        <v>2012</v>
      </c>
      <c r="L2284" s="13" t="n">
        <v>1</v>
      </c>
      <c r="M2284" s="8">
        <f>L2284*G2284</f>
        <v/>
      </c>
      <c r="P2284" s="9" t="n"/>
    </row>
    <row r="2285">
      <c r="A2285" s="13" t="inlineStr">
        <is>
          <t>Piqueiros / Pikemen</t>
        </is>
      </c>
      <c r="B2285" s="13" t="inlineStr">
        <is>
          <t>Invocação de Piqueiros / Summon Pikemen</t>
        </is>
      </c>
      <c r="C2285" s="13" t="inlineStr">
        <is>
          <t>Comum / Common</t>
        </is>
      </c>
      <c r="D2285" s="13" t="inlineStr">
        <is>
          <t>Formar Bando, Iniciativa / Banding, First Strike</t>
        </is>
      </c>
      <c r="E2285" s="13" t="inlineStr">
        <is>
          <t>{1}{W}</t>
        </is>
      </c>
      <c r="F2285" s="13" t="inlineStr">
        <is>
          <t>Branco</t>
        </is>
      </c>
      <c r="G2285" s="8" t="n">
        <v>0.08</v>
      </c>
      <c r="H2285" s="13" t="inlineStr">
        <is>
          <t>Fourth Edition</t>
        </is>
      </c>
      <c r="I2285" s="13" t="inlineStr">
        <is>
          <t>Não</t>
        </is>
      </c>
      <c r="J2285" s="13" t="n">
        <v>1995</v>
      </c>
      <c r="K2285" s="10" t="n">
        <v>46023</v>
      </c>
      <c r="L2285" s="13" t="n">
        <v>6</v>
      </c>
      <c r="M2285" s="8">
        <f>L2285*G2285</f>
        <v/>
      </c>
      <c r="P2285" s="9" t="n"/>
    </row>
    <row r="2286">
      <c r="A2286" s="13" t="inlineStr">
        <is>
          <t>Piqueiros / Pikemen</t>
        </is>
      </c>
      <c r="B2286" s="13" t="inlineStr">
        <is>
          <t>Invocação de Piqueiros / Summon Pikemen</t>
        </is>
      </c>
      <c r="C2286" s="13" t="inlineStr">
        <is>
          <t>Comum / Common</t>
        </is>
      </c>
      <c r="D2286" s="13" t="inlineStr">
        <is>
          <t>Formar Bando, Iniciativa / Banding, First Strike</t>
        </is>
      </c>
      <c r="E2286" s="13" t="inlineStr">
        <is>
          <t>{1}{W}</t>
        </is>
      </c>
      <c r="F2286" s="13" t="inlineStr">
        <is>
          <t>Branco</t>
        </is>
      </c>
      <c r="G2286" s="8" t="n">
        <v>0.13</v>
      </c>
      <c r="H2286" s="13" t="inlineStr">
        <is>
          <t>Fourth Edition (BB)</t>
        </is>
      </c>
      <c r="I2286" s="13" t="inlineStr">
        <is>
          <t>Não</t>
        </is>
      </c>
      <c r="J2286" s="13" t="n">
        <v>1995</v>
      </c>
      <c r="K2286" s="10" t="n">
        <v>46023</v>
      </c>
      <c r="L2286" s="13" t="n">
        <v>6</v>
      </c>
      <c r="M2286" s="8">
        <f>L2286*G2286</f>
        <v/>
      </c>
      <c r="P2286" s="9" t="n"/>
    </row>
    <row r="2287">
      <c r="A2287" s="13" t="inlineStr">
        <is>
          <t>Pit Scorpion / Escorpião das Profundezas</t>
        </is>
      </c>
      <c r="B2287" s="13" t="inlineStr">
        <is>
          <t>Creature — Scorpion</t>
        </is>
      </c>
      <c r="C2287" s="13" t="inlineStr">
        <is>
          <t>Common / Comum</t>
        </is>
      </c>
      <c r="D2287" s="13" t="inlineStr">
        <is>
          <t>Whenever this creature deals damage to a player, that player gets a poison counter. (A player with ten or more poison counters loses the game.)</t>
        </is>
      </c>
      <c r="E2287" s="13" t="inlineStr">
        <is>
          <t>{2}{B}</t>
        </is>
      </c>
      <c r="F2287" s="13" t="inlineStr">
        <is>
          <t>Preto</t>
        </is>
      </c>
      <c r="G2287" s="8" t="n">
        <v>0.05</v>
      </c>
      <c r="H2287" s="13" t="inlineStr">
        <is>
          <t>Quarta Edição</t>
        </is>
      </c>
      <c r="I2287" s="13" t="inlineStr">
        <is>
          <t>Não</t>
        </is>
      </c>
      <c r="J2287" s="13" t="n">
        <v>1995</v>
      </c>
      <c r="K2287" s="10" t="n">
        <v>46023</v>
      </c>
      <c r="L2287" s="13" t="n">
        <v>4</v>
      </c>
      <c r="M2287" s="8">
        <f>L2287*G2287</f>
        <v/>
      </c>
      <c r="P2287" s="9" t="n"/>
    </row>
    <row r="2288">
      <c r="A2288" s="13" t="inlineStr">
        <is>
          <t>Pit Scorpion / Escorpião das Profundezas</t>
        </is>
      </c>
      <c r="B2288" s="13" t="inlineStr">
        <is>
          <t>Creature — Scorpion</t>
        </is>
      </c>
      <c r="C2288" s="13" t="inlineStr">
        <is>
          <t>Common / Comum</t>
        </is>
      </c>
      <c r="D2288" s="13" t="inlineStr">
        <is>
          <t>Whenever this creature deals damage to a player, that player gets a poison counter. (A player with ten or more poison counters loses the game.)</t>
        </is>
      </c>
      <c r="E2288" s="13" t="inlineStr">
        <is>
          <t>{2}{B}</t>
        </is>
      </c>
      <c r="F2288" s="13" t="inlineStr">
        <is>
          <t>Preto</t>
        </is>
      </c>
      <c r="G2288" s="8" t="n">
        <v>0.08</v>
      </c>
      <c r="H2288" s="13" t="inlineStr">
        <is>
          <t>Quarta Edição (BB)</t>
        </is>
      </c>
      <c r="I2288" s="13" t="inlineStr">
        <is>
          <t>Não</t>
        </is>
      </c>
      <c r="J2288" s="13" t="n">
        <v>1995</v>
      </c>
      <c r="K2288" s="10" t="n">
        <v>46023</v>
      </c>
      <c r="L2288" s="13" t="n">
        <v>1</v>
      </c>
      <c r="M2288" s="8">
        <f>L2288*G2288</f>
        <v/>
      </c>
      <c r="P2288" s="9" t="n"/>
    </row>
    <row r="2289">
      <c r="A2289" s="13" t="inlineStr">
        <is>
          <t>Pitiless Pontiff / Pontífice Impiedosa</t>
        </is>
      </c>
      <c r="B2289" s="13" t="inlineStr">
        <is>
          <t>Creature — Vampire Cleric / Criatura — Vampiro Clérigo</t>
        </is>
      </c>
      <c r="C2289" s="13" t="inlineStr">
        <is>
          <t>Uncommon / Incomum</t>
        </is>
      </c>
      <c r="D2289" s="13"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2289" s="13" t="inlineStr">
        <is>
          <t>{W}{B}</t>
        </is>
      </c>
      <c r="F2289" s="13" t="inlineStr">
        <is>
          <t>Preto, Branco</t>
        </is>
      </c>
      <c r="G2289" s="8" t="n">
        <v>0.13</v>
      </c>
      <c r="H2289" s="13" t="inlineStr">
        <is>
          <t>Ravnica Allegiance (RNA)</t>
        </is>
      </c>
      <c r="I2289" s="13" t="inlineStr">
        <is>
          <t>Não</t>
        </is>
      </c>
      <c r="J2289" s="13" t="n">
        <v>2019</v>
      </c>
      <c r="K2289" s="10" t="n">
        <v>46055</v>
      </c>
      <c r="L2289" s="13" t="n">
        <v>4</v>
      </c>
      <c r="M2289" s="8">
        <f>L2289*G2289</f>
        <v/>
      </c>
      <c r="P2289" s="9" t="n"/>
    </row>
    <row r="2290">
      <c r="A2290" s="13" t="inlineStr">
        <is>
          <t>Pitiless Vizier / Vizir Impiedosa</t>
        </is>
      </c>
      <c r="B2290" s="13" t="inlineStr">
        <is>
          <t>Creature — Minotaur Cleric / Criatura — Minotauro Clérigo</t>
        </is>
      </c>
      <c r="C2290" s="13" t="inlineStr">
        <is>
          <t>Common / Comum</t>
        </is>
      </c>
      <c r="D2290" s="13"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290" s="13" t="inlineStr">
        <is>
          <t>{3}{B}</t>
        </is>
      </c>
      <c r="F2290" s="13" t="inlineStr">
        <is>
          <t>Preto</t>
        </is>
      </c>
      <c r="G2290" s="8" t="n">
        <v>0.03</v>
      </c>
      <c r="H2290" s="13" t="inlineStr">
        <is>
          <t>Amonkhet (AKH)</t>
        </is>
      </c>
      <c r="I2290" s="13" t="inlineStr">
        <is>
          <t>Não</t>
        </is>
      </c>
      <c r="J2290" s="13" t="n">
        <v>2017</v>
      </c>
      <c r="K2290" s="10" t="n">
        <v>46057</v>
      </c>
      <c r="L2290" s="13" t="n">
        <v>1</v>
      </c>
      <c r="M2290" s="8">
        <f>L2290*G2290</f>
        <v/>
      </c>
      <c r="P2290" s="9" t="n"/>
    </row>
    <row r="2291">
      <c r="A2291" s="13" t="inlineStr">
        <is>
          <t>Pizza Face, Gastromancer</t>
        </is>
      </c>
      <c r="B2291" s="13" t="inlineStr">
        <is>
          <t>Legendary Artifact Creature — Food Mutant</t>
        </is>
      </c>
      <c r="C2291" s="13" t="inlineStr">
        <is>
          <t>Uncommon / Incomum</t>
        </is>
      </c>
      <c r="D2291" s="13"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291" s="13" t="inlineStr">
        <is>
          <t>{3}{B}{G}</t>
        </is>
      </c>
      <c r="F2291" s="13" t="inlineStr">
        <is>
          <t>Preto, Verde</t>
        </is>
      </c>
      <c r="G2291" s="8" t="n">
        <v>0.24</v>
      </c>
      <c r="H2291" s="13" t="inlineStr">
        <is>
          <t>Teenage Mutant Ninja Turtles (TMT)</t>
        </is>
      </c>
      <c r="I2291" s="13" t="inlineStr">
        <is>
          <t>Sim</t>
        </is>
      </c>
      <c r="J2291" s="13" t="n">
        <v>2026</v>
      </c>
      <c r="K2291" s="10" t="n">
        <v>46114</v>
      </c>
      <c r="L2291" s="13" t="n">
        <v>1</v>
      </c>
      <c r="M2291" s="8">
        <f>L2291*G2291</f>
        <v/>
      </c>
      <c r="P2291" s="9" t="n"/>
    </row>
    <row r="2292">
      <c r="A2292" s="13" t="inlineStr">
        <is>
          <t>Plague Beetle / Besouro Pestilento</t>
        </is>
      </c>
      <c r="B2292" s="13" t="inlineStr">
        <is>
          <t>Creature — Insect / Criatura — Inseto</t>
        </is>
      </c>
      <c r="C2292" s="13" t="inlineStr">
        <is>
          <t>Common / Comum</t>
        </is>
      </c>
      <c r="D2292" s="13" t="inlineStr">
        <is>
          <t>Swampwalk (This creature can't be blocked as long as defending player controls a Swamp.) / Travessia de Pântano (Esta criatura não pode ser bloqueada desde que o jogador defensor controle um Pântano.)</t>
        </is>
      </c>
      <c r="E2292" s="13" t="inlineStr">
        <is>
          <t>{B}</t>
        </is>
      </c>
      <c r="F2292" s="13" t="inlineStr">
        <is>
          <t>Preto</t>
        </is>
      </c>
      <c r="G2292" s="8" t="n">
        <v>0.09</v>
      </c>
      <c r="H2292" s="13" t="inlineStr">
        <is>
          <t>Eighth Edition (8ED)</t>
        </is>
      </c>
      <c r="I2292" s="13" t="inlineStr">
        <is>
          <t>Sim</t>
        </is>
      </c>
      <c r="J2292" s="13" t="n">
        <v>2003</v>
      </c>
      <c r="K2292" s="10" t="n">
        <v>46023</v>
      </c>
      <c r="L2292" s="13" t="n">
        <v>1</v>
      </c>
      <c r="M2292" s="8">
        <f>L2292*G2292</f>
        <v/>
      </c>
      <c r="P2292" s="9" t="n"/>
    </row>
    <row r="2293">
      <c r="A2293" s="13" t="inlineStr">
        <is>
          <t>Plague Rats / Ratos Pestilentos</t>
        </is>
      </c>
      <c r="B2293" s="13" t="inlineStr">
        <is>
          <t>Creature — Rat</t>
        </is>
      </c>
      <c r="C2293" s="13" t="inlineStr">
        <is>
          <t>Common / Comum</t>
        </is>
      </c>
      <c r="D2293" s="13" t="inlineStr">
        <is>
          <t>Plague Rats's power and toughness are each equal to the number of creatures named Plague Rats on the battlefield.</t>
        </is>
      </c>
      <c r="E2293" s="13" t="inlineStr">
        <is>
          <t>{2}{B}</t>
        </is>
      </c>
      <c r="F2293" s="13" t="inlineStr">
        <is>
          <t>Preto</t>
        </is>
      </c>
      <c r="G2293" s="8" t="n">
        <v>0.08</v>
      </c>
      <c r="H2293" s="13" t="inlineStr">
        <is>
          <t>Quarta Edição</t>
        </is>
      </c>
      <c r="I2293" s="13" t="inlineStr">
        <is>
          <t>Não</t>
        </is>
      </c>
      <c r="J2293" s="13" t="n">
        <v>1995</v>
      </c>
      <c r="K2293" s="13" t="inlineStr">
        <is>
          <t>*/*</t>
        </is>
      </c>
      <c r="L2293" s="13" t="n">
        <v>1</v>
      </c>
      <c r="M2293" s="8">
        <f>L2293*G2293</f>
        <v/>
      </c>
      <c r="P2293" s="9" t="n"/>
    </row>
    <row r="2294">
      <c r="A2294" s="13" t="inlineStr">
        <is>
          <t>Plague Rats / Ratos Pestilentos</t>
        </is>
      </c>
      <c r="B2294" s="13" t="inlineStr">
        <is>
          <t>Creature — Rat</t>
        </is>
      </c>
      <c r="C2294" s="13" t="inlineStr">
        <is>
          <t>Common / Comum</t>
        </is>
      </c>
      <c r="D2294" s="13" t="inlineStr">
        <is>
          <t>Plague Rats's power and toughness are each equal to the number of creatures named Plague Rats on the battlefield.</t>
        </is>
      </c>
      <c r="E2294" s="13" t="inlineStr">
        <is>
          <t>{2}{B}</t>
        </is>
      </c>
      <c r="F2294" s="13" t="inlineStr">
        <is>
          <t>Preto</t>
        </is>
      </c>
      <c r="G2294" s="8" t="n">
        <v>0.22</v>
      </c>
      <c r="H2294" s="13" t="inlineStr">
        <is>
          <t>Quarta Edição (BB)</t>
        </is>
      </c>
      <c r="I2294" s="13" t="inlineStr">
        <is>
          <t>Não</t>
        </is>
      </c>
      <c r="J2294" s="13" t="n">
        <v>1995</v>
      </c>
      <c r="K2294" s="13" t="inlineStr">
        <is>
          <t>*/*</t>
        </is>
      </c>
      <c r="L2294" s="13" t="n">
        <v>2</v>
      </c>
      <c r="M2294" s="8">
        <f>L2294*G2294</f>
        <v/>
      </c>
      <c r="P2294" s="9" t="n"/>
    </row>
    <row r="2295">
      <c r="A2295" s="13" t="inlineStr">
        <is>
          <t>Plains / Planície</t>
        </is>
      </c>
      <c r="B2295" s="13" t="inlineStr">
        <is>
          <t>Basic Land — Plains / Terreno Básico — Planície</t>
        </is>
      </c>
      <c r="C2295" s="13" t="inlineStr">
        <is>
          <t>Common / Comum</t>
        </is>
      </c>
      <c r="D2295" s="13" t="inlineStr">
        <is>
          <t>({T}: Add {W}.) / W</t>
        </is>
      </c>
      <c r="F2295" s="13" t="inlineStr">
        <is>
          <t>Branco</t>
        </is>
      </c>
      <c r="G2295" s="8" t="n">
        <v>0.45</v>
      </c>
      <c r="H2295" s="13" t="inlineStr">
        <is>
          <t>Core Set 2021</t>
        </is>
      </c>
      <c r="I2295" s="13" t="inlineStr">
        <is>
          <t>Sim</t>
        </is>
      </c>
      <c r="J2295" s="13" t="n">
        <v>2020</v>
      </c>
      <c r="L2295" s="13" t="n">
        <v>1</v>
      </c>
      <c r="M2295" s="8">
        <f>L2295*G2295</f>
        <v/>
      </c>
      <c r="N2295" s="13" t="inlineStr">
        <is>
          <t>Bulk Shopee</t>
        </is>
      </c>
      <c r="P2295" s="9" t="n"/>
    </row>
    <row r="2296">
      <c r="A2296" s="13" t="inlineStr">
        <is>
          <t>Plains / Planície</t>
        </is>
      </c>
      <c r="B2296" s="13" t="inlineStr">
        <is>
          <t>Basic Land — Plains / Terreno Básico — Planície</t>
        </is>
      </c>
      <c r="C2296" s="13" t="inlineStr">
        <is>
          <t>Common / Comum</t>
        </is>
      </c>
      <c r="D2296" s="13" t="inlineStr">
        <is>
          <t>({T}: Add {W}.) / W</t>
        </is>
      </c>
      <c r="F2296" s="13" t="inlineStr">
        <is>
          <t>Branco</t>
        </is>
      </c>
      <c r="G2296" s="8" t="n">
        <v>0.2</v>
      </c>
      <c r="H2296" s="13" t="inlineStr">
        <is>
          <t>Journey into Nyx (JOU)</t>
        </is>
      </c>
      <c r="I2296" s="13" t="inlineStr">
        <is>
          <t>Não</t>
        </is>
      </c>
      <c r="J2296" s="13" t="n">
        <v>2014</v>
      </c>
      <c r="L2296" s="13" t="n">
        <v>1</v>
      </c>
      <c r="M2296" s="8">
        <f>L2296*G2296</f>
        <v/>
      </c>
      <c r="P2296" s="9" t="n"/>
    </row>
    <row r="2297">
      <c r="A2297" s="13" t="inlineStr">
        <is>
          <t>Plains / Planície</t>
        </is>
      </c>
      <c r="B2297" s="13" t="inlineStr">
        <is>
          <t>Basic Land — Plains / Terreno Básico — Planície</t>
        </is>
      </c>
      <c r="C2297" s="13" t="inlineStr">
        <is>
          <t>Common / Comum</t>
        </is>
      </c>
      <c r="D2297" s="13" t="inlineStr">
        <is>
          <t>({T}: Add {W}.) / W</t>
        </is>
      </c>
      <c r="F2297" s="13" t="inlineStr">
        <is>
          <t>Branco</t>
        </is>
      </c>
      <c r="G2297" s="8" t="n">
        <v>0.35</v>
      </c>
      <c r="H2297" s="13" t="inlineStr">
        <is>
          <t>Journey into Nyx (JOU)</t>
        </is>
      </c>
      <c r="I2297" s="13" t="inlineStr">
        <is>
          <t>Não</t>
        </is>
      </c>
      <c r="J2297" s="13" t="n">
        <v>2014</v>
      </c>
      <c r="L2297" s="13" t="n">
        <v>1</v>
      </c>
      <c r="M2297" s="8">
        <f>L2297*G2297</f>
        <v/>
      </c>
      <c r="P2297" s="9" t="n"/>
    </row>
    <row r="2298">
      <c r="A2298" s="13" t="inlineStr">
        <is>
          <t>Plasma Bolt / Raio de Plasma</t>
        </is>
      </c>
      <c r="B2298" s="13" t="inlineStr">
        <is>
          <t>Feitiço</t>
        </is>
      </c>
      <c r="C2298" s="13" t="inlineStr">
        <is>
          <t>Comum</t>
        </is>
      </c>
      <c r="D2298" s="13" t="inlineStr">
        <is>
          <t>Plasma Bolt causa 2 pontos de dano a qualquer alvo. Vazio — Plasma Bolt causa 3 pontos de dano em vez disso se uma permanente não de terreno tiver deixado o campo de batalha neste turno ou se uma mágica tiver sido dobrada neste turno.</t>
        </is>
      </c>
      <c r="E2298" s="13" t="inlineStr">
        <is>
          <t>{R}</t>
        </is>
      </c>
      <c r="F2298" s="13" t="inlineStr">
        <is>
          <t>Vermelho</t>
        </is>
      </c>
      <c r="G2298" s="8" t="n">
        <v>0.05</v>
      </c>
      <c r="H2298" s="13" t="inlineStr">
        <is>
          <t>Edge of Eternity</t>
        </is>
      </c>
      <c r="I2298" s="13" t="inlineStr">
        <is>
          <t>Não</t>
        </is>
      </c>
      <c r="J2298" s="13" t="n">
        <v>2025</v>
      </c>
      <c r="L2298" s="13" t="n">
        <v>2</v>
      </c>
      <c r="M2298" s="8">
        <f>L2298*G2298</f>
        <v/>
      </c>
      <c r="P2298" s="9" t="n"/>
    </row>
    <row r="2299">
      <c r="A2299" s="13" t="inlineStr">
        <is>
          <t>Platypus-Bear</t>
        </is>
      </c>
      <c r="B2299" s="13" t="inlineStr">
        <is>
          <t>Creature — Platypus Bear</t>
        </is>
      </c>
      <c r="C2299" s="13" t="inlineStr">
        <is>
          <t>Common / Comum</t>
        </is>
      </c>
      <c r="D2299" s="13" t="inlineStr">
        <is>
          <t>Defender When this creature enters, mill two cards. (Put the top two cards of your library into your graveyard.) As long as there is a Lesson card in your graveyard, this creature can attack as though it didn't have defender.</t>
        </is>
      </c>
      <c r="E2299" s="13" t="inlineStr">
        <is>
          <t>{1}{G/U}</t>
        </is>
      </c>
      <c r="F2299" s="13" t="inlineStr">
        <is>
          <t>Verde, Azul</t>
        </is>
      </c>
      <c r="G2299" s="8" t="n">
        <v>0.05</v>
      </c>
      <c r="H2299" s="13" t="inlineStr">
        <is>
          <t>Avatar: The Last Airbender (TLA)</t>
        </is>
      </c>
      <c r="I2299" s="13" t="inlineStr">
        <is>
          <t>Não</t>
        </is>
      </c>
      <c r="J2299" s="13" t="n">
        <v>2025</v>
      </c>
      <c r="K2299" s="10" t="n">
        <v>46083</v>
      </c>
      <c r="L2299" s="13" t="n">
        <v>3</v>
      </c>
      <c r="M2299" s="8">
        <f>L2299*G2299</f>
        <v/>
      </c>
      <c r="P2299" s="9" t="n"/>
    </row>
    <row r="2300">
      <c r="A2300" s="13" t="inlineStr">
        <is>
          <t>Plummet / Tombar</t>
        </is>
      </c>
      <c r="B2300" s="13" t="inlineStr">
        <is>
          <t>Instant / Mágica Instantânea</t>
        </is>
      </c>
      <c r="C2300" s="13" t="inlineStr">
        <is>
          <t>Common / Comum</t>
        </is>
      </c>
      <c r="D2300" s="13" t="inlineStr">
        <is>
          <t>Destroy target creature with flying. / Destrua a criatura alvo com voar.</t>
        </is>
      </c>
      <c r="E2300" s="13" t="inlineStr">
        <is>
          <t>{1}{G}</t>
        </is>
      </c>
      <c r="F2300" s="13" t="inlineStr">
        <is>
          <t>Verde</t>
        </is>
      </c>
      <c r="G2300" s="8" t="n">
        <v>0.05</v>
      </c>
      <c r="H2300" s="13" t="inlineStr">
        <is>
          <t>Adventures in the Forgotten Realms (AFR)</t>
        </is>
      </c>
      <c r="I2300" s="13" t="inlineStr">
        <is>
          <t>Não</t>
        </is>
      </c>
      <c r="J2300" s="13" t="n">
        <v>2021</v>
      </c>
      <c r="L2300" s="13" t="n">
        <v>1</v>
      </c>
      <c r="M2300" s="8">
        <f>L2300*G2300</f>
        <v/>
      </c>
      <c r="P2300" s="9" t="n"/>
    </row>
    <row r="2301">
      <c r="A2301" s="13" t="inlineStr">
        <is>
          <t>Plundering Pirate / Pirata a Pilhar</t>
        </is>
      </c>
      <c r="B2301" s="13" t="inlineStr">
        <is>
          <t>Creature — Orc Pirate / Criatura — Orc Pirata</t>
        </is>
      </c>
      <c r="C2301" s="13" t="inlineStr">
        <is>
          <t>Common / Comum</t>
        </is>
      </c>
      <c r="D2301" s="13"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2301" s="13" t="inlineStr">
        <is>
          <t>{2}{R}</t>
        </is>
      </c>
      <c r="F2301" s="13" t="inlineStr">
        <is>
          <t>Vermelho</t>
        </is>
      </c>
      <c r="G2301" s="8" t="n">
        <v>0.1</v>
      </c>
      <c r="H2301" s="13" t="inlineStr">
        <is>
          <t>The Lost Caverns of Ixalan (LCI)</t>
        </is>
      </c>
      <c r="I2301" s="13" t="inlineStr">
        <is>
          <t>Não</t>
        </is>
      </c>
      <c r="J2301" s="13" t="n">
        <v>2023</v>
      </c>
      <c r="K2301" s="10" t="n">
        <v>46056</v>
      </c>
      <c r="L2301" s="13" t="n">
        <v>1</v>
      </c>
      <c r="M2301" s="8">
        <f>L2301*G2301</f>
        <v/>
      </c>
      <c r="P2301" s="9" t="n"/>
    </row>
    <row r="2302">
      <c r="A2302" s="13" t="inlineStr">
        <is>
          <t>Pódio dos Heróis / Heroes' Podium</t>
        </is>
      </c>
      <c r="B2302" s="13" t="inlineStr">
        <is>
          <t>Legendary Artifact / Artefato Lendário</t>
        </is>
      </c>
      <c r="C2302" s="13" t="inlineStr">
        <is>
          <t>Rare / Rara</t>
        </is>
      </c>
      <c r="D2302" s="13"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2302" s="13" t="inlineStr">
        <is>
          <t>{5}</t>
        </is>
      </c>
      <c r="F2302" s="13" t="inlineStr">
        <is>
          <t>Incolor</t>
        </is>
      </c>
      <c r="G2302" s="8" t="n">
        <v>0.38</v>
      </c>
      <c r="H2302" s="13" t="inlineStr">
        <is>
          <t>Born of the Gods (BNG)</t>
        </is>
      </c>
      <c r="I2302" s="13" t="inlineStr">
        <is>
          <t>No</t>
        </is>
      </c>
      <c r="J2302" s="13" t="n">
        <v>2014</v>
      </c>
      <c r="L2302" s="13" t="n">
        <v>1</v>
      </c>
      <c r="M2302" s="8">
        <f>L2302*G2302</f>
        <v/>
      </c>
      <c r="P2302" s="9" t="n"/>
    </row>
    <row r="2303">
      <c r="A2303" s="13" t="inlineStr">
        <is>
          <t>Poison the Waters / Envenenar as Águas</t>
        </is>
      </c>
      <c r="B2303" s="13" t="inlineStr">
        <is>
          <t>Feitiço</t>
        </is>
      </c>
      <c r="C2303" s="13" t="inlineStr">
        <is>
          <t>Incomum</t>
        </is>
      </c>
      <c r="D2303" s="13" t="inlineStr">
        <is>
          <t>Escolha um — • Todas as criaturas recebem -1/-1 até o final do turno. • O jogador alvo revela a própria mão. Você escolhe um card de criatura ou de artefato dela. Aquele jogador descarta aquele card.</t>
        </is>
      </c>
      <c r="E2303" s="13" t="inlineStr">
        <is>
          <t>1{B}</t>
        </is>
      </c>
      <c r="F2303" s="13" t="inlineStr">
        <is>
          <t>Preto</t>
        </is>
      </c>
      <c r="G2303" s="8" t="n">
        <v>0.2</v>
      </c>
      <c r="H2303" s="13" t="inlineStr">
        <is>
          <t>Final Fantasy</t>
        </is>
      </c>
      <c r="I2303" s="13" t="inlineStr">
        <is>
          <t>Não</t>
        </is>
      </c>
      <c r="J2303" s="13" t="n">
        <v>2025</v>
      </c>
      <c r="L2303" s="13" t="n">
        <v>1</v>
      </c>
      <c r="M2303" s="8">
        <f>L2303*G2303</f>
        <v/>
      </c>
      <c r="P2303" s="9" t="n"/>
    </row>
    <row r="2304">
      <c r="A2304" s="13" t="inlineStr">
        <is>
          <t>Pollenbright Druid / Druida do Pólen Brilhante</t>
        </is>
      </c>
      <c r="B2304" s="13" t="inlineStr">
        <is>
          <t>Creature — Elf Druid / Criatura — Elfo Druida</t>
        </is>
      </c>
      <c r="C2304" s="13" t="inlineStr">
        <is>
          <t>Common / Comum</t>
        </is>
      </c>
      <c r="D2304" s="13"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2304" s="13" t="inlineStr">
        <is>
          <t>{1}{G}</t>
        </is>
      </c>
      <c r="F2304" s="13" t="inlineStr">
        <is>
          <t>Verde</t>
        </is>
      </c>
      <c r="G2304" s="8" t="n">
        <v>0.2</v>
      </c>
      <c r="H2304" s="13" t="inlineStr">
        <is>
          <t>Commander Masters (CMM)</t>
        </is>
      </c>
      <c r="I2304" s="13" t="inlineStr">
        <is>
          <t>Não</t>
        </is>
      </c>
      <c r="J2304" s="13" t="n">
        <v>2023</v>
      </c>
      <c r="K2304" s="10" t="n">
        <v>46023</v>
      </c>
      <c r="L2304" s="13" t="n">
        <v>1</v>
      </c>
      <c r="M2304" s="8">
        <f>L2304*G2304</f>
        <v/>
      </c>
      <c r="P2304" s="9" t="n"/>
    </row>
    <row r="2305">
      <c r="A2305" s="13" t="inlineStr">
        <is>
          <t>Polvo Caçador de Deuses</t>
        </is>
      </c>
      <c r="B2305" s="13" t="inlineStr">
        <is>
          <t>Criatura — Polvo</t>
        </is>
      </c>
      <c r="C2305" s="13" t="inlineStr">
        <is>
          <t>Comum</t>
        </is>
      </c>
      <c r="D2305" s="13" t="inlineStr">
        <is>
          <t>Polvo Caçador de Deuses não pode atacar a menos que o jogador defensor controle um encantamento ou uma permanente encantada.</t>
        </is>
      </c>
      <c r="E2305" s="13" t="inlineStr">
        <is>
          <t>5U</t>
        </is>
      </c>
      <c r="F2305" s="13" t="inlineStr">
        <is>
          <t>Azul</t>
        </is>
      </c>
      <c r="G2305" s="8" t="n">
        <v>0.03</v>
      </c>
      <c r="H2305" s="13" t="inlineStr">
        <is>
          <t>Journey into Nyx</t>
        </is>
      </c>
      <c r="I2305" s="13" t="inlineStr">
        <is>
          <t>Não</t>
        </is>
      </c>
      <c r="J2305" s="13" t="n">
        <v>2014</v>
      </c>
      <c r="K2305" s="10" t="n">
        <v>46147</v>
      </c>
      <c r="L2305" s="13" t="n">
        <v>2</v>
      </c>
      <c r="M2305" s="8">
        <f>L2305*G2305</f>
        <v/>
      </c>
      <c r="P2305" s="9" t="n"/>
    </row>
    <row r="2306">
      <c r="A2306" s="13" t="inlineStr">
        <is>
          <t>Popular Entertainer / Artista Popular</t>
        </is>
      </c>
      <c r="B2306" s="13" t="inlineStr">
        <is>
          <t>Legendary Enchantment — Background / Encantamento Lendário — Antecedente</t>
        </is>
      </c>
      <c r="C2306" s="13" t="inlineStr">
        <is>
          <t>Rare / Rara</t>
        </is>
      </c>
      <c r="D2306" s="13"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2306" s="13" t="inlineStr">
        <is>
          <t>{1}{R}</t>
        </is>
      </c>
      <c r="F2306" s="13" t="inlineStr">
        <is>
          <t>Vermelho</t>
        </is>
      </c>
      <c r="G2306" s="8" t="n">
        <v>0.21</v>
      </c>
      <c r="H2306" s="13" t="inlineStr">
        <is>
          <t>Commander Legends: Battle for Baldur's Gate (CLB)</t>
        </is>
      </c>
      <c r="I2306" s="13" t="inlineStr">
        <is>
          <t>Não</t>
        </is>
      </c>
      <c r="J2306" s="13" t="n">
        <v>2022</v>
      </c>
      <c r="L2306" s="13" t="n">
        <v>1</v>
      </c>
      <c r="M2306" s="8">
        <f>L2306*G2306</f>
        <v/>
      </c>
      <c r="P2306" s="9" t="n"/>
    </row>
    <row r="2307">
      <c r="A2307" s="13" t="inlineStr">
        <is>
          <t>Porcelain Zealot / Zelote de Porcelana</t>
        </is>
      </c>
      <c r="B2307" s="13" t="inlineStr">
        <is>
          <t>Creature — Phyrexian Soldier / Criatura — Phyrexiano Soldado</t>
        </is>
      </c>
      <c r="C2307" s="13" t="inlineStr">
        <is>
          <t>Uncommon / Incomum</t>
        </is>
      </c>
      <c r="D2307" s="13"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2307" s="13" t="inlineStr">
        <is>
          <t>{3}{W}</t>
        </is>
      </c>
      <c r="F2307" s="13" t="inlineStr">
        <is>
          <t>Branco</t>
        </is>
      </c>
      <c r="G2307" s="8" t="n">
        <v>0.04</v>
      </c>
      <c r="H2307" s="13" t="inlineStr">
        <is>
          <t>Phyrexia: All Will Be One (ONE)</t>
        </is>
      </c>
      <c r="I2307" s="13" t="inlineStr">
        <is>
          <t>Não</t>
        </is>
      </c>
      <c r="J2307" s="13" t="n">
        <v>2023</v>
      </c>
      <c r="K2307" s="10" t="n">
        <v>46083</v>
      </c>
      <c r="L2307" s="13" t="n">
        <v>1</v>
      </c>
      <c r="M2307" s="8">
        <f>L2307*G2307</f>
        <v/>
      </c>
      <c r="P2307" s="9" t="n"/>
    </row>
    <row r="2308">
      <c r="A2308" s="13" t="inlineStr">
        <is>
          <t>Porrete Improvisado / Improvised Club</t>
        </is>
      </c>
      <c r="B2308" s="13" t="inlineStr">
        <is>
          <t>Mágica Instantânea</t>
        </is>
      </c>
      <c r="C2308" s="13" t="inlineStr">
        <is>
          <t>Comum</t>
        </is>
      </c>
      <c r="D2308" s="13" t="inlineStr">
        <is>
          <t>Como custo adicional para conjurar esta mágica, sacrifique um artefato ou uma criatura. Porrete Improvisado causa 4 pontos de dano a qualquer alvo.</t>
        </is>
      </c>
      <c r="E2308" s="13" t="inlineStr">
        <is>
          <t>1{R}</t>
        </is>
      </c>
      <c r="F2308" s="13" t="inlineStr">
        <is>
          <t>Vermelho</t>
        </is>
      </c>
      <c r="G2308" s="8" t="n">
        <v>0.15</v>
      </c>
      <c r="H2308" s="13" t="inlineStr">
        <is>
          <t>The Lord of the Rings: Tales of Middle-earth (LTR)</t>
        </is>
      </c>
      <c r="I2308" s="13" t="inlineStr">
        <is>
          <t>Não</t>
        </is>
      </c>
      <c r="J2308" s="13" t="n">
        <v>2023</v>
      </c>
      <c r="L2308" s="13" t="n">
        <v>1</v>
      </c>
      <c r="M2308" s="8">
        <f>L2308*G2308</f>
        <v/>
      </c>
      <c r="P2308" s="9" t="n"/>
    </row>
    <row r="2309">
      <c r="A2309" s="13" t="inlineStr">
        <is>
          <t>Portal Mage / Maga do Portal</t>
        </is>
      </c>
      <c r="B2309" s="13" t="inlineStr">
        <is>
          <t>Creature — Human Wizard / Criatura — Humano Mago</t>
        </is>
      </c>
      <c r="C2309" s="13" t="inlineStr">
        <is>
          <t>Uncommon / Incomum</t>
        </is>
      </c>
      <c r="D2309" s="13"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2309" s="13" t="inlineStr">
        <is>
          <t>{2}{U}</t>
        </is>
      </c>
      <c r="F2309" s="13" t="inlineStr">
        <is>
          <t>Azul</t>
        </is>
      </c>
      <c r="G2309" s="8" t="n">
        <v>0.17</v>
      </c>
      <c r="H2309" s="13" t="inlineStr">
        <is>
          <t>Commander Masters (CMM)</t>
        </is>
      </c>
      <c r="I2309" s="13" t="inlineStr">
        <is>
          <t>Não</t>
        </is>
      </c>
      <c r="J2309" s="13" t="n">
        <v>2023</v>
      </c>
      <c r="K2309" s="10" t="n">
        <v>46055</v>
      </c>
      <c r="L2309" s="13" t="n">
        <v>1</v>
      </c>
      <c r="M2309" s="8">
        <f>L2309*G2309</f>
        <v/>
      </c>
      <c r="P2309" s="9" t="n"/>
    </row>
    <row r="2310">
      <c r="A2310" s="13" t="inlineStr">
        <is>
          <t>Portão da Guilda Rakdos</t>
        </is>
      </c>
      <c r="B2310" s="13" t="inlineStr">
        <is>
          <t>Land / Terreno</t>
        </is>
      </c>
      <c r="C2310" s="13" t="inlineStr">
        <is>
          <t>Common / Comum</t>
        </is>
      </c>
      <c r="D2310" s="13"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2310" s="13" t="inlineStr">
        <is>
          <t>Incolor</t>
        </is>
      </c>
      <c r="G2310" s="8" t="n">
        <v>0.09</v>
      </c>
      <c r="H2310" s="13" t="inlineStr">
        <is>
          <t>Lealdade em Ravnica</t>
        </is>
      </c>
      <c r="I2310" s="13" t="inlineStr">
        <is>
          <t>Não</t>
        </is>
      </c>
      <c r="J2310" s="13" t="n">
        <v>2019</v>
      </c>
      <c r="L2310" s="13" t="n">
        <v>3</v>
      </c>
      <c r="M2310" s="8">
        <f>L2310*G2310</f>
        <v/>
      </c>
      <c r="P2310" s="9" t="n"/>
    </row>
    <row r="2311">
      <c r="A2311" s="13" t="inlineStr">
        <is>
          <t>Portão da Guilda Simic</t>
        </is>
      </c>
      <c r="B2311" s="13" t="inlineStr">
        <is>
          <t>Land / Terreno</t>
        </is>
      </c>
      <c r="C2311" s="13" t="inlineStr">
        <is>
          <t>Common / Comum</t>
        </is>
      </c>
      <c r="D2311" s="13"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2311" s="13" t="inlineStr">
        <is>
          <t>Incolor</t>
        </is>
      </c>
      <c r="G2311" s="8" t="n">
        <v>0.1</v>
      </c>
      <c r="H2311" s="13" t="inlineStr">
        <is>
          <t>Lealdade em Ravnica</t>
        </is>
      </c>
      <c r="I2311" s="13" t="inlineStr">
        <is>
          <t>Não</t>
        </is>
      </c>
      <c r="J2311" s="13" t="n">
        <v>2019</v>
      </c>
      <c r="L2311" s="13" t="n">
        <v>2</v>
      </c>
      <c r="M2311" s="8">
        <f>L2311*G2311</f>
        <v/>
      </c>
      <c r="P2311" s="9" t="n"/>
    </row>
    <row r="2312">
      <c r="A2312" s="13" t="inlineStr">
        <is>
          <t>Portão da Guilda Simic</t>
        </is>
      </c>
      <c r="B2312" s="13" t="inlineStr">
        <is>
          <t>Land / Terreno</t>
        </is>
      </c>
      <c r="C2312" s="13" t="inlineStr">
        <is>
          <t>Common / Comum</t>
        </is>
      </c>
      <c r="D2312" s="13"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2312" s="13" t="inlineStr">
        <is>
          <t>Incolor</t>
        </is>
      </c>
      <c r="G2312" s="8" t="n">
        <v>0.15</v>
      </c>
      <c r="H2312" s="13" t="inlineStr">
        <is>
          <t>Lealdade em Ravnica</t>
        </is>
      </c>
      <c r="I2312" s="13" t="inlineStr">
        <is>
          <t>Não</t>
        </is>
      </c>
      <c r="J2312" s="13" t="n">
        <v>2019</v>
      </c>
      <c r="L2312" s="13" t="n">
        <v>2</v>
      </c>
      <c r="M2312" s="8">
        <f>L2312*G2312</f>
        <v/>
      </c>
      <c r="P2312" s="9" t="n"/>
    </row>
    <row r="2313">
      <c r="A2313" s="13" t="inlineStr">
        <is>
          <t>Portent of Betrayal / Presságio de Traição</t>
        </is>
      </c>
      <c r="B2313" s="13" t="inlineStr">
        <is>
          <t>Sorcery / Feitiço</t>
        </is>
      </c>
      <c r="C2313" s="13" t="inlineStr">
        <is>
          <t>Common / Comum</t>
        </is>
      </c>
      <c r="D2313" s="13"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2313" s="13" t="inlineStr">
        <is>
          <t>{3}{R}</t>
        </is>
      </c>
      <c r="F2313" s="13" t="inlineStr">
        <is>
          <t>Vermelho</t>
        </is>
      </c>
      <c r="G2313" s="8" t="n">
        <v>0.03</v>
      </c>
      <c r="H2313" s="13" t="inlineStr">
        <is>
          <t>Theros Beyond Death (THB)</t>
        </is>
      </c>
      <c r="I2313" s="13" t="inlineStr">
        <is>
          <t>Não</t>
        </is>
      </c>
      <c r="J2313" s="13" t="n">
        <v>2020</v>
      </c>
      <c r="L2313" s="13" t="n">
        <v>1</v>
      </c>
      <c r="M2313" s="8">
        <f>L2313*G2313</f>
        <v/>
      </c>
      <c r="P2313" s="9" t="n"/>
    </row>
    <row r="2314">
      <c r="A2314" s="13" t="inlineStr">
        <is>
          <t>Possessed Goat</t>
        </is>
      </c>
      <c r="B2314" s="13" t="inlineStr">
        <is>
          <t>Creature — Goat</t>
        </is>
      </c>
      <c r="C2314" s="13" t="inlineStr">
        <is>
          <t>Common / Comum</t>
        </is>
      </c>
      <c r="D2314" s="13" t="inlineStr">
        <is>
          <t>{3}, Discard a card: Put three +1/+1 counters on this creature and it becomes a black Demon in addition to its other colors and types. Activate only once.</t>
        </is>
      </c>
      <c r="E2314" s="13" t="inlineStr">
        <is>
          <t>{W}</t>
        </is>
      </c>
      <c r="F2314" s="13" t="inlineStr">
        <is>
          <t>Branco</t>
        </is>
      </c>
      <c r="G2314" s="8" t="n">
        <v>0.05</v>
      </c>
      <c r="H2314" s="13" t="inlineStr">
        <is>
          <t>Duskmourn: House of Horror (DSK)</t>
        </is>
      </c>
      <c r="I2314" s="13" t="inlineStr">
        <is>
          <t>Não</t>
        </is>
      </c>
      <c r="J2314" s="13" t="n">
        <v>2024</v>
      </c>
      <c r="K2314" s="10" t="n">
        <v>46023</v>
      </c>
      <c r="L2314" s="13" t="n">
        <v>1</v>
      </c>
      <c r="M2314" s="8">
        <f>L2314*G2314</f>
        <v/>
      </c>
      <c r="P2314" s="9" t="n"/>
    </row>
    <row r="2315">
      <c r="A2315" s="13" t="inlineStr">
        <is>
          <t>Pothole Mole</t>
        </is>
      </c>
      <c r="B2315" s="13" t="inlineStr">
        <is>
          <t>Creature — Mole</t>
        </is>
      </c>
      <c r="C2315" s="13" t="inlineStr">
        <is>
          <t>Common / Comum</t>
        </is>
      </c>
      <c r="D2315" s="13" t="inlineStr">
        <is>
          <t>When this creature enters, mill three cards, then you may return a land card from your graveyard to your hand. (To mill three cards, put the top three cards of your library into your graveyard.)</t>
        </is>
      </c>
      <c r="E2315" s="13" t="inlineStr">
        <is>
          <t>{2}{G}</t>
        </is>
      </c>
      <c r="F2315" s="13" t="inlineStr">
        <is>
          <t>Verde</t>
        </is>
      </c>
      <c r="G2315" s="8" t="n">
        <v>0.05</v>
      </c>
      <c r="H2315" s="13" t="inlineStr">
        <is>
          <t>Aetherdrift (DFT)</t>
        </is>
      </c>
      <c r="I2315" s="13" t="inlineStr">
        <is>
          <t>Não</t>
        </is>
      </c>
      <c r="J2315" s="13" t="n">
        <v>2025</v>
      </c>
      <c r="K2315" s="10" t="n">
        <v>46083</v>
      </c>
      <c r="L2315" s="13" t="n">
        <v>1</v>
      </c>
      <c r="M2315" s="8">
        <f>L2315*G2315</f>
        <v/>
      </c>
      <c r="P2315" s="9" t="n"/>
    </row>
    <row r="2316">
      <c r="A2316" s="13" t="inlineStr">
        <is>
          <t>Poultrygeist</t>
        </is>
      </c>
      <c r="B2316" s="13" t="inlineStr">
        <is>
          <t>Summon Chicken</t>
        </is>
      </c>
      <c r="C2316" s="13" t="inlineStr">
        <is>
          <t>Rare</t>
        </is>
      </c>
      <c r="D2316" s="13" t="inlineStr">
        <is>
          <t>Flying. Whenever a creature is put into any graveyard from play, you may roll a six-sided die. On a 1, sacrifice Poultrygeist. Otherwise, put a +1/+1 counter on Poultrygeist.</t>
        </is>
      </c>
      <c r="E2316" s="13" t="inlineStr">
        <is>
          <t>{2}{B}</t>
        </is>
      </c>
      <c r="F2316" s="13" t="inlineStr">
        <is>
          <t>Preto</t>
        </is>
      </c>
      <c r="G2316" s="8" t="n">
        <v>0.3</v>
      </c>
      <c r="H2316" s="13" t="inlineStr">
        <is>
          <t>Unglued (UGL)</t>
        </is>
      </c>
      <c r="I2316" s="13" t="inlineStr">
        <is>
          <t>No</t>
        </is>
      </c>
      <c r="J2316" s="13" t="n">
        <v>1998</v>
      </c>
      <c r="K2316" s="10" t="n">
        <v>46023</v>
      </c>
      <c r="L2316" s="13" t="n">
        <v>2</v>
      </c>
      <c r="M2316" s="8">
        <f>L2316*G2316</f>
        <v/>
      </c>
      <c r="P2316" s="9" t="n"/>
    </row>
    <row r="2317">
      <c r="A2317" s="13" t="inlineStr">
        <is>
          <t>Power Armor / Armadura do Poder</t>
        </is>
      </c>
      <c r="B2317" s="13" t="inlineStr">
        <is>
          <t>Artifact</t>
        </is>
      </c>
      <c r="C2317" s="13" t="inlineStr">
        <is>
          <t>Uncommon / Incomum</t>
        </is>
      </c>
      <c r="D2317" s="13" t="inlineStr">
        <is>
          <t>Domain — {3}, {T}: Target creature gets +1/+1 until end of turn for each basic land type among lands you control.</t>
        </is>
      </c>
      <c r="E2317" s="13" t="inlineStr">
        <is>
          <t>{4}</t>
        </is>
      </c>
      <c r="F2317" s="13" t="inlineStr">
        <is>
          <t>Incolor</t>
        </is>
      </c>
      <c r="G2317" s="8" t="n">
        <v>0.09</v>
      </c>
      <c r="H2317" s="13" t="inlineStr">
        <is>
          <t>Invasion (INV)</t>
        </is>
      </c>
      <c r="I2317" s="13" t="inlineStr">
        <is>
          <t>Não</t>
        </is>
      </c>
      <c r="J2317" s="13" t="n">
        <v>2000</v>
      </c>
      <c r="L2317" s="13" t="n">
        <v>1</v>
      </c>
      <c r="M2317" s="8">
        <f>L2317*G2317</f>
        <v/>
      </c>
      <c r="P2317" s="9" t="n"/>
    </row>
    <row r="2318">
      <c r="A2318" s="13" t="inlineStr">
        <is>
          <t>Powerful Broker / Corretor Poderoso</t>
        </is>
      </c>
      <c r="B2318" s="13" t="inlineStr">
        <is>
          <t>Criatura — Humano Vilão</t>
        </is>
      </c>
      <c r="C2318" s="13" t="inlineStr">
        <is>
          <t>Comum</t>
        </is>
      </c>
      <c r="D2318" s="13" t="inlineStr">
        <is>
          <t>{T}: Para cada tipo de marcador na permanente ou jogador alvo, dê àquela permanente ou jogador outro marcador daquele tipo. Ative apenas como um feitiço.</t>
        </is>
      </c>
      <c r="E2318" s="13" t="inlineStr">
        <is>
          <t>2{G}</t>
        </is>
      </c>
      <c r="F2318" s="13" t="inlineStr">
        <is>
          <t>Verde</t>
        </is>
      </c>
      <c r="G2318" s="8" t="n">
        <v>0.13</v>
      </c>
      <c r="H2318" s="13" t="inlineStr">
        <is>
          <t>Marvel</t>
        </is>
      </c>
      <c r="I2318" s="13" t="inlineStr">
        <is>
          <t>Não</t>
        </is>
      </c>
      <c r="J2318" s="13" t="n">
        <v>2026</v>
      </c>
      <c r="K2318" s="10" t="n">
        <v>46084</v>
      </c>
      <c r="L2318" s="13" t="n">
        <v>4</v>
      </c>
      <c r="M2318" s="8">
        <f>L2318*G2318</f>
        <v/>
      </c>
      <c r="P2318" s="9" t="n"/>
    </row>
    <row r="2319">
      <c r="A2319" s="13" t="inlineStr">
        <is>
          <t>Powerful Broker / Corretor Poderoso</t>
        </is>
      </c>
      <c r="B2319" s="13" t="inlineStr">
        <is>
          <t>Criatura — Humano Vilão</t>
        </is>
      </c>
      <c r="C2319" s="13" t="inlineStr">
        <is>
          <t>Comum</t>
        </is>
      </c>
      <c r="D2319" s="13" t="inlineStr">
        <is>
          <t>{T}: Para cada tipo de marcador na permanente ou jogador alvo, dê àquela permanente ou jogador outro marcador daquele tipo. Ative apenas como um feitiço.</t>
        </is>
      </c>
      <c r="E2319" s="13" t="inlineStr">
        <is>
          <t>2{G}</t>
        </is>
      </c>
      <c r="F2319" s="13" t="inlineStr">
        <is>
          <t>Verde</t>
        </is>
      </c>
      <c r="G2319" s="8" t="n">
        <v>0.84</v>
      </c>
      <c r="H2319" s="13" t="inlineStr">
        <is>
          <t>Marvel</t>
        </is>
      </c>
      <c r="I2319" s="13" t="inlineStr">
        <is>
          <t>Não</t>
        </is>
      </c>
      <c r="J2319" s="13" t="n">
        <v>2026</v>
      </c>
      <c r="K2319" s="10" t="n">
        <v>46084</v>
      </c>
      <c r="L2319" s="13" t="n">
        <v>1</v>
      </c>
      <c r="M2319" s="8">
        <f>L2319*G2319</f>
        <v/>
      </c>
      <c r="P2319" s="9" t="n"/>
    </row>
    <row r="2320">
      <c r="A2320" s="13" t="inlineStr">
        <is>
          <t>Powerful Broker / Corretor Poderoso</t>
        </is>
      </c>
      <c r="B2320" s="13" t="inlineStr">
        <is>
          <t>Criatura — Humano Vilão</t>
        </is>
      </c>
      <c r="C2320" s="13" t="inlineStr">
        <is>
          <t>Comum</t>
        </is>
      </c>
      <c r="D2320" s="13" t="inlineStr">
        <is>
          <t>{T}: Para cada tipo de marcador na permanente ou jogador alvo, dê àquela permanente ou jogador outro marcador daquele tipo. Ative apenas como um feitiço.</t>
        </is>
      </c>
      <c r="E2320" s="13" t="inlineStr">
        <is>
          <t>2{G}</t>
        </is>
      </c>
      <c r="F2320" s="13" t="inlineStr">
        <is>
          <t>Verde</t>
        </is>
      </c>
      <c r="G2320" s="8" t="n">
        <v>0.13</v>
      </c>
      <c r="H2320" s="13" t="inlineStr">
        <is>
          <t>Marvel</t>
        </is>
      </c>
      <c r="I2320" s="13" t="inlineStr">
        <is>
          <t>Não</t>
        </is>
      </c>
      <c r="J2320" s="13" t="n">
        <v>2026</v>
      </c>
      <c r="K2320" s="10" t="n">
        <v>46084</v>
      </c>
      <c r="L2320" s="13" t="n">
        <v>2</v>
      </c>
      <c r="M2320" s="8">
        <f>L2320*G2320</f>
        <v/>
      </c>
      <c r="P2320" s="9" t="n"/>
    </row>
    <row r="2321">
      <c r="A2321" s="13" t="inlineStr">
        <is>
          <t>Powerful Broker / Corretor Poderoso</t>
        </is>
      </c>
      <c r="B2321" s="13" t="inlineStr">
        <is>
          <t>Criatura — Humano Vilão</t>
        </is>
      </c>
      <c r="C2321" s="13" t="inlineStr">
        <is>
          <t>Comum</t>
        </is>
      </c>
      <c r="D2321" s="13" t="inlineStr">
        <is>
          <t>{T}: Para cada tipo de marcador na permanente ou jogador alvo, dê àquela permanente ou jogador outro marcador daquele tipo. Ative apenas como um feitiço.</t>
        </is>
      </c>
      <c r="E2321" s="13" t="inlineStr">
        <is>
          <t>2{G}</t>
        </is>
      </c>
      <c r="F2321" s="13" t="inlineStr">
        <is>
          <t>Verde</t>
        </is>
      </c>
      <c r="G2321" s="8" t="n">
        <v>0.34</v>
      </c>
      <c r="H2321" s="13" t="inlineStr">
        <is>
          <t>Marvel</t>
        </is>
      </c>
      <c r="I2321" s="13" t="inlineStr">
        <is>
          <t>Sim</t>
        </is>
      </c>
      <c r="J2321" s="13" t="n">
        <v>2026</v>
      </c>
      <c r="K2321" s="10" t="n">
        <v>46084</v>
      </c>
      <c r="L2321" s="13" t="n">
        <v>1</v>
      </c>
      <c r="M2321" s="8">
        <f>L2321*G2321</f>
        <v/>
      </c>
      <c r="P2321" s="9" t="n"/>
    </row>
    <row r="2322">
      <c r="A2322" s="13" t="inlineStr">
        <is>
          <t>Precise Strike / Golpe Preciso</t>
        </is>
      </c>
      <c r="B2322" s="13" t="inlineStr">
        <is>
          <t>Instant / Mágica Instantânea</t>
        </is>
      </c>
      <c r="C2322" s="13" t="inlineStr">
        <is>
          <t>Common / Comum</t>
        </is>
      </c>
      <c r="D2322" s="13" t="inlineStr">
        <is>
          <t>Target creature gets +1/+0 and gains first strike until end of turn. / A criatura alvo recebe +1/+0 e ganha iniciativa até o final do turno.</t>
        </is>
      </c>
      <c r="E2322" s="13" t="inlineStr">
        <is>
          <t>{R}</t>
        </is>
      </c>
      <c r="F2322" s="13" t="inlineStr">
        <is>
          <t>Vermelho</t>
        </is>
      </c>
      <c r="G2322" s="8" t="n">
        <v>0.03</v>
      </c>
      <c r="H2322" s="13" t="inlineStr">
        <is>
          <t>Aether Revolt (AER)</t>
        </is>
      </c>
      <c r="I2322" s="13" t="inlineStr">
        <is>
          <t>Não</t>
        </is>
      </c>
      <c r="J2322" s="13" t="n">
        <v>2017</v>
      </c>
      <c r="L2322" s="13" t="n">
        <v>1</v>
      </c>
      <c r="M2322" s="8">
        <f>L2322*G2322</f>
        <v/>
      </c>
      <c r="P2322" s="9" t="n"/>
    </row>
    <row r="2323">
      <c r="A2323" s="13" t="inlineStr">
        <is>
          <t>Precognition Field / Campo de Precognição</t>
        </is>
      </c>
      <c r="B2323" s="13" t="inlineStr">
        <is>
          <t>Enchantment / Encantamento</t>
        </is>
      </c>
      <c r="C2323" s="13" t="inlineStr">
        <is>
          <t>Rare / Rara</t>
        </is>
      </c>
      <c r="D2323" s="13"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2323" s="13" t="inlineStr">
        <is>
          <t>{3}{U}</t>
        </is>
      </c>
      <c r="F2323" s="13" t="inlineStr">
        <is>
          <t>Azul</t>
        </is>
      </c>
      <c r="G2323" s="8" t="n">
        <v>0.35</v>
      </c>
      <c r="H2323" s="13" t="inlineStr">
        <is>
          <t>Dominaria (DOM)</t>
        </is>
      </c>
      <c r="I2323" s="13" t="inlineStr">
        <is>
          <t>Não</t>
        </is>
      </c>
      <c r="J2323" s="13" t="n">
        <v>2018</v>
      </c>
      <c r="L2323" s="13" t="n">
        <v>1</v>
      </c>
      <c r="M2323" s="8">
        <f>L2323*G2323</f>
        <v/>
      </c>
      <c r="P2323" s="9" t="n"/>
    </row>
    <row r="2324">
      <c r="A2324" s="13" t="inlineStr">
        <is>
          <t>Predator, Flagship / Predador, Nau Capitânia</t>
        </is>
      </c>
      <c r="B2324" s="13" t="inlineStr">
        <is>
          <t>Legendary Artifact</t>
        </is>
      </c>
      <c r="C2324" s="13" t="inlineStr">
        <is>
          <t>Rare / Rara</t>
        </is>
      </c>
      <c r="D2324" s="13" t="inlineStr">
        <is>
          <t>{2}: Target creature gains flying until end of turn. {5}, {T}: Destroy target creature with flying.</t>
        </is>
      </c>
      <c r="E2324" s="13" t="inlineStr">
        <is>
          <t>{5}</t>
        </is>
      </c>
      <c r="F2324" s="13" t="inlineStr">
        <is>
          <t>Incolor</t>
        </is>
      </c>
      <c r="G2324" s="8" t="n">
        <v>0.5</v>
      </c>
      <c r="H2324" s="13" t="inlineStr">
        <is>
          <t>Commander 2014 (C14)</t>
        </is>
      </c>
      <c r="I2324" s="13" t="inlineStr">
        <is>
          <t>Não</t>
        </is>
      </c>
      <c r="J2324" s="13" t="n">
        <v>2014</v>
      </c>
      <c r="L2324" s="13" t="n">
        <v>1</v>
      </c>
      <c r="M2324" s="8">
        <f>L2324*G2324</f>
        <v/>
      </c>
      <c r="P2324" s="9" t="n"/>
    </row>
    <row r="2325">
      <c r="A2325" s="13" t="inlineStr">
        <is>
          <t>Prehistoric Turtlesaurus / Tartarugassauro Pré-histórico</t>
        </is>
      </c>
      <c r="B2325" s="13" t="inlineStr">
        <is>
          <t>Criatura — Mutante Ninja Tartaruga Dinossauro</t>
        </is>
      </c>
      <c r="C2325" s="13" t="inlineStr">
        <is>
          <t>Comum</t>
        </is>
      </c>
      <c r="D2325" s="13" t="inlineStr">
        <is>
          <t>Esta mágica custa {1} a menos para ser conjurada se você controlar uma criatura com um marcador +1/+1 nela. Vigilância (Atacar não faz esta criatura ser virada.)</t>
        </is>
      </c>
      <c r="E2325" s="13" t="inlineStr">
        <is>
          <t>4{G}</t>
        </is>
      </c>
      <c r="F2325" s="13" t="inlineStr">
        <is>
          <t>Verde</t>
        </is>
      </c>
      <c r="G2325" s="8" t="n">
        <v>0.2</v>
      </c>
      <c r="H2325" s="13" t="inlineStr">
        <is>
          <t>Teenage Mutant Ninja Turtles</t>
        </is>
      </c>
      <c r="I2325" s="13" t="inlineStr">
        <is>
          <t>Não</t>
        </is>
      </c>
      <c r="J2325" s="13" t="n">
        <v>2026</v>
      </c>
      <c r="K2325" s="10" t="n">
        <v>46146</v>
      </c>
      <c r="L2325" s="13" t="n">
        <v>3</v>
      </c>
      <c r="M2325" s="8">
        <f>L2325*G2325</f>
        <v/>
      </c>
      <c r="P2325" s="9" t="n"/>
    </row>
    <row r="2326">
      <c r="A2326" s="13" t="inlineStr">
        <is>
          <t>Pretending Poxbearers</t>
        </is>
      </c>
      <c r="B2326" s="13" t="inlineStr">
        <is>
          <t>Creature — Human Citizen Ally</t>
        </is>
      </c>
      <c r="C2326" s="13" t="inlineStr">
        <is>
          <t>Common / Comum</t>
        </is>
      </c>
      <c r="D2326" s="13" t="inlineStr">
        <is>
          <t>When this creature dies, create a 1/1 white Ally creature token.</t>
        </is>
      </c>
      <c r="E2326" s="13" t="inlineStr">
        <is>
          <t>{1}{W/B}</t>
        </is>
      </c>
      <c r="F2326" s="13" t="inlineStr">
        <is>
          <t>Preto, Branco</t>
        </is>
      </c>
      <c r="G2326" s="8" t="n">
        <v>0.25</v>
      </c>
      <c r="H2326" s="13" t="inlineStr">
        <is>
          <t>Avatar: The Last Airbender (TLA)</t>
        </is>
      </c>
      <c r="I2326" s="13" t="inlineStr">
        <is>
          <t>Sim</t>
        </is>
      </c>
      <c r="J2326" s="13" t="n">
        <v>2025</v>
      </c>
      <c r="K2326" s="10" t="n">
        <v>46024</v>
      </c>
      <c r="L2326" s="13" t="n">
        <v>1</v>
      </c>
      <c r="M2326" s="8">
        <f>L2326*G2326</f>
        <v/>
      </c>
      <c r="P2326" s="9" t="n"/>
    </row>
    <row r="2327">
      <c r="A2327" s="13" t="inlineStr">
        <is>
          <t>Preto Chocobo / Chocobo Preto</t>
        </is>
      </c>
      <c r="B2327" s="13" t="inlineStr">
        <is>
          <t>Criatura — Ave</t>
        </is>
      </c>
      <c r="C2327" s="13" t="inlineStr">
        <is>
          <t>Incomum</t>
        </is>
      </c>
      <c r="D2327" s="13"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2327" s="13" t="inlineStr">
        <is>
          <t>Não encontrado</t>
        </is>
      </c>
      <c r="F2327" s="13" t="inlineStr">
        <is>
          <t>Verde</t>
        </is>
      </c>
      <c r="G2327" s="8" t="n">
        <v>0.15</v>
      </c>
      <c r="H2327" s="13" t="inlineStr">
        <is>
          <t>Final Fantasy</t>
        </is>
      </c>
      <c r="I2327" s="13" t="inlineStr">
        <is>
          <t>Não</t>
        </is>
      </c>
      <c r="J2327" s="13" t="n">
        <v>2025</v>
      </c>
      <c r="K2327" s="10" t="n">
        <v>46055</v>
      </c>
      <c r="L2327" s="13" t="n">
        <v>1</v>
      </c>
      <c r="M2327" s="8">
        <f>L2327*G2327</f>
        <v/>
      </c>
      <c r="P2327" s="9" t="n"/>
    </row>
    <row r="2328">
      <c r="A2328" s="13" t="inlineStr">
        <is>
          <t>Preto Mage's Rod / Bastão do Mago Negro</t>
        </is>
      </c>
      <c r="B2328" s="13" t="inlineStr">
        <is>
          <t>Artefato — Equipamento</t>
        </is>
      </c>
      <c r="C2328" s="13" t="inlineStr">
        <is>
          <t>Comum</t>
        </is>
      </c>
      <c r="D2328" s="13"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328" s="13" t="inlineStr">
        <is>
          <t>1{B}</t>
        </is>
      </c>
      <c r="F2328" s="13" t="inlineStr">
        <is>
          <t>Preto</t>
        </is>
      </c>
      <c r="G2328" s="8" t="n">
        <v>0.75</v>
      </c>
      <c r="H2328" s="13" t="inlineStr">
        <is>
          <t>Final Fantasy</t>
        </is>
      </c>
      <c r="I2328" s="13" t="inlineStr">
        <is>
          <t>Não</t>
        </is>
      </c>
      <c r="J2328" s="13" t="n">
        <v>2025</v>
      </c>
      <c r="L2328" s="13" t="n">
        <v>11</v>
      </c>
      <c r="M2328" s="8">
        <f>L2328*G2328</f>
        <v/>
      </c>
      <c r="P2328" s="9" t="n"/>
    </row>
    <row r="2329">
      <c r="A2329" s="13" t="inlineStr">
        <is>
          <t>Preto Waltz No. 3 / Valsa Negra N.º 3</t>
        </is>
      </c>
      <c r="B2329" s="13" t="inlineStr">
        <is>
          <t>Criatura Lendária — Mago</t>
        </is>
      </c>
      <c r="C2329" s="13" t="inlineStr">
        <is>
          <t>Incomum</t>
        </is>
      </c>
      <c r="D2329" s="13" t="inlineStr">
        <is>
          <t>Voar, toque mortífero. Sempre que você conjurar uma mágica que não seja de criatura, Valsa Negra N.º 3 causa 2 de dano a cada oponente.</t>
        </is>
      </c>
      <c r="E2329" s="13" t="inlineStr">
        <is>
          <t>2BR</t>
        </is>
      </c>
      <c r="F2329" s="13" t="inlineStr">
        <is>
          <t>Preto e Vermelho</t>
        </is>
      </c>
      <c r="G2329" s="8" t="n">
        <v>2.99</v>
      </c>
      <c r="H2329" s="13" t="inlineStr">
        <is>
          <t>Final Fantasy</t>
        </is>
      </c>
      <c r="I2329" s="13" t="inlineStr">
        <is>
          <t>Sim</t>
        </is>
      </c>
      <c r="J2329" s="13" t="n">
        <v>2025</v>
      </c>
      <c r="K2329" s="10" t="n">
        <v>46055</v>
      </c>
      <c r="L2329" s="13" t="n">
        <v>1</v>
      </c>
      <c r="M2329" s="8">
        <f>L2329*G2329</f>
        <v/>
      </c>
      <c r="P2329" s="9" t="n"/>
    </row>
    <row r="2330">
      <c r="A2330" s="13" t="inlineStr">
        <is>
          <t>Prey Upon / Apresar</t>
        </is>
      </c>
      <c r="B2330" s="13" t="inlineStr">
        <is>
          <t>Sorcery / Feitiço</t>
        </is>
      </c>
      <c r="C2330" s="13" t="inlineStr">
        <is>
          <t>Common / Comum</t>
        </is>
      </c>
      <c r="D2330" s="13"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2330" s="13" t="inlineStr">
        <is>
          <t>{G}</t>
        </is>
      </c>
      <c r="F2330" s="13" t="inlineStr">
        <is>
          <t>Verde</t>
        </is>
      </c>
      <c r="G2330" s="8" t="n">
        <v>0.05</v>
      </c>
      <c r="H2330" s="13" t="inlineStr">
        <is>
          <t>Ultimate Masters (UMA)</t>
        </is>
      </c>
      <c r="I2330" s="13" t="inlineStr">
        <is>
          <t>Não</t>
        </is>
      </c>
      <c r="J2330" s="13" t="n">
        <v>2018</v>
      </c>
      <c r="L2330" s="13" t="n">
        <v>1</v>
      </c>
      <c r="M2330" s="8">
        <f>L2330*G2330</f>
        <v/>
      </c>
      <c r="P2330" s="9" t="n"/>
    </row>
    <row r="2331">
      <c r="A2331" s="13" t="inlineStr">
        <is>
          <t>Price of Freedom</t>
        </is>
      </c>
      <c r="B2331" s="13" t="inlineStr">
        <is>
          <t>Sorcery — Lesson</t>
        </is>
      </c>
      <c r="C2331" s="13" t="inlineStr">
        <is>
          <t>Uncommon / Incomum</t>
        </is>
      </c>
      <c r="D2331" s="13" t="inlineStr">
        <is>
          <t>Destroy target artifact or land an opponent controls. Its controller may search their library for a basic land card, put it onto the battlefield tapped, then shuffle. Draw a card.</t>
        </is>
      </c>
      <c r="E2331" s="13" t="inlineStr">
        <is>
          <t>{1}{R}</t>
        </is>
      </c>
      <c r="F2331" s="13" t="inlineStr">
        <is>
          <t>Vermelho</t>
        </is>
      </c>
      <c r="G2331" s="8" t="n">
        <v>0.25</v>
      </c>
      <c r="H2331" s="13" t="inlineStr">
        <is>
          <t>Avatar: The Last Airbender (TLA)</t>
        </is>
      </c>
      <c r="I2331" s="13" t="inlineStr">
        <is>
          <t>Não</t>
        </is>
      </c>
      <c r="J2331" s="13" t="n">
        <v>2025</v>
      </c>
      <c r="L2331" s="13" t="n">
        <v>1</v>
      </c>
      <c r="M2331" s="8">
        <f>L2331*G2331</f>
        <v/>
      </c>
      <c r="P2331" s="9" t="n"/>
    </row>
    <row r="2332">
      <c r="A2332" s="13" t="inlineStr">
        <is>
          <t>Price of Freedom</t>
        </is>
      </c>
      <c r="B2332" s="13" t="inlineStr">
        <is>
          <t>Sorcery — Lesson</t>
        </is>
      </c>
      <c r="C2332" s="13" t="inlineStr">
        <is>
          <t>Uncommon / Incomum</t>
        </is>
      </c>
      <c r="D2332" s="13" t="inlineStr">
        <is>
          <t>Destroy target artifact or land an opponent controls. Its controller may search their library for a basic land card, put it onto the battlefield tapped, then shuffle. Draw a card.</t>
        </is>
      </c>
      <c r="E2332" s="13" t="inlineStr">
        <is>
          <t>{1}{R}</t>
        </is>
      </c>
      <c r="F2332" s="13" t="inlineStr">
        <is>
          <t>Vermelho</t>
        </is>
      </c>
      <c r="G2332" s="8" t="n">
        <v>2.97</v>
      </c>
      <c r="H2332" s="13" t="inlineStr">
        <is>
          <t>Avatar: The Last Airbender (TLA)</t>
        </is>
      </c>
      <c r="I2332" s="13" t="inlineStr">
        <is>
          <t>Sim</t>
        </is>
      </c>
      <c r="J2332" s="13" t="n">
        <v>2025</v>
      </c>
      <c r="L2332" s="13" t="n">
        <v>1</v>
      </c>
      <c r="M2332" s="8">
        <f>L2332*G2332</f>
        <v/>
      </c>
      <c r="P2332" s="9" t="n"/>
    </row>
    <row r="2333">
      <c r="A2333" s="13" t="inlineStr">
        <is>
          <t>Prickly Boggart / Papão Espinhoso</t>
        </is>
      </c>
      <c r="B2333" s="13" t="inlineStr">
        <is>
          <t>Creature — Goblin Rogue / Criatura — Goblin Ladino</t>
        </is>
      </c>
      <c r="C2333" s="13" t="inlineStr">
        <is>
          <t>Common / Comum</t>
        </is>
      </c>
      <c r="D2333" s="13" t="inlineStr">
        <is>
          <t>Fear (This creature can't be blocked except by artifact creatures and/or black creatures.) / Amedrontar</t>
        </is>
      </c>
      <c r="E2333" s="13" t="inlineStr">
        <is>
          <t>{B}</t>
        </is>
      </c>
      <c r="F2333" s="13" t="inlineStr">
        <is>
          <t>Preto</t>
        </is>
      </c>
      <c r="G2333" s="8" t="n">
        <v>0.17</v>
      </c>
      <c r="H2333" s="13" t="inlineStr">
        <is>
          <t>Morningtide (MOR)</t>
        </is>
      </c>
      <c r="I2333" s="13" t="inlineStr">
        <is>
          <t>Não</t>
        </is>
      </c>
      <c r="J2333" s="13" t="n">
        <v>2008</v>
      </c>
      <c r="K2333" s="10" t="n">
        <v>46023</v>
      </c>
      <c r="L2333" s="13" t="n">
        <v>4</v>
      </c>
      <c r="M2333" s="8">
        <f>L2333*G2333</f>
        <v/>
      </c>
      <c r="P2333" s="9" t="n"/>
    </row>
    <row r="2334">
      <c r="A2334" s="13" t="inlineStr">
        <is>
          <t>Prideful Feastling</t>
        </is>
      </c>
      <c r="B2334" s="13" t="inlineStr">
        <is>
          <t>Creature — Shapeshifter</t>
        </is>
      </c>
      <c r="C2334" s="13" t="inlineStr">
        <is>
          <t>Common / Comum</t>
        </is>
      </c>
      <c r="D2334" s="13" t="inlineStr">
        <is>
          <t>Changeling (This card is every creature type.) Lifelink</t>
        </is>
      </c>
      <c r="E2334" s="13" t="inlineStr">
        <is>
          <t>{2}{W/B}</t>
        </is>
      </c>
      <c r="F2334" s="13" t="inlineStr">
        <is>
          <t>Preto, Branco</t>
        </is>
      </c>
      <c r="G2334" s="8" t="n">
        <v>0.1</v>
      </c>
      <c r="H2334" s="13" t="inlineStr">
        <is>
          <t>Lorwyn Eclipsed (ECL)</t>
        </is>
      </c>
      <c r="I2334" s="13" t="inlineStr">
        <is>
          <t>Não</t>
        </is>
      </c>
      <c r="J2334" s="13" t="n">
        <v>2026</v>
      </c>
      <c r="K2334" s="10" t="n">
        <v>46083</v>
      </c>
      <c r="L2334" s="13" t="n">
        <v>1</v>
      </c>
      <c r="M2334" s="8">
        <f>L2334*G2334</f>
        <v/>
      </c>
      <c r="P2334" s="9" t="n"/>
    </row>
    <row r="2335">
      <c r="A2335" s="13" t="inlineStr">
        <is>
          <t>Priest of the Blood Rite / Sacerdote do Ritual de Sangue</t>
        </is>
      </c>
      <c r="B2335" s="13" t="inlineStr">
        <is>
          <t>Creature — Human Cleric / Criatura — Humano Clérigo</t>
        </is>
      </c>
      <c r="C2335" s="13" t="inlineStr">
        <is>
          <t>Uncommon / Incomum</t>
        </is>
      </c>
      <c r="D2335" s="13"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2335" s="13" t="inlineStr">
        <is>
          <t>{3}{B}{B}</t>
        </is>
      </c>
      <c r="F2335" s="13" t="inlineStr">
        <is>
          <t>Preto</t>
        </is>
      </c>
      <c r="G2335" s="8" t="n">
        <v>0.19</v>
      </c>
      <c r="H2335" s="13" t="inlineStr">
        <is>
          <t>Commander Masters (CMM)</t>
        </is>
      </c>
      <c r="I2335" s="13" t="inlineStr">
        <is>
          <t>Não</t>
        </is>
      </c>
      <c r="J2335" s="13" t="n">
        <v>2023</v>
      </c>
      <c r="K2335" s="10" t="n">
        <v>46055</v>
      </c>
      <c r="L2335" s="13" t="n">
        <v>1</v>
      </c>
      <c r="M2335" s="8">
        <f>L2335*G2335</f>
        <v/>
      </c>
      <c r="P2335" s="9" t="n"/>
    </row>
    <row r="2336">
      <c r="A2336" s="13" t="inlineStr">
        <is>
          <t>Priest of the Blood Rite / Sacerdote do Ritual de Sangue</t>
        </is>
      </c>
      <c r="B2336" s="13" t="inlineStr">
        <is>
          <t>Creature — Human Cleric / Criatura — Humano Clérigo</t>
        </is>
      </c>
      <c r="C2336" s="13" t="inlineStr">
        <is>
          <t>Rare / Rara</t>
        </is>
      </c>
      <c r="D2336" s="13"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2336" s="13" t="inlineStr">
        <is>
          <t>{3}{B}{B}</t>
        </is>
      </c>
      <c r="F2336" s="13" t="inlineStr">
        <is>
          <t>Preto</t>
        </is>
      </c>
      <c r="G2336" s="8" t="n">
        <v>0.25</v>
      </c>
      <c r="H2336" s="13" t="inlineStr">
        <is>
          <t>Magic Origins (ORI)</t>
        </is>
      </c>
      <c r="I2336" s="13" t="inlineStr">
        <is>
          <t>Não</t>
        </is>
      </c>
      <c r="J2336" s="13" t="n">
        <v>2015</v>
      </c>
      <c r="K2336" s="10" t="n">
        <v>46055</v>
      </c>
      <c r="L2336" s="13" t="n">
        <v>1</v>
      </c>
      <c r="M2336" s="8">
        <f>L2336*G2336</f>
        <v/>
      </c>
      <c r="P2336" s="9" t="n"/>
    </row>
    <row r="2337">
      <c r="A2337" s="13" t="inlineStr">
        <is>
          <t>Priest of the Haunted Edge / Sacerdote da Fronteira Assombrada</t>
        </is>
      </c>
      <c r="B2337" s="13" t="inlineStr">
        <is>
          <t>Snow Creature — Zombie Cleric / Criatura da Neve — Zumbi Clérigo</t>
        </is>
      </c>
      <c r="C2337" s="13" t="inlineStr">
        <is>
          <t>Common / Comum</t>
        </is>
      </c>
      <c r="D2337" s="13"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2337" s="13" t="inlineStr">
        <is>
          <t>{1}{B}</t>
        </is>
      </c>
      <c r="F2337" s="13" t="inlineStr">
        <is>
          <t>Preto</t>
        </is>
      </c>
      <c r="G2337" s="8" t="n">
        <v>0.06</v>
      </c>
      <c r="H2337" s="13" t="inlineStr">
        <is>
          <t>Kaldheim (KHM)</t>
        </is>
      </c>
      <c r="I2337" s="13" t="inlineStr">
        <is>
          <t>Não</t>
        </is>
      </c>
      <c r="J2337" s="13" t="n">
        <v>2021</v>
      </c>
      <c r="K2337" s="13" t="inlineStr">
        <is>
          <t>0/4</t>
        </is>
      </c>
      <c r="L2337" s="13" t="n">
        <v>1</v>
      </c>
      <c r="M2337" s="8">
        <f>L2337*G2337</f>
        <v/>
      </c>
      <c r="P2337" s="9" t="n"/>
    </row>
    <row r="2338">
      <c r="A2338" s="13" t="inlineStr">
        <is>
          <t>Primal Clay / Argila Primal</t>
        </is>
      </c>
      <c r="B2338" s="13" t="inlineStr">
        <is>
          <t>Artifact Creature — Shapeshifter / Criatura Artefato — Metamorfo</t>
        </is>
      </c>
      <c r="C2338" s="13" t="inlineStr">
        <is>
          <t>Common / Comum</t>
        </is>
      </c>
      <c r="D2338" s="13"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2338" s="13" t="inlineStr">
        <is>
          <t>{4}</t>
        </is>
      </c>
      <c r="F2338" s="13" t="inlineStr">
        <is>
          <t>Incolor</t>
        </is>
      </c>
      <c r="G2338" s="8" t="n">
        <v>0.09</v>
      </c>
      <c r="H2338" s="13" t="inlineStr">
        <is>
          <t>Masters 25 (A25)</t>
        </is>
      </c>
      <c r="I2338" s="13" t="inlineStr">
        <is>
          <t>No</t>
        </is>
      </c>
      <c r="J2338" s="13" t="n">
        <v>2018</v>
      </c>
      <c r="K2338" s="13" t="inlineStr">
        <is>
          <t>*/*</t>
        </is>
      </c>
      <c r="L2338" s="13" t="n">
        <v>1</v>
      </c>
      <c r="M2338" s="8">
        <f>L2338*G2338</f>
        <v/>
      </c>
      <c r="P2338" s="9" t="n"/>
    </row>
    <row r="2339">
      <c r="A2339" s="13" t="inlineStr">
        <is>
          <t>Primary Research / Pesquisa Primária</t>
        </is>
      </c>
      <c r="B2339" s="13" t="inlineStr">
        <is>
          <t>Encantamento</t>
        </is>
      </c>
      <c r="C2339" s="13" t="inlineStr">
        <is>
          <t>Incomum</t>
        </is>
      </c>
      <c r="D2339" s="13" t="inlineStr">
        <is>
          <t>Quando este encantamento entrar, devolva o card de permanente não de terreno alvo com valor de mana 3 ou menos de seu cemitério para o campo de batalha. No início de sua etapa final, se um card tiver deixado o seu cemitério neste turno, compre um card.</t>
        </is>
      </c>
      <c r="E2339" s="13" t="inlineStr">
        <is>
          <t>4{W}</t>
        </is>
      </c>
      <c r="F2339" s="13" t="inlineStr">
        <is>
          <t>Branco</t>
        </is>
      </c>
      <c r="G2339" s="8" t="n">
        <v>0.28</v>
      </c>
      <c r="H2339" s="13" t="inlineStr">
        <is>
          <t>Strixhaven: School of Mages (SOS)</t>
        </is>
      </c>
      <c r="I2339" s="13" t="inlineStr">
        <is>
          <t>Não</t>
        </is>
      </c>
      <c r="J2339" s="13" t="n">
        <v>2026</v>
      </c>
      <c r="L2339" s="13" t="n">
        <v>1</v>
      </c>
      <c r="M2339" s="8">
        <f>L2339*G2339</f>
        <v/>
      </c>
      <c r="P2339" s="9" t="n"/>
    </row>
    <row r="2340">
      <c r="A2340" s="13" t="inlineStr">
        <is>
          <t>Primordial Pachyderm</t>
        </is>
      </c>
      <c r="B2340" s="13" t="inlineStr">
        <is>
          <t>Creature — Elephant Avatar</t>
        </is>
      </c>
      <c r="C2340" s="13" t="inlineStr">
        <is>
          <t>Common / Comum</t>
        </is>
      </c>
      <c r="D2340" s="13" t="inlineStr">
        <is>
          <t>Reach, trample When this creature enters, you gain 2 life.</t>
        </is>
      </c>
      <c r="E2340" s="13" t="inlineStr">
        <is>
          <t>{3}{G}</t>
        </is>
      </c>
      <c r="F2340" s="13" t="inlineStr">
        <is>
          <t>Verde</t>
        </is>
      </c>
      <c r="G2340" s="8" t="n">
        <v>0.1</v>
      </c>
      <c r="H2340" s="13" t="inlineStr">
        <is>
          <t>Teenage Mutant Ninja Turtles (TMT)</t>
        </is>
      </c>
      <c r="I2340" s="13" t="inlineStr">
        <is>
          <t>Não</t>
        </is>
      </c>
      <c r="J2340" s="13" t="n">
        <v>2026</v>
      </c>
      <c r="K2340" s="10" t="n">
        <v>46116</v>
      </c>
      <c r="L2340" s="13" t="n">
        <v>1</v>
      </c>
      <c r="M2340" s="8">
        <f>L2340*G2340</f>
        <v/>
      </c>
      <c r="P2340" s="9" t="n"/>
    </row>
    <row r="2341">
      <c r="A2341" s="13" t="inlineStr">
        <is>
          <t>Primordial Wurm / Vorme Primordial</t>
        </is>
      </c>
      <c r="B2341" s="13" t="inlineStr">
        <is>
          <t>Creature — Wurm / Criatura — Vorme</t>
        </is>
      </c>
      <c r="C2341" s="13" t="inlineStr">
        <is>
          <t>Common / Comum</t>
        </is>
      </c>
      <c r="E2341" s="13" t="inlineStr">
        <is>
          <t>{4}{G}{G}</t>
        </is>
      </c>
      <c r="F2341" s="13" t="inlineStr">
        <is>
          <t>Verde</t>
        </is>
      </c>
      <c r="G2341" s="8" t="n">
        <v>0.01</v>
      </c>
      <c r="H2341" s="13" t="inlineStr">
        <is>
          <t>War of the Spark (WAR)</t>
        </is>
      </c>
      <c r="I2341" s="13" t="inlineStr">
        <is>
          <t>Não</t>
        </is>
      </c>
      <c r="J2341" s="13" t="n">
        <v>2019</v>
      </c>
      <c r="K2341" s="10" t="n">
        <v>46180</v>
      </c>
      <c r="L2341" s="13" t="n">
        <v>1</v>
      </c>
      <c r="M2341" s="8">
        <f>L2341*G2341</f>
        <v/>
      </c>
      <c r="P2341" s="9" t="n"/>
    </row>
    <row r="2342">
      <c r="A2342" s="13" t="inlineStr">
        <is>
          <t>Prince Imrahil the Fair / Príncipe Imrahil, o Belo</t>
        </is>
      </c>
      <c r="B2342" s="13" t="inlineStr">
        <is>
          <t>Legendary Creature — Human Noble / Criatura Lendária — Humano Nobre</t>
        </is>
      </c>
      <c r="C2342" s="13" t="inlineStr">
        <is>
          <t>Uncommon / Incomum</t>
        </is>
      </c>
      <c r="D2342" s="13" t="inlineStr">
        <is>
          <t>Whenever you draw your second card each turn, create a 1/1 white Human Soldier creature token. / Toda vez que você comprar seu segundo card a cada turno, crie uma ficha de criatura Humano Soldado branca 1/1.</t>
        </is>
      </c>
      <c r="E2342" s="13" t="inlineStr">
        <is>
          <t>{W}{U}</t>
        </is>
      </c>
      <c r="F2342" s="13" t="inlineStr">
        <is>
          <t>Branco e Azul</t>
        </is>
      </c>
      <c r="G2342" s="8" t="n">
        <v>0.18</v>
      </c>
      <c r="H2342" s="13" t="inlineStr">
        <is>
          <t>The Lord of the Rings: Tales of Middle-earth (LTR)</t>
        </is>
      </c>
      <c r="I2342" s="13" t="inlineStr">
        <is>
          <t>Não</t>
        </is>
      </c>
      <c r="J2342" s="13" t="n">
        <v>2023</v>
      </c>
      <c r="K2342" s="10" t="n">
        <v>46055</v>
      </c>
      <c r="L2342" s="13" t="n">
        <v>1</v>
      </c>
      <c r="M2342" s="8">
        <f>L2342*G2342</f>
        <v/>
      </c>
      <c r="P2342" s="9" t="n"/>
    </row>
    <row r="2343">
      <c r="A2343" s="13" t="inlineStr">
        <is>
          <t>Príncipe Imrahil, o Belo / Prince Imrahil the Fair</t>
        </is>
      </c>
      <c r="B2343" s="13" t="inlineStr">
        <is>
          <t>Criatura Lendária — Humano Nobre</t>
        </is>
      </c>
      <c r="C2343" s="13" t="inlineStr">
        <is>
          <t>Incomum</t>
        </is>
      </c>
      <c r="D2343" s="13" t="inlineStr">
        <is>
          <t>Toda vez que você comprar seu segundo card a cada turno, crie uma ficha de criatura Humano Soldado branca 1/1.</t>
        </is>
      </c>
      <c r="E2343" s="13" t="inlineStr">
        <is>
          <t>{W}{U}</t>
        </is>
      </c>
      <c r="F2343" s="13" t="inlineStr">
        <is>
          <t>Multicolorido (Branco e Azul)</t>
        </is>
      </c>
      <c r="G2343" s="8" t="n">
        <v>0.25</v>
      </c>
      <c r="H2343" s="13" t="inlineStr">
        <is>
          <t>The Lord of the Rings: Tales of Middle-earth (LTR)</t>
        </is>
      </c>
      <c r="I2343" s="13" t="inlineStr">
        <is>
          <t>Não</t>
        </is>
      </c>
      <c r="J2343" s="13" t="n">
        <v>2023</v>
      </c>
      <c r="K2343" s="10" t="n">
        <v>46055</v>
      </c>
      <c r="L2343" s="13" t="n">
        <v>1</v>
      </c>
      <c r="M2343" s="8">
        <f>L2343*G2343</f>
        <v/>
      </c>
      <c r="P2343" s="9" t="n"/>
    </row>
    <row r="2344">
      <c r="A2344" s="13" t="inlineStr">
        <is>
          <t>Prishe's Wanderings</t>
        </is>
      </c>
      <c r="B2344" s="13" t="inlineStr">
        <is>
          <t>Instant</t>
        </is>
      </c>
      <c r="C2344" s="13" t="inlineStr">
        <is>
          <t>Comum</t>
        </is>
      </c>
      <c r="D2344" s="13" t="inlineStr">
        <is>
          <t>Search your library for a basic land card or Town card, put it onto the battlefield tapped, then shuffle. When you search your library this way, put a +1/+1 counter on target creature you control.</t>
        </is>
      </c>
      <c r="E2344" s="13" t="inlineStr">
        <is>
          <t>2G</t>
        </is>
      </c>
      <c r="F2344" s="13" t="inlineStr">
        <is>
          <t>Verde</t>
        </is>
      </c>
      <c r="G2344" s="8" t="n">
        <v>0.1</v>
      </c>
      <c r="H2344" s="13" t="inlineStr">
        <is>
          <t>Final Fantasy (FFXI)</t>
        </is>
      </c>
      <c r="I2344" s="13" t="inlineStr">
        <is>
          <t>Não</t>
        </is>
      </c>
      <c r="J2344" s="13" t="n">
        <v>2025</v>
      </c>
      <c r="L2344" s="13" t="n">
        <v>11</v>
      </c>
      <c r="M2344" s="8">
        <f>L2344*G2344</f>
        <v/>
      </c>
      <c r="P2344" s="9" t="n"/>
    </row>
    <row r="2345">
      <c r="A2345" s="13" t="inlineStr">
        <is>
          <t>Prishe's Wanderings</t>
        </is>
      </c>
      <c r="B2345" s="13" t="inlineStr">
        <is>
          <t>Instant</t>
        </is>
      </c>
      <c r="C2345" s="13" t="inlineStr">
        <is>
          <t>Comum</t>
        </is>
      </c>
      <c r="D2345" s="13" t="inlineStr">
        <is>
          <t>Search your library for a basic land card or Town card, put it onto the battlefield tapped, then shuffle. When you search your library this way, put a +1/+1 counter on target creature you control.</t>
        </is>
      </c>
      <c r="E2345" s="13" t="inlineStr">
        <is>
          <t>2G</t>
        </is>
      </c>
      <c r="F2345" s="13" t="inlineStr">
        <is>
          <t>Verde</t>
        </is>
      </c>
      <c r="G2345" s="8" t="n">
        <v>0.1</v>
      </c>
      <c r="H2345" s="13" t="inlineStr">
        <is>
          <t>Final Fantasy (FFXI)</t>
        </is>
      </c>
      <c r="I2345" s="13" t="inlineStr">
        <is>
          <t>Sim</t>
        </is>
      </c>
      <c r="J2345" s="13" t="n">
        <v>2025</v>
      </c>
      <c r="L2345" s="13" t="n">
        <v>1</v>
      </c>
      <c r="M2345" s="8">
        <f>L2345*G2345</f>
        <v/>
      </c>
      <c r="P2345" s="9" t="n"/>
    </row>
    <row r="2346">
      <c r="A2346" s="13" t="inlineStr">
        <is>
          <t>Prisma Profético / Prophetic Prism</t>
        </is>
      </c>
      <c r="B2346" s="13" t="inlineStr">
        <is>
          <t>Artifact / Artefato</t>
        </is>
      </c>
      <c r="C2346" s="13" t="inlineStr">
        <is>
          <t>Common / Comum</t>
        </is>
      </c>
      <c r="D2346" s="13" t="inlineStr">
        <is>
          <t>When Prophetic Prism enters the battlefield, draw a card. {1}, {T}: Add one mana of any color. / Quando Prisma Profético entrar no campo de batalha, compre um card. {1}, {T}: Adicione um mana de qualquer cor.</t>
        </is>
      </c>
      <c r="E2346" s="13" t="inlineStr">
        <is>
          <t>{2}</t>
        </is>
      </c>
      <c r="F2346" s="13" t="inlineStr">
        <is>
          <t>Incolor</t>
        </is>
      </c>
      <c r="G2346" s="8" t="n">
        <v>0.2</v>
      </c>
      <c r="H2346" s="13" t="inlineStr">
        <is>
          <t>Commander Masters (CMM)</t>
        </is>
      </c>
      <c r="I2346" s="13" t="inlineStr">
        <is>
          <t>No</t>
        </is>
      </c>
      <c r="J2346" s="13" t="n">
        <v>2023</v>
      </c>
      <c r="L2346" s="13" t="n">
        <v>1</v>
      </c>
      <c r="M2346" s="8">
        <f>L2346*G2346</f>
        <v/>
      </c>
      <c r="P2346" s="9" t="n"/>
    </row>
    <row r="2347">
      <c r="A2347" s="13" t="inlineStr">
        <is>
          <t>Prisma Profético / Prophetic Prism</t>
        </is>
      </c>
      <c r="B2347" s="13" t="inlineStr">
        <is>
          <t>Artefato</t>
        </is>
      </c>
      <c r="C2347" s="13" t="inlineStr">
        <is>
          <t>Comum</t>
        </is>
      </c>
      <c r="D2347" s="13" t="inlineStr">
        <is>
          <t>Quando Prisma Profético entrar no campo de batalha, compre um card. {1}, {T}: Adicione um mana de qualquer cor à sua reserva de mana.</t>
        </is>
      </c>
      <c r="E2347" s="13" t="inlineStr">
        <is>
          <t>{2}</t>
        </is>
      </c>
      <c r="F2347" s="13" t="inlineStr">
        <is>
          <t>Incolor</t>
        </is>
      </c>
      <c r="G2347" s="8" t="n">
        <v>0.09</v>
      </c>
      <c r="H2347" s="13" t="inlineStr">
        <is>
          <t>Kaladesh (KLD)</t>
        </is>
      </c>
      <c r="I2347" s="13" t="inlineStr">
        <is>
          <t>Não</t>
        </is>
      </c>
      <c r="J2347" s="13" t="n">
        <v>2016</v>
      </c>
      <c r="L2347" s="13" t="n">
        <v>4</v>
      </c>
      <c r="M2347" s="8">
        <f>L2347*G2347</f>
        <v/>
      </c>
      <c r="P2347" s="9" t="n"/>
    </row>
    <row r="2348">
      <c r="A2348" s="13" t="inlineStr">
        <is>
          <t>Prismatic Wardrobe</t>
        </is>
      </c>
      <c r="B2348" s="13" t="inlineStr">
        <is>
          <t>Sorcery / Feitiço</t>
        </is>
      </c>
      <c r="C2348" s="13" t="inlineStr">
        <is>
          <t>Common / Comum</t>
        </is>
      </c>
      <c r="D2348" s="13"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2348" s="13" t="inlineStr">
        <is>
          <t>{W}</t>
        </is>
      </c>
      <c r="F2348" s="13" t="inlineStr">
        <is>
          <t>Branco</t>
        </is>
      </c>
      <c r="G2348" s="8" t="n">
        <v>0.45</v>
      </c>
      <c r="H2348" s="13" t="inlineStr">
        <is>
          <t>Unglued (UGL)</t>
        </is>
      </c>
      <c r="I2348" s="13" t="inlineStr">
        <is>
          <t>No</t>
        </is>
      </c>
      <c r="J2348" s="13" t="n">
        <v>1998</v>
      </c>
      <c r="L2348" s="13" t="n">
        <v>1</v>
      </c>
      <c r="M2348" s="8">
        <f>L2348*G2348</f>
        <v/>
      </c>
      <c r="P2348" s="9" t="n"/>
    </row>
    <row r="2349">
      <c r="A2349" s="13" t="inlineStr">
        <is>
          <t>Prison Realm / Reino de Aprisionamento</t>
        </is>
      </c>
      <c r="B2349" s="13" t="inlineStr">
        <is>
          <t>Enchantment / Encantamento</t>
        </is>
      </c>
      <c r="C2349" s="13" t="inlineStr">
        <is>
          <t>Uncommon / Incomum</t>
        </is>
      </c>
      <c r="D2349" s="13"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2349" s="13" t="inlineStr">
        <is>
          <t>{2}{W}</t>
        </is>
      </c>
      <c r="F2349" s="13" t="inlineStr">
        <is>
          <t>Branco</t>
        </is>
      </c>
      <c r="G2349" s="8" t="n">
        <v>0.04</v>
      </c>
      <c r="H2349" s="13" t="inlineStr">
        <is>
          <t>War of the Spark (WAR)</t>
        </is>
      </c>
      <c r="I2349" s="13" t="inlineStr">
        <is>
          <t>Não</t>
        </is>
      </c>
      <c r="J2349" s="13" t="n">
        <v>2019</v>
      </c>
      <c r="L2349" s="13" t="n">
        <v>1</v>
      </c>
      <c r="M2349" s="8">
        <f>L2349*G2349</f>
        <v/>
      </c>
      <c r="P2349" s="9" t="n"/>
    </row>
    <row r="2350">
      <c r="A2350" s="13" t="inlineStr">
        <is>
          <t>Pristine Talisman / Talismã Imaculado</t>
        </is>
      </c>
      <c r="B2350" s="13" t="inlineStr">
        <is>
          <t>Artifact</t>
        </is>
      </c>
      <c r="C2350" s="13" t="inlineStr">
        <is>
          <t>Uncommon / Incomum</t>
        </is>
      </c>
      <c r="D2350" s="13" t="inlineStr">
        <is>
          <t>{T}: Add {C}. You gain 1 life. / {T}: Adicione {1} à sua reserva de mana. Você ganha 1 ponto de vida.</t>
        </is>
      </c>
      <c r="E2350" s="13" t="inlineStr">
        <is>
          <t>{3}</t>
        </is>
      </c>
      <c r="F2350" s="13" t="inlineStr">
        <is>
          <t>Incolor</t>
        </is>
      </c>
      <c r="G2350" s="8" t="n">
        <v>0.48</v>
      </c>
      <c r="H2350" s="13" t="inlineStr">
        <is>
          <t>The Brothers' War Retro Artifacts (BRR)</t>
        </is>
      </c>
      <c r="I2350" s="13" t="inlineStr">
        <is>
          <t>Não</t>
        </is>
      </c>
      <c r="J2350" s="13" t="n">
        <v>2022</v>
      </c>
      <c r="L2350" s="13" t="n">
        <v>4</v>
      </c>
      <c r="M2350" s="8">
        <f>L2350*G2350</f>
        <v/>
      </c>
      <c r="P2350" s="9" t="n"/>
    </row>
    <row r="2351">
      <c r="A2351" s="13" t="inlineStr">
        <is>
          <t>Private Eye / Olheiro Particular</t>
        </is>
      </c>
      <c r="B2351" s="13" t="inlineStr">
        <is>
          <t>Creature — Homunculus Detective / Criatura — Homúnculo Detetive</t>
        </is>
      </c>
      <c r="C2351" s="13" t="inlineStr">
        <is>
          <t>Uncommon / Incomum</t>
        </is>
      </c>
      <c r="D2351" s="13"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2351" s="13" t="inlineStr">
        <is>
          <t>{1}{W}{U}</t>
        </is>
      </c>
      <c r="F2351" s="13" t="inlineStr">
        <is>
          <t>Azul, Branco</t>
        </is>
      </c>
      <c r="G2351" s="8" t="n">
        <v>0.09</v>
      </c>
      <c r="H2351" s="13" t="inlineStr">
        <is>
          <t>Murders at Karlov Manor (MKM)</t>
        </is>
      </c>
      <c r="I2351" s="13" t="inlineStr">
        <is>
          <t>Não</t>
        </is>
      </c>
      <c r="J2351" s="13" t="n">
        <v>2024</v>
      </c>
      <c r="K2351" s="10" t="n">
        <v>46084</v>
      </c>
      <c r="L2351" s="13" t="n">
        <v>1</v>
      </c>
      <c r="M2351" s="8">
        <f>L2351*G2351</f>
        <v/>
      </c>
      <c r="P2351" s="9" t="n"/>
    </row>
    <row r="2352">
      <c r="A2352" s="13" t="inlineStr">
        <is>
          <t>Prized Statue / Estátua Cobiçada</t>
        </is>
      </c>
      <c r="B2352" s="13" t="inlineStr">
        <is>
          <t>Artifact / Artefato</t>
        </is>
      </c>
      <c r="C2352" s="13" t="inlineStr">
        <is>
          <t>Common / Comum</t>
        </is>
      </c>
      <c r="D2352" s="13"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2352" s="13" t="inlineStr">
        <is>
          <t>{2}</t>
        </is>
      </c>
      <c r="F2352" s="13" t="inlineStr">
        <is>
          <t>Incolor</t>
        </is>
      </c>
      <c r="G2352" s="8" t="n">
        <v>1.69</v>
      </c>
      <c r="H2352" s="13" t="inlineStr">
        <is>
          <t>Commander Legends: Battle for Baldur's Gate (CLB)</t>
        </is>
      </c>
      <c r="I2352" s="13" t="inlineStr">
        <is>
          <t>Não</t>
        </is>
      </c>
      <c r="J2352" s="13" t="n">
        <v>2022</v>
      </c>
      <c r="L2352" s="13" t="n">
        <v>1</v>
      </c>
      <c r="M2352" s="8">
        <f>L2352*G2352</f>
        <v/>
      </c>
      <c r="N2352" s="13" t="inlineStr">
        <is>
          <t>Pasta</t>
        </is>
      </c>
      <c r="P2352" s="9" t="n"/>
    </row>
    <row r="2353">
      <c r="A2353" s="13" t="inlineStr">
        <is>
          <t>Professor Zei, Anthropologist</t>
        </is>
      </c>
      <c r="B2353" s="13" t="inlineStr">
        <is>
          <t>Legendary Creature — Human Advisor Ally</t>
        </is>
      </c>
      <c r="C2353" s="13" t="inlineStr">
        <is>
          <t>Uncommon / Incomum</t>
        </is>
      </c>
      <c r="D2353" s="13" t="inlineStr">
        <is>
          <t>{T}, Discard a card: Draw a card. {1}, {T}, Sacrifice Professor Zei: Return target instant or sorcery card from your graveyard to your hand. Activate only during your turn.</t>
        </is>
      </c>
      <c r="E2353" s="13" t="inlineStr">
        <is>
          <t>{U/R}{U/R}</t>
        </is>
      </c>
      <c r="F2353" s="13" t="inlineStr">
        <is>
          <t>Vermelho, Azul</t>
        </is>
      </c>
      <c r="G2353" s="8" t="n">
        <v>0.17</v>
      </c>
      <c r="H2353" s="13" t="inlineStr">
        <is>
          <t>Avatar: The Last Airbender (TLA)</t>
        </is>
      </c>
      <c r="I2353" s="13" t="inlineStr">
        <is>
          <t>Não</t>
        </is>
      </c>
      <c r="J2353" s="13" t="n">
        <v>2025</v>
      </c>
      <c r="K2353" s="13" t="inlineStr">
        <is>
          <t>0/3</t>
        </is>
      </c>
      <c r="L2353" s="13" t="n">
        <v>1</v>
      </c>
      <c r="M2353" s="8">
        <f>L2353*G2353</f>
        <v/>
      </c>
      <c r="P2353" s="9" t="n"/>
    </row>
    <row r="2354">
      <c r="A2354" s="13" t="inlineStr">
        <is>
          <t>Profeta do Pico / Cragflame Prophet</t>
        </is>
      </c>
      <c r="B2354" s="13" t="inlineStr">
        <is>
          <t>Criatura Artefato — Felino</t>
        </is>
      </c>
      <c r="C2354" s="13" t="inlineStr">
        <is>
          <t>Comum</t>
        </is>
      </c>
      <c r="D2354" s="13" t="inlineStr">
        <is>
          <t>Quando Profeta do Pico entrar no campo de batalha, use vidência 2. (Olhe os dois cards do topo do seu grimório. Depois, coloque qualquer número deles no fundo do seu grimório e o restante no topo em qualquer ordem.)</t>
        </is>
      </c>
      <c r="E2354" s="13" t="inlineStr">
        <is>
          <t>{6}</t>
        </is>
      </c>
      <c r="F2354" s="13" t="inlineStr">
        <is>
          <t>Incolor</t>
        </is>
      </c>
      <c r="G2354" s="8" t="n">
        <v>0.04</v>
      </c>
      <c r="H2354" s="13" t="inlineStr">
        <is>
          <t>Throne of Eldraine (ELD)</t>
        </is>
      </c>
      <c r="I2354" s="13" t="inlineStr">
        <is>
          <t>Não</t>
        </is>
      </c>
      <c r="J2354" s="13" t="n">
        <v>2019</v>
      </c>
      <c r="K2354" s="10" t="n">
        <v>46147</v>
      </c>
      <c r="L2354" s="13" t="n">
        <v>3</v>
      </c>
      <c r="M2354" s="8">
        <f>L2354*G2354</f>
        <v/>
      </c>
      <c r="P2354" s="9" t="n"/>
    </row>
    <row r="2355">
      <c r="A2355" s="13" t="inlineStr">
        <is>
          <t>Promise of Bunrei / Promessa de Bunrei</t>
        </is>
      </c>
      <c r="B2355" s="13" t="inlineStr">
        <is>
          <t>Enchantment / Encantamento</t>
        </is>
      </c>
      <c r="C2355" s="13" t="inlineStr">
        <is>
          <t>Uncommon / Incomum</t>
        </is>
      </c>
      <c r="D2355" s="13"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2355" s="13" t="inlineStr">
        <is>
          <t>{2}{W}</t>
        </is>
      </c>
      <c r="F2355" s="13" t="inlineStr">
        <is>
          <t>Branco</t>
        </is>
      </c>
      <c r="G2355" s="8" t="n">
        <v>0.75</v>
      </c>
      <c r="H2355" s="13" t="inlineStr">
        <is>
          <t>Masters 25 (A25)</t>
        </is>
      </c>
      <c r="I2355" s="13" t="inlineStr">
        <is>
          <t>Sim</t>
        </is>
      </c>
      <c r="J2355" s="13" t="n">
        <v>2018</v>
      </c>
      <c r="L2355" s="13" t="n">
        <v>1</v>
      </c>
      <c r="M2355" s="8">
        <f>L2355*G2355</f>
        <v/>
      </c>
      <c r="P2355" s="9" t="n"/>
    </row>
    <row r="2356">
      <c r="A2356" s="13" t="inlineStr">
        <is>
          <t>Promised Kannushi / Kannushi Prometido</t>
        </is>
      </c>
      <c r="B2356" s="13" t="inlineStr">
        <is>
          <t>Creature — Human Druid / Criatura — Humano Druida</t>
        </is>
      </c>
      <c r="C2356" s="13" t="inlineStr">
        <is>
          <t>Common / Comum</t>
        </is>
      </c>
      <c r="D2356" s="13"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2356" s="13" t="inlineStr">
        <is>
          <t>{G}</t>
        </is>
      </c>
      <c r="F2356" s="13" t="inlineStr">
        <is>
          <t>Verde</t>
        </is>
      </c>
      <c r="G2356" s="8" t="n">
        <v>0.09</v>
      </c>
      <c r="H2356" s="13" t="inlineStr">
        <is>
          <t>Betrayers of Kamigawa (BOK)</t>
        </is>
      </c>
      <c r="I2356" s="13" t="inlineStr">
        <is>
          <t>Não</t>
        </is>
      </c>
      <c r="J2356" s="13" t="n">
        <v>2005</v>
      </c>
      <c r="K2356" s="10" t="n">
        <v>46023</v>
      </c>
      <c r="L2356" s="13" t="n">
        <v>1</v>
      </c>
      <c r="M2356" s="8">
        <f>L2356*G2356</f>
        <v/>
      </c>
      <c r="P2356" s="9" t="n"/>
    </row>
    <row r="2357">
      <c r="A2357" s="13" t="inlineStr">
        <is>
          <t>Prompto Argentum / Prompto Argentum</t>
        </is>
      </c>
      <c r="B2357" s="13" t="inlineStr">
        <is>
          <t>Criatura Lendária — Humano Batedor</t>
        </is>
      </c>
      <c r="C2357" s="13" t="inlineStr">
        <is>
          <t>Incomum</t>
        </is>
      </c>
      <c r="D2357" s="13" t="inlineStr">
        <is>
          <t>Ímpeto. Foto de Selfie — Sempre que você conjurar uma mágica que não seja de criatura, se pelo menos quatro manas tiverem sido gastos para conjurá-la, crie uma ficha de Tesouro.</t>
        </is>
      </c>
      <c r="E2357" s="13" t="inlineStr">
        <is>
          <t>1R</t>
        </is>
      </c>
      <c r="F2357" s="13" t="inlineStr">
        <is>
          <t>Vermelho</t>
        </is>
      </c>
      <c r="G2357" s="8" t="n">
        <v>0.25</v>
      </c>
      <c r="H2357" s="13" t="inlineStr">
        <is>
          <t>Final Fantasy</t>
        </is>
      </c>
      <c r="I2357" s="13" t="inlineStr">
        <is>
          <t>Não</t>
        </is>
      </c>
      <c r="J2357" s="13" t="n">
        <v>2025</v>
      </c>
      <c r="K2357" s="10" t="n">
        <v>46055</v>
      </c>
      <c r="L2357" s="13" t="n">
        <v>3</v>
      </c>
      <c r="M2357" s="8">
        <f>L2357*G2357</f>
        <v/>
      </c>
      <c r="P2357" s="9" t="n"/>
    </row>
    <row r="2358">
      <c r="A2358" s="13" t="inlineStr">
        <is>
          <t>Prophetic Bolt / Raio Profético</t>
        </is>
      </c>
      <c r="B2358" s="13" t="inlineStr">
        <is>
          <t>Instant / Mágica Instantânea</t>
        </is>
      </c>
      <c r="C2358" s="13" t="inlineStr">
        <is>
          <t>Uncommon / Incomum</t>
        </is>
      </c>
      <c r="D2358" s="13"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2358" s="13" t="inlineStr">
        <is>
          <t>{3}{U}{R}</t>
        </is>
      </c>
      <c r="F2358" s="13" t="inlineStr">
        <is>
          <t>Vermelho, Azul</t>
        </is>
      </c>
      <c r="G2358" s="8" t="n">
        <v>0.17</v>
      </c>
      <c r="H2358" s="13" t="inlineStr">
        <is>
          <t>Double Masters 2022 (2X2)</t>
        </is>
      </c>
      <c r="I2358" s="13" t="inlineStr">
        <is>
          <t>Não</t>
        </is>
      </c>
      <c r="J2358" s="13" t="n">
        <v>2022</v>
      </c>
      <c r="L2358" s="13" t="n">
        <v>1</v>
      </c>
      <c r="M2358" s="8">
        <f>L2358*G2358</f>
        <v/>
      </c>
      <c r="P2358" s="9" t="n"/>
    </row>
    <row r="2359">
      <c r="A2359" s="13" t="inlineStr">
        <is>
          <t>Protective Response</t>
        </is>
      </c>
      <c r="B2359" s="13" t="inlineStr">
        <is>
          <t>Instant</t>
        </is>
      </c>
      <c r="C2359" s="13" t="inlineStr">
        <is>
          <t>Uncommon / Incomum</t>
        </is>
      </c>
      <c r="D2359" s="13" t="inlineStr">
        <is>
          <t>Convoke (Your creatures can help cast this spell. Each creature you tap while casting this spell pays for {1} or one mana of that creature's color.) Destroy target attacking or blocking creature.</t>
        </is>
      </c>
      <c r="E2359" s="13" t="inlineStr">
        <is>
          <t>{2}{W}</t>
        </is>
      </c>
      <c r="F2359" s="13" t="inlineStr">
        <is>
          <t>Branco</t>
        </is>
      </c>
      <c r="G2359" s="8" t="n">
        <v>0.06</v>
      </c>
      <c r="H2359" s="13" t="inlineStr">
        <is>
          <t>Lorwyn Eclipsed (ECL)</t>
        </is>
      </c>
      <c r="I2359" s="13" t="inlineStr">
        <is>
          <t>Não</t>
        </is>
      </c>
      <c r="J2359" s="13" t="n">
        <v>2026</v>
      </c>
      <c r="L2359" s="13" t="n">
        <v>1</v>
      </c>
      <c r="M2359" s="8">
        <f>L2359*G2359</f>
        <v/>
      </c>
      <c r="P2359" s="9" t="n"/>
    </row>
    <row r="2360">
      <c r="A2360" s="13" t="inlineStr">
        <is>
          <t>Protector of Gondor / Protetor de Gondor</t>
        </is>
      </c>
      <c r="B2360" s="13" t="inlineStr">
        <is>
          <t>Creature — Human Soldier / Criatura — Humano Soldado</t>
        </is>
      </c>
      <c r="C2360" s="13" t="inlineStr">
        <is>
          <t>Common / Comum</t>
        </is>
      </c>
      <c r="D2360" s="13" t="inlineStr">
        <is>
          <t>When Protector of Gondor enters the battlefield, create a 1/1 white Human Soldier creature token. / Quando Protetor de Gondor entrar no campo de batalha, crie uma ficha de criatura Humano Soldado branca 1/1.</t>
        </is>
      </c>
      <c r="E2360" s="13" t="inlineStr">
        <is>
          <t>{3}{W}</t>
        </is>
      </c>
      <c r="F2360" s="13" t="inlineStr">
        <is>
          <t>Branco</t>
        </is>
      </c>
      <c r="G2360" s="8" t="n">
        <v>0.08</v>
      </c>
      <c r="H2360" s="13" t="inlineStr">
        <is>
          <t>The Lord of the Rings: Tales of Middle-earth (LTR)</t>
        </is>
      </c>
      <c r="I2360" s="13" t="inlineStr">
        <is>
          <t>Não</t>
        </is>
      </c>
      <c r="J2360" s="13" t="n">
        <v>2023</v>
      </c>
      <c r="K2360" s="10" t="n">
        <v>46084</v>
      </c>
      <c r="L2360" s="13" t="n">
        <v>1</v>
      </c>
      <c r="M2360" s="8">
        <f>L2360*G2360</f>
        <v/>
      </c>
      <c r="P2360" s="9" t="n"/>
    </row>
    <row r="2361">
      <c r="A2361" s="13" t="inlineStr">
        <is>
          <t>Prowcatcher Specialist</t>
        </is>
      </c>
      <c r="B2361" s="13" t="inlineStr">
        <is>
          <t>Creature — Goblin Warrior</t>
        </is>
      </c>
      <c r="C2361" s="13" t="inlineStr">
        <is>
          <t>Common / Comum</t>
        </is>
      </c>
      <c r="D2361" s="13" t="inlineStr">
        <is>
          <t>Haste Exhaust — {3}{R}: Put two +1/+1 counters on this creature. (Activate each exhaust ability only once.)</t>
        </is>
      </c>
      <c r="E2361" s="13" t="inlineStr">
        <is>
          <t>{1}{R}</t>
        </is>
      </c>
      <c r="F2361" s="13" t="inlineStr">
        <is>
          <t>Vermelho</t>
        </is>
      </c>
      <c r="G2361" s="8" t="n">
        <v>0.1</v>
      </c>
      <c r="H2361" s="13" t="inlineStr">
        <is>
          <t>Aetherdrift (DFT)</t>
        </is>
      </c>
      <c r="I2361" s="13" t="inlineStr">
        <is>
          <t>Não</t>
        </is>
      </c>
      <c r="J2361" s="13" t="n">
        <v>2025</v>
      </c>
      <c r="K2361" s="10" t="n">
        <v>46024</v>
      </c>
      <c r="L2361" s="13" t="n">
        <v>1</v>
      </c>
      <c r="M2361" s="8">
        <f>L2361*G2361</f>
        <v/>
      </c>
      <c r="P2361" s="9" t="n"/>
    </row>
    <row r="2362">
      <c r="A2362" s="13" t="inlineStr">
        <is>
          <t>Psionic Snoop / Bisbilhoteira Psiônica</t>
        </is>
      </c>
      <c r="B2362" s="13" t="inlineStr">
        <is>
          <t>Creature — Human Rogue / Criatura — Humano Ladino</t>
        </is>
      </c>
      <c r="C2362" s="13" t="inlineStr">
        <is>
          <t>Common / Comum</t>
        </is>
      </c>
      <c r="D2362" s="13"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2362" s="13" t="inlineStr">
        <is>
          <t>{2}{U}</t>
        </is>
      </c>
      <c r="F2362" s="13" t="inlineStr">
        <is>
          <t>Azul</t>
        </is>
      </c>
      <c r="G2362" s="8" t="n">
        <v>0.04</v>
      </c>
      <c r="H2362" s="13" t="inlineStr">
        <is>
          <t>Streets of New Capenna (SNC)</t>
        </is>
      </c>
      <c r="I2362" s="13" t="inlineStr">
        <is>
          <t>Não</t>
        </is>
      </c>
      <c r="J2362" s="13" t="n">
        <v>2022</v>
      </c>
      <c r="K2362" s="13" t="inlineStr">
        <is>
          <t>0/3</t>
        </is>
      </c>
      <c r="L2362" s="13" t="n">
        <v>1</v>
      </c>
      <c r="M2362" s="8">
        <f>L2362*G2362</f>
        <v/>
      </c>
      <c r="P2362" s="9" t="n"/>
    </row>
    <row r="2363">
      <c r="A2363" s="13" t="inlineStr">
        <is>
          <t>Psychic Whorl</t>
        </is>
      </c>
      <c r="B2363" s="13" t="inlineStr">
        <is>
          <t>Sorcery</t>
        </is>
      </c>
      <c r="C2363" s="13" t="inlineStr">
        <is>
          <t>Common / Comum</t>
        </is>
      </c>
      <c r="D2363" s="13" t="inlineStr">
        <is>
          <t>Target opponent discards two cards. Then if you control a Rat, surveil 2. (Look at the top two cards of your library, then put any number of them into your graveyard and the rest on top of your library in any order.)</t>
        </is>
      </c>
      <c r="E2363" s="13" t="inlineStr">
        <is>
          <t>{2}{B}</t>
        </is>
      </c>
      <c r="F2363" s="13" t="inlineStr">
        <is>
          <t>Preto</t>
        </is>
      </c>
      <c r="G2363" s="8" t="n">
        <v>0.1</v>
      </c>
      <c r="H2363" s="13" t="inlineStr">
        <is>
          <t>Bloomburrow (BLB)</t>
        </is>
      </c>
      <c r="I2363" s="13" t="inlineStr">
        <is>
          <t>Não</t>
        </is>
      </c>
      <c r="J2363" s="13" t="n">
        <v>2024</v>
      </c>
      <c r="L2363" s="13" t="n">
        <v>1</v>
      </c>
      <c r="M2363" s="8">
        <f>L2363*G2363</f>
        <v/>
      </c>
      <c r="P2363" s="9" t="n"/>
    </row>
    <row r="2364">
      <c r="A2364" s="13" t="inlineStr">
        <is>
          <t>Pterafractyl</t>
        </is>
      </c>
      <c r="B2364" s="13" t="inlineStr">
        <is>
          <t>Creature — Dinosaur Fractal</t>
        </is>
      </c>
      <c r="C2364" s="13" t="inlineStr">
        <is>
          <t>Common / Comum</t>
        </is>
      </c>
      <c r="D2364" s="13" t="inlineStr">
        <is>
          <t>Flying This creature enters with X +1/+1 counters on it. When this creature enters, you gain 2 life.</t>
        </is>
      </c>
      <c r="E2364" s="13" t="inlineStr">
        <is>
          <t>{X}{G}{U}</t>
        </is>
      </c>
      <c r="F2364" s="13" t="inlineStr">
        <is>
          <t>Verde, Azul</t>
        </is>
      </c>
      <c r="G2364" s="8" t="n">
        <v>0.08</v>
      </c>
      <c r="H2364" s="13" t="inlineStr">
        <is>
          <t>Secrets of Strixhaven (SOS)</t>
        </is>
      </c>
      <c r="I2364" s="13" t="inlineStr">
        <is>
          <t>Não</t>
        </is>
      </c>
      <c r="J2364" s="13" t="n">
        <v>2026</v>
      </c>
      <c r="K2364" s="13" t="inlineStr">
        <is>
          <t>1/0</t>
        </is>
      </c>
      <c r="L2364" s="13" t="n">
        <v>3</v>
      </c>
      <c r="M2364" s="8">
        <f>L2364*G2364</f>
        <v/>
      </c>
      <c r="P2364" s="9" t="n"/>
    </row>
    <row r="2365">
      <c r="A2365" s="13" t="inlineStr">
        <is>
          <t>Pteramander / Pteromandra</t>
        </is>
      </c>
      <c r="B2365" s="13" t="inlineStr">
        <is>
          <t>Creature — Salamander Drake / Criatura — Salamandra Dragonete</t>
        </is>
      </c>
      <c r="C2365" s="13" t="inlineStr">
        <is>
          <t>Uncommon / Incomum</t>
        </is>
      </c>
      <c r="D2365" s="13"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2365" s="13" t="inlineStr">
        <is>
          <t>{U}</t>
        </is>
      </c>
      <c r="F2365" s="13" t="inlineStr">
        <is>
          <t>Azul</t>
        </is>
      </c>
      <c r="G2365" s="8" t="n">
        <v>0.15</v>
      </c>
      <c r="H2365" s="13" t="inlineStr">
        <is>
          <t>Ravnica Allegiance (RNA)</t>
        </is>
      </c>
      <c r="I2365" s="13" t="inlineStr">
        <is>
          <t>Não</t>
        </is>
      </c>
      <c r="J2365" s="13" t="n">
        <v>2019</v>
      </c>
      <c r="K2365" s="10" t="n">
        <v>46023</v>
      </c>
      <c r="L2365" s="13" t="n">
        <v>4</v>
      </c>
      <c r="M2365" s="8">
        <f>L2365*G2365</f>
        <v/>
      </c>
      <c r="P2365" s="9" t="n"/>
    </row>
    <row r="2366">
      <c r="A2366" s="13" t="inlineStr">
        <is>
          <t>Pterodon Knight / Cavaleira de Pterodontes</t>
        </is>
      </c>
      <c r="B2366" s="13" t="inlineStr">
        <is>
          <t>Creature — Human Knight / Criatura — Humano Cavaleiro</t>
        </is>
      </c>
      <c r="C2366" s="13" t="inlineStr">
        <is>
          <t>Common / Comum</t>
        </is>
      </c>
      <c r="D2366" s="13" t="inlineStr">
        <is>
          <t>This creature has flying as long as you control a Dinosaur. / Cavaleira de Pterodontes terá voar enquanto você controlar um Dinossauro.</t>
        </is>
      </c>
      <c r="E2366" s="13" t="inlineStr">
        <is>
          <t>{3}{W}</t>
        </is>
      </c>
      <c r="F2366" s="13" t="inlineStr">
        <is>
          <t>Branco</t>
        </is>
      </c>
      <c r="G2366" s="8" t="n">
        <v>0.03</v>
      </c>
      <c r="H2366" s="13" t="inlineStr">
        <is>
          <t>Ixalan (XLN)</t>
        </is>
      </c>
      <c r="I2366" s="13" t="inlineStr">
        <is>
          <t>Não</t>
        </is>
      </c>
      <c r="J2366" s="13" t="n">
        <v>2017</v>
      </c>
      <c r="K2366" s="10" t="n">
        <v>46084</v>
      </c>
      <c r="L2366" s="13" t="n">
        <v>3</v>
      </c>
      <c r="M2366" s="8">
        <f>L2366*G2366</f>
        <v/>
      </c>
      <c r="P2366" s="9" t="n"/>
    </row>
    <row r="2367">
      <c r="A2367" s="13" t="inlineStr">
        <is>
          <t>Puca's Eye</t>
        </is>
      </c>
      <c r="B2367" s="13" t="inlineStr">
        <is>
          <t>Artifact</t>
        </is>
      </c>
      <c r="C2367" s="13" t="inlineStr">
        <is>
          <t>Uncommon / Incomum</t>
        </is>
      </c>
      <c r="D2367" s="13" t="inlineStr">
        <is>
          <t>When this artifact enters, draw a card, then choose a color. This artifact becomes the chosen color. {3}, {T}: Draw a card. Activate only if there are five colors among permanents you control.</t>
        </is>
      </c>
      <c r="E2367" s="13" t="inlineStr">
        <is>
          <t>{2}</t>
        </is>
      </c>
      <c r="F2367" s="13" t="inlineStr">
        <is>
          <t>Incolor</t>
        </is>
      </c>
      <c r="G2367" s="8" t="n">
        <v>0.3</v>
      </c>
      <c r="H2367" s="13" t="inlineStr">
        <is>
          <t>Lorwyn Eclipsed (ECL)</t>
        </is>
      </c>
      <c r="I2367" s="13" t="inlineStr">
        <is>
          <t>Sim</t>
        </is>
      </c>
      <c r="J2367" s="13" t="n">
        <v>2026</v>
      </c>
      <c r="L2367" s="13" t="n">
        <v>1</v>
      </c>
      <c r="M2367" s="8">
        <f>L2367*G2367</f>
        <v/>
      </c>
      <c r="P2367" s="9" t="n"/>
    </row>
    <row r="2368">
      <c r="A2368" s="13" t="inlineStr">
        <is>
          <t>Puca's Eye</t>
        </is>
      </c>
      <c r="B2368" s="13" t="inlineStr">
        <is>
          <t>Artifact</t>
        </is>
      </c>
      <c r="C2368" s="13" t="inlineStr">
        <is>
          <t>Uncommon / Incomum</t>
        </is>
      </c>
      <c r="D2368" s="13" t="inlineStr">
        <is>
          <t>When this artifact enters, draw a card, then choose a color. This artifact becomes the chosen color. {3}, {T}: Draw a card. Activate only if there are five colors among permanents you control.</t>
        </is>
      </c>
      <c r="E2368" s="13" t="inlineStr">
        <is>
          <t>{2}</t>
        </is>
      </c>
      <c r="F2368" s="13" t="inlineStr">
        <is>
          <t>Incolor</t>
        </is>
      </c>
      <c r="G2368" s="8" t="n">
        <v>0.2</v>
      </c>
      <c r="H2368" s="13" t="inlineStr">
        <is>
          <t>Lorwyn Eclipsed (ECL)</t>
        </is>
      </c>
      <c r="I2368" s="13" t="inlineStr">
        <is>
          <t>Não</t>
        </is>
      </c>
      <c r="J2368" s="13" t="n">
        <v>2026</v>
      </c>
      <c r="L2368" s="13" t="n">
        <v>1</v>
      </c>
      <c r="M2368" s="8">
        <f>L2368*G2368</f>
        <v/>
      </c>
      <c r="P2368" s="9" t="n"/>
    </row>
    <row r="2369">
      <c r="A2369" s="13" t="inlineStr">
        <is>
          <t>Pull Through the Weft / Atravessar a Trama</t>
        </is>
      </c>
      <c r="B2369" s="13" t="inlineStr">
        <is>
          <t>Feitiço</t>
        </is>
      </c>
      <c r="C2369" s="13" t="inlineStr">
        <is>
          <t>Raro</t>
        </is>
      </c>
      <c r="D2369" s="13" t="inlineStr">
        <is>
          <t>Devolva até dois cards de permanente não de terreno alvos de seu cemitério para sua mão, depois devolva até dois cards de terreno alvos de seu cemitério para o campo de batalha virados.</t>
        </is>
      </c>
      <c r="E2369" s="13" t="inlineStr">
        <is>
          <t>3{G}{G}</t>
        </is>
      </c>
      <c r="F2369" s="13" t="inlineStr">
        <is>
          <t>Verde</t>
        </is>
      </c>
      <c r="G2369" s="8" t="n">
        <v>0.41</v>
      </c>
      <c r="H2369" s="13" t="inlineStr">
        <is>
          <t>Edge of Eternity</t>
        </is>
      </c>
      <c r="I2369" s="13" t="inlineStr">
        <is>
          <t>Não</t>
        </is>
      </c>
      <c r="J2369" s="13" t="n">
        <v>2025</v>
      </c>
      <c r="L2369" s="13" t="n">
        <v>1</v>
      </c>
      <c r="M2369" s="8">
        <f>L2369*G2369</f>
        <v/>
      </c>
      <c r="P2369" s="9" t="n"/>
    </row>
    <row r="2370">
      <c r="A2370" s="13" t="inlineStr">
        <is>
          <t>Pummeler for Hire</t>
        </is>
      </c>
      <c r="B2370" s="13" t="inlineStr">
        <is>
          <t>Creature — Giant Mercenary</t>
        </is>
      </c>
      <c r="C2370" s="13" t="inlineStr">
        <is>
          <t>Uncommon</t>
        </is>
      </c>
      <c r="D2370" s="13" t="inlineStr">
        <is>
          <t>Vigilance, reach. Ward {2} (Whenever this creature becomes the target of a spell or ability an opponent controls, counter it unless that player pays {2}.) When this creature enters, you gain X life, where X is the greatest power among Giants you control.</t>
        </is>
      </c>
      <c r="E2370" s="13" t="inlineStr">
        <is>
          <t>{4}{G}</t>
        </is>
      </c>
      <c r="F2370" s="13" t="inlineStr">
        <is>
          <t>Verde</t>
        </is>
      </c>
      <c r="G2370" s="8" t="n">
        <v>0.2</v>
      </c>
      <c r="H2370" s="13" t="inlineStr">
        <is>
          <t>Lorwyn Eclipsed (ECL)</t>
        </is>
      </c>
      <c r="I2370" s="13" t="inlineStr">
        <is>
          <t>Não</t>
        </is>
      </c>
      <c r="J2370" s="13" t="n">
        <v>2026</v>
      </c>
      <c r="K2370" s="10" t="n">
        <v>46116</v>
      </c>
      <c r="L2370" s="13" t="n">
        <v>1</v>
      </c>
      <c r="M2370" s="8">
        <f>L2370*G2370</f>
        <v/>
      </c>
      <c r="P2370" s="9" t="n"/>
    </row>
    <row r="2371">
      <c r="A2371" s="13" t="inlineStr">
        <is>
          <t>Punk Frogs</t>
        </is>
      </c>
      <c r="B2371" s="13" t="inlineStr">
        <is>
          <t>Creature — Frog Mutant Rebel</t>
        </is>
      </c>
      <c r="C2371" s="13" t="inlineStr">
        <is>
          <t>Common / Comum</t>
        </is>
      </c>
      <c r="D2371" s="13" t="inlineStr">
        <is>
          <t>Ward {3} (Whenever this creature becomes the target of a spell or ability an opponent controls, counter it unless that player pays {3}.)</t>
        </is>
      </c>
      <c r="E2371" s="13" t="inlineStr">
        <is>
          <t>{3}{G/U}{G/U}</t>
        </is>
      </c>
      <c r="F2371" s="13" t="inlineStr">
        <is>
          <t>Verde, Azul</t>
        </is>
      </c>
      <c r="G2371" s="8" t="n">
        <v>0.1</v>
      </c>
      <c r="H2371" s="13" t="inlineStr">
        <is>
          <t>Teenage Mutant Ninja Turtles (TMT)</t>
        </is>
      </c>
      <c r="I2371" s="13" t="inlineStr">
        <is>
          <t>Não</t>
        </is>
      </c>
      <c r="J2371" s="13" t="n">
        <v>2026</v>
      </c>
      <c r="K2371" s="10" t="n">
        <v>46146</v>
      </c>
      <c r="L2371" s="13" t="n">
        <v>2</v>
      </c>
      <c r="M2371" s="8">
        <f>L2371*G2371</f>
        <v/>
      </c>
      <c r="P2371" s="9" t="n"/>
    </row>
    <row r="2372">
      <c r="A2372" s="13" t="inlineStr">
        <is>
          <t>PuPu UFO / OVNI de PuPu</t>
        </is>
      </c>
      <c r="B2372" s="13" t="inlineStr">
        <is>
          <t>Criatura Artefato — Construto Alienígena</t>
        </is>
      </c>
      <c r="C2372" s="13" t="inlineStr">
        <is>
          <t>Incomum</t>
        </is>
      </c>
      <c r="D2372" s="13" t="inlineStr">
        <is>
          <t>Voar. {T}: Você pode colocar um card de terreno de sua mão no campo de batalha. {3}: Até o final do turno, o poder de base desta criatura torna-se igual ao número de Vilas que você controla.</t>
        </is>
      </c>
      <c r="E2372" s="13" t="n">
        <v>2</v>
      </c>
      <c r="F2372" s="13" t="inlineStr">
        <is>
          <t>Incolor</t>
        </is>
      </c>
      <c r="G2372" s="8" t="n">
        <v>0.23</v>
      </c>
      <c r="H2372" s="13" t="inlineStr">
        <is>
          <t>Final Fantasy</t>
        </is>
      </c>
      <c r="I2372" s="13" t="inlineStr">
        <is>
          <t>Não</t>
        </is>
      </c>
      <c r="J2372" s="13" t="n">
        <v>2025</v>
      </c>
      <c r="K2372" s="13" t="inlineStr">
        <is>
          <t>0/4</t>
        </is>
      </c>
      <c r="L2372" s="13" t="n">
        <v>1</v>
      </c>
      <c r="M2372" s="8">
        <f>L2372*G2372</f>
        <v/>
      </c>
      <c r="P2372" s="9" t="n"/>
    </row>
    <row r="2373">
      <c r="A2373" s="13" t="inlineStr">
        <is>
          <t>Purge the Profane / Purgar o Profano</t>
        </is>
      </c>
      <c r="B2373" s="13" t="inlineStr">
        <is>
          <t>Sorcery / Feitiço</t>
        </is>
      </c>
      <c r="C2373" s="13" t="inlineStr">
        <is>
          <t>Common / Comum</t>
        </is>
      </c>
      <c r="D2373" s="13" t="inlineStr">
        <is>
          <t>Target opponent discards two cards and you gain 2 life. / O oponente alvo descarta dois cards e você ganha 2 pontos de vida.</t>
        </is>
      </c>
      <c r="E2373" s="13" t="inlineStr">
        <is>
          <t>{2}{W}{B}</t>
        </is>
      </c>
      <c r="F2373" s="13" t="inlineStr">
        <is>
          <t>Preto, Branco</t>
        </is>
      </c>
      <c r="G2373" s="8" t="n">
        <v>0.05</v>
      </c>
      <c r="H2373" s="13" t="inlineStr">
        <is>
          <t>Gatecrash (GTC)</t>
        </is>
      </c>
      <c r="I2373" s="13" t="inlineStr">
        <is>
          <t>Não</t>
        </is>
      </c>
      <c r="J2373" s="13" t="n">
        <v>2013</v>
      </c>
      <c r="L2373" s="13" t="n">
        <v>5</v>
      </c>
      <c r="M2373" s="8">
        <f>L2373*G2373</f>
        <v/>
      </c>
      <c r="P2373" s="9" t="n"/>
    </row>
    <row r="2374">
      <c r="A2374" s="13" t="inlineStr">
        <is>
          <t>Purple Dragon Punks</t>
        </is>
      </c>
      <c r="B2374" s="13" t="inlineStr">
        <is>
          <t>Creature — Human Rogue</t>
        </is>
      </c>
      <c r="C2374" s="13" t="inlineStr">
        <is>
          <t>Common / Comum</t>
        </is>
      </c>
      <c r="D2374" s="13" t="inlineStr">
        <is>
          <t>{T}: Add {R}. Spend this mana only to cast an artifact spell or to activate an ability.</t>
        </is>
      </c>
      <c r="E2374" s="13" t="inlineStr">
        <is>
          <t>{1}{R}</t>
        </is>
      </c>
      <c r="F2374" s="13" t="inlineStr">
        <is>
          <t>Vermelho</t>
        </is>
      </c>
      <c r="G2374" s="8" t="n">
        <v>0.1</v>
      </c>
      <c r="H2374" s="13" t="inlineStr">
        <is>
          <t>Teenage Mutant Ninja Turtles (TMT)</t>
        </is>
      </c>
      <c r="I2374" s="13" t="inlineStr">
        <is>
          <t>Não</t>
        </is>
      </c>
      <c r="J2374" s="13" t="n">
        <v>2026</v>
      </c>
      <c r="K2374" s="10" t="n">
        <v>46055</v>
      </c>
      <c r="L2374" s="13" t="n">
        <v>2</v>
      </c>
      <c r="M2374" s="8">
        <f>L2374*G2374</f>
        <v/>
      </c>
      <c r="P2374" s="9" t="n"/>
    </row>
    <row r="2375">
      <c r="A2375" s="13" t="inlineStr">
        <is>
          <t>Pursue the Past</t>
        </is>
      </c>
      <c r="B2375" s="13" t="inlineStr">
        <is>
          <t>Sorcery</t>
        </is>
      </c>
      <c r="C2375" s="13" t="inlineStr">
        <is>
          <t>Common / Comum</t>
        </is>
      </c>
      <c r="D2375" s="13" t="inlineStr">
        <is>
          <t>You gain 2 life. You may discard a card. If you do, draw two cards. Flashback {2}{R}{W} (You may cast this card from your graveyard for its flashback cost. Then exile it.)</t>
        </is>
      </c>
      <c r="E2375" s="13" t="inlineStr">
        <is>
          <t>{R}{W}</t>
        </is>
      </c>
      <c r="F2375" s="13" t="inlineStr">
        <is>
          <t>Vermelho, Branco</t>
        </is>
      </c>
      <c r="G2375" s="8" t="n">
        <v>0.4</v>
      </c>
      <c r="H2375" s="13" t="inlineStr">
        <is>
          <t>Secrets of Strixhaven (SOS)</t>
        </is>
      </c>
      <c r="I2375" s="13" t="inlineStr">
        <is>
          <t>Não</t>
        </is>
      </c>
      <c r="J2375" s="13" t="n">
        <v>2026</v>
      </c>
      <c r="L2375" s="13" t="n">
        <v>3</v>
      </c>
      <c r="M2375" s="8">
        <f>L2375*G2375</f>
        <v/>
      </c>
      <c r="P2375" s="9" t="n"/>
    </row>
    <row r="2376">
      <c r="A2376" s="13" t="inlineStr">
        <is>
          <t>Putrefy</t>
        </is>
      </c>
      <c r="B2376" s="13" t="inlineStr">
        <is>
          <t>Instant</t>
        </is>
      </c>
      <c r="C2376" s="13" t="inlineStr">
        <is>
          <t>Uncommon</t>
        </is>
      </c>
      <c r="D2376" s="13" t="inlineStr">
        <is>
          <t>Destroy target artifact or creature. It can't be regenerated.</t>
        </is>
      </c>
      <c r="E2376" s="13" t="inlineStr">
        <is>
          <t>1{B}{G}</t>
        </is>
      </c>
      <c r="F2376" s="13" t="inlineStr">
        <is>
          <t>Preto, Green</t>
        </is>
      </c>
      <c r="G2376" s="8" t="n">
        <v>0.1</v>
      </c>
      <c r="H2376" s="13" t="inlineStr">
        <is>
          <t>Ravnica: City of Guilds (RAV)</t>
        </is>
      </c>
      <c r="I2376" s="13" t="inlineStr">
        <is>
          <t>Não</t>
        </is>
      </c>
      <c r="J2376" s="13" t="n">
        <v>2005</v>
      </c>
      <c r="L2376" s="13" t="n">
        <v>1</v>
      </c>
      <c r="M2376" s="8">
        <f>L2376*G2376</f>
        <v/>
      </c>
      <c r="P2376" s="9" t="n"/>
    </row>
    <row r="2377">
      <c r="A2377" s="13" t="inlineStr">
        <is>
          <t>Putrid Pals</t>
        </is>
      </c>
      <c r="B2377" s="13" t="inlineStr">
        <is>
          <t>Creature — Human Ooze Mutant</t>
        </is>
      </c>
      <c r="C2377" s="13" t="inlineStr">
        <is>
          <t>Common / Comum</t>
        </is>
      </c>
      <c r="D2377" s="13" t="inlineStr">
        <is>
          <t>Deathtouch Disappear — This creature enters with two +1/+1 counters on it if a permanent left the battlefield under your control this turn.</t>
        </is>
      </c>
      <c r="E2377" s="13" t="inlineStr">
        <is>
          <t>{2}{B/G}{B/G}</t>
        </is>
      </c>
      <c r="F2377" s="13" t="inlineStr">
        <is>
          <t>Preto, Verde</t>
        </is>
      </c>
      <c r="G2377" s="8" t="n">
        <v>0.1</v>
      </c>
      <c r="H2377" s="13" t="inlineStr">
        <is>
          <t>Teenage Mutant Ninja Turtles (TMT)</t>
        </is>
      </c>
      <c r="I2377" s="13" t="inlineStr">
        <is>
          <t>Não</t>
        </is>
      </c>
      <c r="J2377" s="13" t="n">
        <v>2026</v>
      </c>
      <c r="K2377" s="10" t="n">
        <v>46084</v>
      </c>
      <c r="L2377" s="13" t="n">
        <v>1</v>
      </c>
      <c r="M2377" s="8">
        <f>L2377*G2377</f>
        <v/>
      </c>
      <c r="P2377" s="9" t="n"/>
    </row>
    <row r="2378">
      <c r="A2378" s="13" t="inlineStr">
        <is>
          <t>Pyroclasm / Piroclasma</t>
        </is>
      </c>
      <c r="B2378" s="13" t="inlineStr">
        <is>
          <t>Sorcery / Feitiço</t>
        </is>
      </c>
      <c r="C2378" s="13" t="inlineStr">
        <is>
          <t>Uncommon / Incomum</t>
        </is>
      </c>
      <c r="D2378" s="13" t="inlineStr">
        <is>
          <t>Pyroclasm deals 2 damage to each creature. / Piroclasma causa 2 de dano a cada criatura.</t>
        </is>
      </c>
      <c r="E2378" s="13" t="inlineStr">
        <is>
          <t>{1}{R}</t>
        </is>
      </c>
      <c r="F2378" s="13" t="inlineStr">
        <is>
          <t>Vermelho</t>
        </is>
      </c>
      <c r="G2378" s="8" t="n">
        <v>0.71</v>
      </c>
      <c r="H2378" s="13" t="inlineStr">
        <is>
          <t>Masters 25 (A25)</t>
        </is>
      </c>
      <c r="I2378" s="13" t="inlineStr">
        <is>
          <t>Não</t>
        </is>
      </c>
      <c r="J2378" s="13" t="n">
        <v>2018</v>
      </c>
      <c r="L2378" s="13" t="n">
        <v>1</v>
      </c>
      <c r="M2378" s="8">
        <f>L2378*G2378</f>
        <v/>
      </c>
      <c r="P2378" s="9" t="n"/>
    </row>
    <row r="2379">
      <c r="A2379" s="13" t="inlineStr">
        <is>
          <t>Pyrotechnics / Pirotécnica</t>
        </is>
      </c>
      <c r="B2379" s="13" t="inlineStr">
        <is>
          <t>Sorcery / Feitiço</t>
        </is>
      </c>
      <c r="C2379" s="13" t="inlineStr">
        <is>
          <t>Common / Comum</t>
        </is>
      </c>
      <c r="D2379" s="13" t="inlineStr">
        <is>
          <t>Pyrotechnics deals 4 damage divided as you choose among any number of targets. / Pirotécnica causa 4 pontos de dano, distribuídos a sua escolha entre um número qualquer de criaturas e/ou jogadores alvo.</t>
        </is>
      </c>
      <c r="E2379" s="13" t="inlineStr">
        <is>
          <t>{4}{R}</t>
        </is>
      </c>
      <c r="F2379" s="13" t="inlineStr">
        <is>
          <t>Vermelho</t>
        </is>
      </c>
      <c r="G2379" s="8" t="n">
        <v>0.1</v>
      </c>
      <c r="H2379" s="13" t="inlineStr">
        <is>
          <t>Quarta Edição</t>
        </is>
      </c>
      <c r="I2379" s="13" t="inlineStr">
        <is>
          <t>Não</t>
        </is>
      </c>
      <c r="J2379" s="13" t="n">
        <v>1995</v>
      </c>
      <c r="K2379" s="13" t="n">
        <v>0.1</v>
      </c>
      <c r="L2379" s="13" t="n">
        <v>1</v>
      </c>
      <c r="M2379" s="8">
        <f>L2379*G2379</f>
        <v/>
      </c>
      <c r="P2379" s="9" t="n"/>
    </row>
    <row r="2380">
      <c r="A2380" s="13" t="inlineStr">
        <is>
          <t>Pyrrhic Strike</t>
        </is>
      </c>
      <c r="B2380" s="13" t="inlineStr">
        <is>
          <t>Instant</t>
        </is>
      </c>
      <c r="C2380" s="13" t="inlineStr">
        <is>
          <t>Uncommon / Incomum</t>
        </is>
      </c>
      <c r="D2380" s="13"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2380" s="13" t="inlineStr">
        <is>
          <t>{2}{W}</t>
        </is>
      </c>
      <c r="F2380" s="13" t="inlineStr">
        <is>
          <t>Branco</t>
        </is>
      </c>
      <c r="G2380" s="8" t="n">
        <v>0.19</v>
      </c>
      <c r="H2380" s="13" t="inlineStr">
        <is>
          <t>Lorwyn Eclipsed (ECL)</t>
        </is>
      </c>
      <c r="I2380" s="13" t="inlineStr">
        <is>
          <t>Não</t>
        </is>
      </c>
      <c r="J2380" s="13" t="n">
        <v>2026</v>
      </c>
      <c r="L2380" s="13" t="n">
        <v>1</v>
      </c>
      <c r="M2380" s="8">
        <f>L2380*G2380</f>
        <v/>
      </c>
      <c r="P2380" s="9" t="n"/>
    </row>
    <row r="2381">
      <c r="A2381" s="13" t="inlineStr">
        <is>
          <t>Qiqirn Merchant / Mercador Qiqirn</t>
        </is>
      </c>
      <c r="B2381" s="13" t="inlineStr">
        <is>
          <t>Criatura — Besta Cidadão</t>
        </is>
      </c>
      <c r="C2381" s="13" t="inlineStr">
        <is>
          <t>Comum</t>
        </is>
      </c>
      <c r="D2381" s="13" t="inlineStr">
        <is>
          <t>{1}, {T}: Compre um card e depois descarte um card. {7}, {T}, Sacrifique esta criatura: Compre três cards. Esta habilidade custa {1} a menos para ser ativada para cada Cidade que você controla.</t>
        </is>
      </c>
      <c r="E2381" s="13" t="inlineStr">
        <is>
          <t>2{U}</t>
        </is>
      </c>
      <c r="F2381" s="13" t="inlineStr">
        <is>
          <t>Azul</t>
        </is>
      </c>
      <c r="G2381" s="8" t="n">
        <v>0.05</v>
      </c>
      <c r="H2381" s="13" t="inlineStr">
        <is>
          <t>Final Fantasy</t>
        </is>
      </c>
      <c r="I2381" s="13" t="inlineStr">
        <is>
          <t>Não</t>
        </is>
      </c>
      <c r="J2381" s="13" t="n">
        <v>2025</v>
      </c>
      <c r="K2381" s="10" t="n">
        <v>46113</v>
      </c>
      <c r="L2381" s="13" t="n">
        <v>7</v>
      </c>
      <c r="M2381" s="8">
        <f>L2381*G2381</f>
        <v/>
      </c>
      <c r="P2381" s="9" t="n"/>
    </row>
    <row r="2382">
      <c r="A2382" s="13" t="inlineStr">
        <is>
          <t>Quaketusk Boar</t>
        </is>
      </c>
      <c r="B2382" s="13" t="inlineStr">
        <is>
          <t>Creature — Elemental Boar</t>
        </is>
      </c>
      <c r="C2382" s="13" t="inlineStr">
        <is>
          <t>Uncommon / Incomum</t>
        </is>
      </c>
      <c r="D2382" s="13" t="inlineStr">
        <is>
          <t>Reach, trample, haste</t>
        </is>
      </c>
      <c r="E2382" s="13" t="inlineStr">
        <is>
          <t>{3}{R}{R}</t>
        </is>
      </c>
      <c r="F2382" s="13" t="inlineStr">
        <is>
          <t>Vermelho</t>
        </is>
      </c>
      <c r="G2382" s="8" t="n">
        <v>0.11</v>
      </c>
      <c r="H2382" s="13" t="inlineStr">
        <is>
          <t>Bloomburrow (BLB)</t>
        </is>
      </c>
      <c r="I2382" s="13" t="inlineStr">
        <is>
          <t>Não</t>
        </is>
      </c>
      <c r="J2382" s="13" t="n">
        <v>2024</v>
      </c>
      <c r="K2382" s="10" t="n">
        <v>46147</v>
      </c>
      <c r="L2382" s="13" t="n">
        <v>1</v>
      </c>
      <c r="M2382" s="8">
        <f>L2382*G2382</f>
        <v/>
      </c>
      <c r="P2382" s="9" t="n"/>
    </row>
    <row r="2383">
      <c r="A2383" s="13" t="inlineStr">
        <is>
          <t>Quandrix Charm / Amuleto de Quandrix</t>
        </is>
      </c>
      <c r="B2383" s="13" t="inlineStr">
        <is>
          <t>Mágica Instantânea</t>
        </is>
      </c>
      <c r="C2383" s="13" t="inlineStr">
        <is>
          <t>Incomum</t>
        </is>
      </c>
      <c r="D2383" s="13" t="inlineStr">
        <is>
          <t>Escolha um — • Anule a mágica alvo, a menos que seu controlador pague {2}. • Destrua o encantamento alvo. • A criatura alvo tem poder e resistência básicos 5/5 até o final do turno.</t>
        </is>
      </c>
      <c r="E2383" s="13" t="inlineStr">
        <is>
          <t>{G}{U}</t>
        </is>
      </c>
      <c r="F2383" s="13" t="inlineStr">
        <is>
          <t>Multicolorido</t>
        </is>
      </c>
      <c r="G2383" s="8" t="n">
        <v>0.37</v>
      </c>
      <c r="H2383" s="13" t="inlineStr">
        <is>
          <t>Strixhaven: School of Mages (SOS)</t>
        </is>
      </c>
      <c r="I2383" s="13" t="inlineStr">
        <is>
          <t>Não</t>
        </is>
      </c>
      <c r="J2383" s="13" t="n">
        <v>2026</v>
      </c>
      <c r="L2383" s="13" t="n">
        <v>1</v>
      </c>
      <c r="M2383" s="8">
        <f>L2383*G2383</f>
        <v/>
      </c>
      <c r="P2383" s="9" t="n"/>
    </row>
    <row r="2384">
      <c r="A2384" s="13" t="inlineStr">
        <is>
          <t>Quarry Colossus / Colosso da Pedreira</t>
        </is>
      </c>
      <c r="B2384" s="13" t="inlineStr">
        <is>
          <t>Creature — Giant / Criatura — Gigante</t>
        </is>
      </c>
      <c r="C2384" s="13" t="inlineStr">
        <is>
          <t>Uncommon / Incomum</t>
        </is>
      </c>
      <c r="D2384" s="13"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384" s="13" t="inlineStr">
        <is>
          <t>{5}{W}{W}</t>
        </is>
      </c>
      <c r="F2384" s="13" t="inlineStr">
        <is>
          <t>Branco</t>
        </is>
      </c>
      <c r="G2384" s="8" t="n">
        <v>0.05</v>
      </c>
      <c r="H2384" s="13" t="inlineStr">
        <is>
          <t>Journey into Nyx (JOU)</t>
        </is>
      </c>
      <c r="I2384" s="13" t="inlineStr">
        <is>
          <t>Não</t>
        </is>
      </c>
      <c r="J2384" s="13" t="n">
        <v>2014</v>
      </c>
      <c r="K2384" s="10" t="n">
        <v>46178</v>
      </c>
      <c r="L2384" s="13" t="n">
        <v>1</v>
      </c>
      <c r="M2384" s="8">
        <f>L2384*G2384</f>
        <v/>
      </c>
      <c r="P2384" s="9" t="n"/>
    </row>
    <row r="2385">
      <c r="A2385" s="13" t="inlineStr">
        <is>
          <t>Queen Brahne / Rainha Brahne</t>
        </is>
      </c>
      <c r="B2385" s="13" t="inlineStr">
        <is>
          <t>Criatura Lendária — Humano Nobre</t>
        </is>
      </c>
      <c r="C2385" s="13" t="inlineStr">
        <is>
          <t>Incomum</t>
        </is>
      </c>
      <c r="D2385" s="13"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2385" s="13" t="inlineStr">
        <is>
          <t>2R</t>
        </is>
      </c>
      <c r="F2385" s="13" t="inlineStr">
        <is>
          <t>Vermelho</t>
        </is>
      </c>
      <c r="G2385" s="8" t="n">
        <v>0.25</v>
      </c>
      <c r="H2385" s="13" t="inlineStr">
        <is>
          <t>Final Fantasy</t>
        </is>
      </c>
      <c r="I2385" s="13" t="inlineStr">
        <is>
          <t>Não</t>
        </is>
      </c>
      <c r="J2385" s="13" t="n">
        <v>2025</v>
      </c>
      <c r="K2385" s="10" t="n">
        <v>46024</v>
      </c>
      <c r="L2385" s="13" t="n">
        <v>3</v>
      </c>
      <c r="M2385" s="8">
        <f>L2385*G2385</f>
        <v/>
      </c>
      <c r="P2385" s="9" t="n"/>
    </row>
    <row r="2386">
      <c r="A2386" s="13" t="inlineStr">
        <is>
          <t>Queen's Agent / Agente da Rainha</t>
        </is>
      </c>
      <c r="B2386" s="13" t="inlineStr">
        <is>
          <t>Creature — Vampire Scout / Criatura — Vampiro Batedor</t>
        </is>
      </c>
      <c r="C2386" s="13" t="inlineStr">
        <is>
          <t>Common / Comum</t>
        </is>
      </c>
      <c r="D2386" s="13"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2386" s="13" t="inlineStr">
        <is>
          <t>{5}{B}</t>
        </is>
      </c>
      <c r="F2386" s="13" t="inlineStr">
        <is>
          <t>Preto</t>
        </is>
      </c>
      <c r="G2386" s="8" t="n">
        <v>0.03</v>
      </c>
      <c r="H2386" s="13" t="inlineStr">
        <is>
          <t>Ixalan (XLN)</t>
        </is>
      </c>
      <c r="I2386" s="13" t="inlineStr">
        <is>
          <t>Não</t>
        </is>
      </c>
      <c r="J2386" s="13" t="n">
        <v>2017</v>
      </c>
      <c r="K2386" s="10" t="n">
        <v>46084</v>
      </c>
      <c r="L2386" s="13" t="n">
        <v>1</v>
      </c>
      <c r="M2386" s="8">
        <f>L2386*G2386</f>
        <v/>
      </c>
      <c r="P2386" s="9" t="n"/>
    </row>
    <row r="2387">
      <c r="A2387" s="13" t="inlineStr">
        <is>
          <t>Quench / Arrefecer</t>
        </is>
      </c>
      <c r="B2387" s="13" t="inlineStr">
        <is>
          <t>Instant / Mágica Instantânea</t>
        </is>
      </c>
      <c r="C2387" s="13" t="inlineStr">
        <is>
          <t>Common / Comum</t>
        </is>
      </c>
      <c r="D2387" s="13" t="inlineStr">
        <is>
          <t>Counter target spell unless its controller pays {2}. / Anule a mágica alvo, a menos que seu controlador pague {2}.</t>
        </is>
      </c>
      <c r="E2387" s="13" t="inlineStr">
        <is>
          <t>{1}{U}</t>
        </is>
      </c>
      <c r="F2387" s="13" t="inlineStr">
        <is>
          <t>Azul</t>
        </is>
      </c>
      <c r="G2387" s="8" t="n">
        <v>0.04</v>
      </c>
      <c r="H2387" s="13" t="inlineStr">
        <is>
          <t>Ravnica Allegiance (RNA)</t>
        </is>
      </c>
      <c r="I2387" s="13" t="inlineStr">
        <is>
          <t>Não</t>
        </is>
      </c>
      <c r="J2387" s="13" t="n">
        <v>2019</v>
      </c>
      <c r="L2387" s="13" t="n">
        <v>2</v>
      </c>
      <c r="M2387" s="8">
        <f>L2387*G2387</f>
        <v/>
      </c>
      <c r="P2387" s="9" t="n"/>
    </row>
    <row r="2388">
      <c r="A2388" s="13" t="inlineStr">
        <is>
          <t>Quench / Arrefecer</t>
        </is>
      </c>
      <c r="B2388" s="13" t="inlineStr">
        <is>
          <t>Instant / Mágica Instantânea</t>
        </is>
      </c>
      <c r="C2388" s="13" t="inlineStr">
        <is>
          <t>Common / Comum</t>
        </is>
      </c>
      <c r="D2388" s="13" t="inlineStr">
        <is>
          <t>Counter target spell unless its controller pays {2}. / Anule a mágica alvo, a menos que seu controlador pague {2}.</t>
        </is>
      </c>
      <c r="E2388" s="13" t="inlineStr">
        <is>
          <t>{1}{U}</t>
        </is>
      </c>
      <c r="F2388" s="13" t="inlineStr">
        <is>
          <t>Azul</t>
        </is>
      </c>
      <c r="G2388" s="8" t="n">
        <v>0.04</v>
      </c>
      <c r="H2388" s="13" t="inlineStr">
        <is>
          <t>Ravnica Allegiance (RNA)</t>
        </is>
      </c>
      <c r="I2388" s="13" t="inlineStr">
        <is>
          <t>Não</t>
        </is>
      </c>
      <c r="J2388" s="13" t="n">
        <v>2019</v>
      </c>
      <c r="L2388" s="13" t="n">
        <v>1</v>
      </c>
      <c r="M2388" s="8">
        <f>L2388*G2388</f>
        <v/>
      </c>
      <c r="N2388" s="13" t="inlineStr">
        <is>
          <t>Bulk Shopee</t>
        </is>
      </c>
      <c r="P2388" s="9" t="n"/>
    </row>
    <row r="2389">
      <c r="A2389" s="13" t="inlineStr">
        <is>
          <t>Quick Study / Estudo Rápido</t>
        </is>
      </c>
      <c r="B2389" s="13" t="inlineStr">
        <is>
          <t>Instant / Instantânea</t>
        </is>
      </c>
      <c r="C2389" s="13" t="inlineStr">
        <is>
          <t>Common / Comum</t>
        </is>
      </c>
      <c r="D2389" s="13" t="inlineStr">
        <is>
          <t>Draw two cards. / Compre dois cards.</t>
        </is>
      </c>
      <c r="E2389" s="13" t="inlineStr">
        <is>
          <t>{2}{U}</t>
        </is>
      </c>
      <c r="F2389" s="13" t="inlineStr">
        <is>
          <t>Azul</t>
        </is>
      </c>
      <c r="G2389" s="8" t="n">
        <v>0.06</v>
      </c>
      <c r="H2389" s="13" t="inlineStr">
        <is>
          <t>Shadows of Sothia (SOS)</t>
        </is>
      </c>
      <c r="I2389" s="13" t="inlineStr">
        <is>
          <t>No</t>
        </is>
      </c>
      <c r="J2389" s="13" t="n">
        <v>2026</v>
      </c>
      <c r="L2389" s="13" t="n">
        <v>1</v>
      </c>
      <c r="M2389" s="8">
        <f>L2389*G2389</f>
        <v/>
      </c>
      <c r="P2389" s="9" t="n"/>
    </row>
    <row r="2390">
      <c r="A2390" s="13" t="inlineStr">
        <is>
          <t>Quick-Draw Katana</t>
        </is>
      </c>
      <c r="B2390" s="13" t="inlineStr">
        <is>
          <t>Artifact — Equipment</t>
        </is>
      </c>
      <c r="C2390" s="13" t="inlineStr">
        <is>
          <t>Common / Comum</t>
        </is>
      </c>
      <c r="D2390" s="13" t="inlineStr">
        <is>
          <t>During your turn, equipped creature gets +2/+0 and has first strike. (It deals combat damage before creatures without first strike.) Equip {2} ({2}: Attach to target creature you control. Equip only as a sorcery.)</t>
        </is>
      </c>
      <c r="E2390" s="13" t="inlineStr">
        <is>
          <t>{2}</t>
        </is>
      </c>
      <c r="F2390" s="13" t="inlineStr">
        <is>
          <t>Incolor</t>
        </is>
      </c>
      <c r="G2390" s="8" t="n">
        <v>0.03</v>
      </c>
      <c r="H2390" s="13" t="inlineStr">
        <is>
          <t>Foundations (FDN)</t>
        </is>
      </c>
      <c r="I2390" s="13" t="inlineStr">
        <is>
          <t>Não</t>
        </is>
      </c>
      <c r="J2390" s="13" t="n">
        <v>2024</v>
      </c>
      <c r="L2390" s="13" t="n">
        <v>3</v>
      </c>
      <c r="M2390" s="8">
        <f>L2390*G2390</f>
        <v/>
      </c>
      <c r="P2390" s="9" t="n"/>
    </row>
    <row r="2391">
      <c r="A2391" s="13" t="inlineStr">
        <is>
          <t>Quick-Draw Katana / Katana de Saque Rápido</t>
        </is>
      </c>
      <c r="B2391" s="13" t="inlineStr">
        <is>
          <t>Artifact — Equipment / Artefato — Equipamento</t>
        </is>
      </c>
      <c r="C2391" s="13" t="inlineStr">
        <is>
          <t>Common / Comum</t>
        </is>
      </c>
      <c r="D2391" s="13"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2391" s="13" t="inlineStr">
        <is>
          <t>{2}</t>
        </is>
      </c>
      <c r="F2391" s="13" t="inlineStr">
        <is>
          <t>Incolor</t>
        </is>
      </c>
      <c r="G2391" s="8" t="n">
        <v>0.03</v>
      </c>
      <c r="H2391" s="13" t="inlineStr">
        <is>
          <t>Foundations (FDN)</t>
        </is>
      </c>
      <c r="I2391" s="13" t="inlineStr">
        <is>
          <t>No</t>
        </is>
      </c>
      <c r="J2391" s="13" t="n">
        <v>2024</v>
      </c>
      <c r="L2391" s="13" t="n">
        <v>1</v>
      </c>
      <c r="M2391" s="8">
        <f>L2391*G2391</f>
        <v/>
      </c>
      <c r="P2391" s="9" t="n"/>
    </row>
    <row r="2392">
      <c r="A2392" s="13" t="inlineStr">
        <is>
          <t>Quina, Qu Gourmet / Quina, Gourmet Qu</t>
        </is>
      </c>
      <c r="B2392" s="13" t="inlineStr">
        <is>
          <t>Criatura Lendária — Qu</t>
        </is>
      </c>
      <c r="C2392" s="13" t="inlineStr">
        <is>
          <t>Incomum</t>
        </is>
      </c>
      <c r="D2392" s="13" t="inlineStr">
        <is>
          <t>Se uma ou mais fichas seriam criadas sob o seu controle, em vez disso, aquelas fichas mais uma ficha de criatura Sapo verde 1/1 serão criadas. {2}, Sacrifique um Sapo: Coloque um marcador +1/+1 em Quina.</t>
        </is>
      </c>
      <c r="E2392" s="13" t="inlineStr">
        <is>
          <t>2{G}</t>
        </is>
      </c>
      <c r="F2392" s="13" t="inlineStr">
        <is>
          <t>Verde</t>
        </is>
      </c>
      <c r="G2392" s="8" t="n">
        <v>0.19</v>
      </c>
      <c r="H2392" s="13" t="inlineStr">
        <is>
          <t>Final Fantasy</t>
        </is>
      </c>
      <c r="I2392" s="13" t="inlineStr">
        <is>
          <t>Não</t>
        </is>
      </c>
      <c r="J2392" s="13" t="n">
        <v>2025</v>
      </c>
      <c r="K2392" s="10" t="n">
        <v>46083</v>
      </c>
      <c r="L2392" s="13" t="n">
        <v>1</v>
      </c>
      <c r="M2392" s="8">
        <f>L2392*G2392</f>
        <v/>
      </c>
      <c r="P2392" s="9" t="n"/>
    </row>
    <row r="2393">
      <c r="A2393" s="13" t="inlineStr">
        <is>
          <t>Quintessential Katana</t>
        </is>
      </c>
      <c r="B2393" s="13" t="inlineStr">
        <is>
          <t>Artifact — Equipment</t>
        </is>
      </c>
      <c r="C2393" s="13" t="inlineStr">
        <is>
          <t>Uncommon / Incomum</t>
        </is>
      </c>
      <c r="D2393" s="13" t="inlineStr">
        <is>
          <t>Equipped creature gets +1/+1 and has "Whenever this creature deals combat damage, untap it and you gain 2 life." Whenever a Ninja you control enters, you may attach this Equipment to it. Equip {2} ({2}: Attach to target creature you control. Equip only as a sorcery.)</t>
        </is>
      </c>
      <c r="E2393" s="13" t="inlineStr">
        <is>
          <t>{W}</t>
        </is>
      </c>
      <c r="F2393" s="13" t="inlineStr">
        <is>
          <t>Branco</t>
        </is>
      </c>
      <c r="G2393" s="8" t="n">
        <v>0.17</v>
      </c>
      <c r="H2393" s="13" t="inlineStr">
        <is>
          <t>Teenage Mutant Ninja Turtles (TMT)</t>
        </is>
      </c>
      <c r="I2393" s="13" t="inlineStr">
        <is>
          <t>Não</t>
        </is>
      </c>
      <c r="J2393" s="13" t="n">
        <v>2026</v>
      </c>
      <c r="L2393" s="13" t="n">
        <v>1</v>
      </c>
      <c r="M2393" s="8">
        <f>L2393*G2393</f>
        <v/>
      </c>
      <c r="P2393" s="9" t="n"/>
    </row>
    <row r="2394">
      <c r="A2394" s="13" t="inlineStr">
        <is>
          <t>Quistis Trepe / Quistis Trepe</t>
        </is>
      </c>
      <c r="B2394" s="13" t="inlineStr">
        <is>
          <t>Criatura Lendária — Humano Mago</t>
        </is>
      </c>
      <c r="C2394" s="13" t="inlineStr">
        <is>
          <t>Incomum</t>
        </is>
      </c>
      <c r="D2394" s="13"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2394" s="13" t="inlineStr">
        <is>
          <t>2{U}</t>
        </is>
      </c>
      <c r="F2394" s="13" t="inlineStr">
        <is>
          <t>Azul</t>
        </is>
      </c>
      <c r="G2394" s="8" t="n">
        <v>1.13</v>
      </c>
      <c r="H2394" s="13" t="inlineStr">
        <is>
          <t>Final Fantasy</t>
        </is>
      </c>
      <c r="I2394" s="13" t="inlineStr">
        <is>
          <t>Sim</t>
        </is>
      </c>
      <c r="J2394" s="13" t="n">
        <v>2025</v>
      </c>
      <c r="K2394" s="10" t="n">
        <v>46055</v>
      </c>
      <c r="L2394" s="13" t="n">
        <v>1</v>
      </c>
      <c r="M2394" s="8">
        <f>L2394*G2394</f>
        <v/>
      </c>
      <c r="P2394" s="9" t="n"/>
    </row>
    <row r="2395">
      <c r="A2395" s="13" t="inlineStr">
        <is>
          <t>Quistis Trepe / Quistis Trepe</t>
        </is>
      </c>
      <c r="B2395" s="13" t="inlineStr">
        <is>
          <t>Criatura Lendária — Humano Mago</t>
        </is>
      </c>
      <c r="C2395" s="13" t="inlineStr">
        <is>
          <t>Incomum</t>
        </is>
      </c>
      <c r="D2395" s="13"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2395" s="13" t="inlineStr">
        <is>
          <t>2{U}</t>
        </is>
      </c>
      <c r="F2395" s="13" t="inlineStr">
        <is>
          <t>Azul</t>
        </is>
      </c>
      <c r="G2395" s="8" t="n">
        <v>0.19</v>
      </c>
      <c r="H2395" s="13" t="inlineStr">
        <is>
          <t>Final Fantasy</t>
        </is>
      </c>
      <c r="I2395" s="13" t="inlineStr">
        <is>
          <t>Não</t>
        </is>
      </c>
      <c r="J2395" s="13" t="n">
        <v>2025</v>
      </c>
      <c r="K2395" s="10" t="n">
        <v>46055</v>
      </c>
      <c r="L2395" s="13" t="n">
        <v>1</v>
      </c>
      <c r="M2395" s="8">
        <f>L2395*G2395</f>
        <v/>
      </c>
      <c r="P2395" s="9" t="n"/>
    </row>
    <row r="2396">
      <c r="A2396" s="13" t="inlineStr">
        <is>
          <t>Qutrub Forayer</t>
        </is>
      </c>
      <c r="B2396" s="13" t="inlineStr">
        <is>
          <t>Creature — Zombie Horror</t>
        </is>
      </c>
      <c r="C2396" s="13" t="inlineStr">
        <is>
          <t>Comum</t>
        </is>
      </c>
      <c r="D2396" s="13" t="inlineStr">
        <is>
          <t>When this creature enters, choose one — • Destroy target creature that was dealt damage this turn. • Exile up to two target cards from a single graveyard.</t>
        </is>
      </c>
      <c r="E2396" s="13" t="inlineStr">
        <is>
          <t>2B</t>
        </is>
      </c>
      <c r="F2396" s="13" t="inlineStr">
        <is>
          <t>Preta</t>
        </is>
      </c>
      <c r="G2396" s="8" t="n">
        <v>0.05</v>
      </c>
      <c r="H2396" s="13" t="inlineStr">
        <is>
          <t>Final Fantasy (FFXI)</t>
        </is>
      </c>
      <c r="I2396" s="13" t="inlineStr">
        <is>
          <t>Não</t>
        </is>
      </c>
      <c r="J2396" s="13" t="n">
        <v>2025</v>
      </c>
      <c r="K2396" s="10" t="n">
        <v>46056</v>
      </c>
      <c r="L2396" s="13" t="n">
        <v>13</v>
      </c>
      <c r="M2396" s="8">
        <f>L2396*G2396</f>
        <v/>
      </c>
      <c r="P2396" s="9" t="n"/>
    </row>
    <row r="2397">
      <c r="A2397" s="13" t="inlineStr">
        <is>
          <t>Rabanastre, Royal City / Rabanastre, Cidade Real</t>
        </is>
      </c>
      <c r="B2397" s="13" t="inlineStr">
        <is>
          <t>Terreno — Vila</t>
        </is>
      </c>
      <c r="C2397" s="13" t="inlineStr">
        <is>
          <t>Rara</t>
        </is>
      </c>
      <c r="D2397" s="13" t="inlineStr">
        <is>
          <t>Este terreno entra virado. {T}: Adicione {R} ou {W}.</t>
        </is>
      </c>
      <c r="E2397" s="13" t="inlineStr">
        <is>
          <t>Não encontrado</t>
        </is>
      </c>
      <c r="F2397" s="13" t="inlineStr">
        <is>
          <t>Incolor</t>
        </is>
      </c>
      <c r="G2397" s="8" t="n">
        <v>0.15</v>
      </c>
      <c r="H2397" s="13" t="inlineStr">
        <is>
          <t>Final Fantasy</t>
        </is>
      </c>
      <c r="I2397" s="13" t="inlineStr">
        <is>
          <t>Não</t>
        </is>
      </c>
      <c r="J2397" s="13" t="n">
        <v>2025</v>
      </c>
      <c r="L2397" s="13" t="n">
        <v>3</v>
      </c>
      <c r="M2397" s="8">
        <f>L2397*G2397</f>
        <v/>
      </c>
      <c r="P2397" s="9" t="n"/>
    </row>
    <row r="2398">
      <c r="A2398" s="13" t="inlineStr">
        <is>
          <t>Rabaroo Troop</t>
        </is>
      </c>
      <c r="B2398" s="13" t="inlineStr">
        <is>
          <t>Creature — Rabbit Kangaroo</t>
        </is>
      </c>
      <c r="C2398" s="13" t="inlineStr">
        <is>
          <t>Common / Comum</t>
        </is>
      </c>
      <c r="D2398" s="13" t="inlineStr">
        <is>
          <t>Landfall — Whenever a land you control enters, this creature gains flying until end of turn and you gain 1 life. Plainscycling {2} ({2}, Discard this card: Search your library for a Plains card, reveal it, put it into your hand, then shuffle.)</t>
        </is>
      </c>
      <c r="E2398" s="13" t="inlineStr">
        <is>
          <t>{3}{W}{W}</t>
        </is>
      </c>
      <c r="F2398" s="13" t="inlineStr">
        <is>
          <t>Branco</t>
        </is>
      </c>
      <c r="G2398" s="8" t="n">
        <v>0.03</v>
      </c>
      <c r="H2398" s="13" t="inlineStr">
        <is>
          <t>Avatar: The Last Airbender (TLA)</t>
        </is>
      </c>
      <c r="I2398" s="13" t="inlineStr">
        <is>
          <t>Não</t>
        </is>
      </c>
      <c r="J2398" s="13" t="n">
        <v>2025</v>
      </c>
      <c r="K2398" s="10" t="n">
        <v>46145</v>
      </c>
      <c r="L2398" s="13" t="n">
        <v>3</v>
      </c>
      <c r="M2398" s="8">
        <f>L2398*G2398</f>
        <v/>
      </c>
      <c r="P2398" s="9" t="n"/>
    </row>
    <row r="2399">
      <c r="A2399" s="13" t="inlineStr">
        <is>
          <t>Rabaroo Troop</t>
        </is>
      </c>
      <c r="B2399" s="13" t="inlineStr">
        <is>
          <t>Creature — Rabbit Kangaroo</t>
        </is>
      </c>
      <c r="C2399" s="13" t="inlineStr">
        <is>
          <t>Common / Comum</t>
        </is>
      </c>
      <c r="D2399" s="13" t="inlineStr">
        <is>
          <t>Landfall — Whenever a land you control enters, this creature gains flying until end of turn and you gain 1 life. Plainscycling {2} ({2}, Discard this card: Search your library for a Plains card, reveal it, put it into your hand, then shuffle.)</t>
        </is>
      </c>
      <c r="E2399" s="13" t="inlineStr">
        <is>
          <t>{3}{W}{W}</t>
        </is>
      </c>
      <c r="F2399" s="13" t="inlineStr">
        <is>
          <t>Branco</t>
        </is>
      </c>
      <c r="G2399" s="8" t="n">
        <v>0.04</v>
      </c>
      <c r="H2399" s="13" t="inlineStr">
        <is>
          <t>Avatar: The Last Airbender (TLA)</t>
        </is>
      </c>
      <c r="I2399" s="13" t="inlineStr">
        <is>
          <t>Não</t>
        </is>
      </c>
      <c r="J2399" s="13" t="n">
        <v>2025</v>
      </c>
      <c r="K2399" s="10" t="n">
        <v>46145</v>
      </c>
      <c r="L2399" s="13" t="n">
        <v>4</v>
      </c>
      <c r="M2399" s="8">
        <f>L2399*G2399</f>
        <v/>
      </c>
      <c r="P2399" s="9" t="n"/>
    </row>
    <row r="2400">
      <c r="A2400" s="13" t="inlineStr">
        <is>
          <t>Radha, Coalition Warlord / Radha, Senhora da Guerra da Coalizão</t>
        </is>
      </c>
      <c r="B2400" s="13" t="inlineStr">
        <is>
          <t>Legendary Creature — Elf Warrior / Criatura Lendária — Elfo Guerreiro</t>
        </is>
      </c>
      <c r="C2400" s="13" t="inlineStr">
        <is>
          <t>Uncommon / Incomum</t>
        </is>
      </c>
      <c r="D2400" s="13"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2400" s="13" t="inlineStr">
        <is>
          <t>{2}{R}{G}</t>
        </is>
      </c>
      <c r="F2400" s="13" t="inlineStr">
        <is>
          <t>Verde, Vermelho</t>
        </is>
      </c>
      <c r="G2400" s="8" t="n">
        <v>0.1</v>
      </c>
      <c r="H2400" s="13" t="inlineStr">
        <is>
          <t>Multiverse Legends (MUL)</t>
        </is>
      </c>
      <c r="I2400" s="13" t="inlineStr">
        <is>
          <t>Não</t>
        </is>
      </c>
      <c r="J2400" s="13" t="n">
        <v>2023</v>
      </c>
      <c r="K2400" s="10" t="n">
        <v>46084</v>
      </c>
      <c r="L2400" s="13" t="n">
        <v>1</v>
      </c>
      <c r="M2400" s="8">
        <f>L2400*G2400</f>
        <v/>
      </c>
      <c r="P2400" s="9" t="n"/>
    </row>
    <row r="2401">
      <c r="A2401" s="13" t="inlineStr">
        <is>
          <t>Radiant Fountain / Fonte Radiante</t>
        </is>
      </c>
      <c r="B2401" s="13" t="inlineStr">
        <is>
          <t>Land / Terreno</t>
        </is>
      </c>
      <c r="C2401" s="13" t="inlineStr">
        <is>
          <t>Common / Comum</t>
        </is>
      </c>
      <c r="D2401" s="13" t="inlineStr">
        <is>
          <t>When this land enters, you gain 2 life. {T}: Add {C}. / Quando Fonte Radiante entra no campo de batalha, você ganha 2 pontos de vida. {T}: Adicione {C}.</t>
        </is>
      </c>
      <c r="F2401" s="13" t="inlineStr">
        <is>
          <t>Incolor</t>
        </is>
      </c>
      <c r="G2401" s="8" t="n">
        <v>0.3</v>
      </c>
      <c r="H2401" s="13" t="inlineStr">
        <is>
          <t>Iconic Masters (IMA)</t>
        </is>
      </c>
      <c r="I2401" s="13" t="inlineStr">
        <is>
          <t>Não</t>
        </is>
      </c>
      <c r="J2401" s="13" t="n">
        <v>2017</v>
      </c>
      <c r="L2401" s="13" t="n">
        <v>2</v>
      </c>
      <c r="M2401" s="8">
        <f>L2401*G2401</f>
        <v/>
      </c>
      <c r="P2401" s="9" t="n"/>
    </row>
    <row r="2402">
      <c r="A2402" s="13" t="inlineStr">
        <is>
          <t>Radiant Strike / Golpe Radiante</t>
        </is>
      </c>
      <c r="B2402" s="13" t="inlineStr">
        <is>
          <t>Mágica Instantânea</t>
        </is>
      </c>
      <c r="C2402" s="13" t="inlineStr">
        <is>
          <t>Comum</t>
        </is>
      </c>
      <c r="D2402" s="13" t="inlineStr">
        <is>
          <t>Destrua o artefato ou criatura virada alvo. Você ganha 3 pontos de vida.</t>
        </is>
      </c>
      <c r="E2402" s="13" t="inlineStr">
        <is>
          <t>3{W}</t>
        </is>
      </c>
      <c r="F2402" s="13" t="inlineStr">
        <is>
          <t>Branco</t>
        </is>
      </c>
      <c r="G2402" s="8" t="n">
        <v>0.05</v>
      </c>
      <c r="H2402" s="13" t="inlineStr">
        <is>
          <t>Edge of Eternity</t>
        </is>
      </c>
      <c r="I2402" s="13" t="inlineStr">
        <is>
          <t>Não</t>
        </is>
      </c>
      <c r="J2402" s="13" t="n">
        <v>2025</v>
      </c>
      <c r="L2402" s="13" t="n">
        <v>1</v>
      </c>
      <c r="M2402" s="8">
        <f>L2402*G2402</f>
        <v/>
      </c>
      <c r="P2402" s="9" t="n"/>
    </row>
    <row r="2403">
      <c r="A2403" s="13" t="inlineStr">
        <is>
          <t>Radical Idea / Ideia Radical</t>
        </is>
      </c>
      <c r="B2403" s="13" t="inlineStr">
        <is>
          <t>Instant / Mágica Instantânea</t>
        </is>
      </c>
      <c r="C2403" s="13" t="inlineStr">
        <is>
          <t>Common / Comum</t>
        </is>
      </c>
      <c r="D2403" s="13"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2403" s="13" t="inlineStr">
        <is>
          <t>{1}{U}</t>
        </is>
      </c>
      <c r="F2403" s="13" t="inlineStr">
        <is>
          <t>Azul</t>
        </is>
      </c>
      <c r="G2403" s="8" t="n">
        <v>0.04</v>
      </c>
      <c r="H2403" s="13" t="inlineStr">
        <is>
          <t>Guilds of Ravnica (GRN)</t>
        </is>
      </c>
      <c r="I2403" s="13" t="inlineStr">
        <is>
          <t>Não</t>
        </is>
      </c>
      <c r="J2403" s="13" t="n">
        <v>2018</v>
      </c>
      <c r="L2403" s="13" t="n">
        <v>4</v>
      </c>
      <c r="M2403" s="8">
        <f>L2403*G2403</f>
        <v/>
      </c>
      <c r="P2403" s="9" t="n"/>
    </row>
    <row r="2404">
      <c r="A2404" s="13" t="inlineStr">
        <is>
          <t>Raft Security Officer / Oficial de Segurança da Balsa</t>
        </is>
      </c>
      <c r="B2404" s="13" t="inlineStr">
        <is>
          <t>Criatura — Humano Soldado</t>
        </is>
      </c>
      <c r="C2404" s="13" t="inlineStr">
        <is>
          <t>Comum</t>
        </is>
      </c>
      <c r="D2404" s="13" t="inlineStr">
        <is>
          <t>{2}, {T}: Vire a criatura alvo. Esta habilidade custa {1} a menos para ser ativada se tiver como alvo uma criatura com poder igual ou inferior a 3.</t>
        </is>
      </c>
      <c r="E2404" s="13" t="inlineStr">
        <is>
          <t>1{W}</t>
        </is>
      </c>
      <c r="F2404" s="13" t="inlineStr">
        <is>
          <t>Branco</t>
        </is>
      </c>
      <c r="G2404" s="8" t="n">
        <v>0.13</v>
      </c>
      <c r="H2404" s="13" t="inlineStr">
        <is>
          <t>Marvel</t>
        </is>
      </c>
      <c r="I2404" s="13" t="inlineStr">
        <is>
          <t>Não</t>
        </is>
      </c>
      <c r="J2404" s="13" t="n">
        <v>2026</v>
      </c>
      <c r="K2404" s="10" t="n">
        <v>46082</v>
      </c>
      <c r="L2404" s="13" t="n">
        <v>1</v>
      </c>
      <c r="M2404" s="8">
        <f>L2404*G2404</f>
        <v/>
      </c>
      <c r="P2404" s="9" t="n"/>
    </row>
    <row r="2405">
      <c r="A2405" s="13" t="inlineStr">
        <is>
          <t>Raft Security Officer / Oficial de Segurança da Balsa</t>
        </is>
      </c>
      <c r="B2405" s="13" t="inlineStr">
        <is>
          <t>Criatura — Humano Soldado</t>
        </is>
      </c>
      <c r="C2405" s="13" t="inlineStr">
        <is>
          <t>Comum</t>
        </is>
      </c>
      <c r="D2405" s="13" t="inlineStr">
        <is>
          <t>{2}, {T}: Vire a criatura alvo. Esta habilidade custa {1} a menos para ser ativada se tiver como alvo uma criatura com poder igual ou inferior a 3.</t>
        </is>
      </c>
      <c r="E2405" s="13" t="inlineStr">
        <is>
          <t>1{W}</t>
        </is>
      </c>
      <c r="F2405" s="13" t="inlineStr">
        <is>
          <t>Branco</t>
        </is>
      </c>
      <c r="G2405" s="8" t="n">
        <v>0.11</v>
      </c>
      <c r="H2405" s="13" t="inlineStr">
        <is>
          <t>Marvel</t>
        </is>
      </c>
      <c r="I2405" s="13" t="inlineStr">
        <is>
          <t>Não</t>
        </is>
      </c>
      <c r="J2405" s="13" t="n">
        <v>2026</v>
      </c>
      <c r="K2405" s="10" t="n">
        <v>46082</v>
      </c>
      <c r="L2405" s="13" t="n">
        <v>2</v>
      </c>
      <c r="M2405" s="8">
        <f>L2405*G2405</f>
        <v/>
      </c>
      <c r="P2405" s="9" t="n"/>
    </row>
    <row r="2406">
      <c r="A2406" s="13" t="inlineStr">
        <is>
          <t>Rag Man / Trapeiro</t>
        </is>
      </c>
      <c r="B2406" s="13" t="inlineStr">
        <is>
          <t>Creature — Human Minion</t>
        </is>
      </c>
      <c r="C2406" s="13" t="inlineStr">
        <is>
          <t>Rare / Rara</t>
        </is>
      </c>
      <c r="D2406" s="13" t="inlineStr">
        <is>
          <t>{B}{B}{B}, {T}: Target opponent reveals their hand and discards a creature card at random. Activate only during your turn.</t>
        </is>
      </c>
      <c r="E2406" s="13" t="inlineStr">
        <is>
          <t>{2}{B}{B}</t>
        </is>
      </c>
      <c r="F2406" s="13" t="inlineStr">
        <is>
          <t>Preto</t>
        </is>
      </c>
      <c r="G2406" s="8" t="n">
        <v>0.8</v>
      </c>
      <c r="H2406" s="13" t="inlineStr">
        <is>
          <t>Fourth Edition (4ED)</t>
        </is>
      </c>
      <c r="I2406" s="13" t="inlineStr">
        <is>
          <t>Não</t>
        </is>
      </c>
      <c r="J2406" s="13" t="n">
        <v>1995</v>
      </c>
      <c r="K2406" s="10" t="n">
        <v>46024</v>
      </c>
      <c r="L2406" s="13" t="n">
        <v>1</v>
      </c>
      <c r="M2406" s="8">
        <f>L2406*G2406</f>
        <v/>
      </c>
      <c r="P2406" s="9" t="n"/>
    </row>
    <row r="2407">
      <c r="A2407" s="13" t="inlineStr">
        <is>
          <t>Ragamuffin Raptor</t>
        </is>
      </c>
      <c r="B2407" s="13" t="inlineStr">
        <is>
          <t>Creature — Dinosaur</t>
        </is>
      </c>
      <c r="C2407" s="13" t="inlineStr">
        <is>
          <t>Common / Comum</t>
        </is>
      </c>
      <c r="D2407" s="13" t="inlineStr">
        <is>
          <t>When this creature enters, return up to one target creature or Food card from your graveyard to your hand.</t>
        </is>
      </c>
      <c r="E2407" s="13" t="inlineStr">
        <is>
          <t>{4}{G}</t>
        </is>
      </c>
      <c r="F2407" s="13" t="inlineStr">
        <is>
          <t>Verde</t>
        </is>
      </c>
      <c r="G2407" s="8" t="n">
        <v>0.05</v>
      </c>
      <c r="H2407" s="13" t="inlineStr">
        <is>
          <t>Teenage Mutant Ninja Turtles (TMT)</t>
        </is>
      </c>
      <c r="I2407" s="13" t="inlineStr">
        <is>
          <t>Não</t>
        </is>
      </c>
      <c r="J2407" s="13" t="n">
        <v>2026</v>
      </c>
      <c r="K2407" s="10" t="n">
        <v>46085</v>
      </c>
      <c r="L2407" s="13" t="n">
        <v>5</v>
      </c>
      <c r="M2407" s="8">
        <f>L2407*G2407</f>
        <v/>
      </c>
      <c r="P2407" s="9" t="n"/>
    </row>
    <row r="2408">
      <c r="A2408" s="13" t="inlineStr">
        <is>
          <t>Raging Goblin / Goblin Enfurecido</t>
        </is>
      </c>
      <c r="B2408" s="13" t="inlineStr">
        <is>
          <t>Creature — Goblin Berserker / Criatura — Goblin Amoque</t>
        </is>
      </c>
      <c r="C2408" s="13" t="inlineStr">
        <is>
          <t>Common / Comum</t>
        </is>
      </c>
      <c r="D2408" s="13" t="inlineStr">
        <is>
          <t>Haste (This creature can attack and {T} as soon as it comes under your control.) / Ímpeto (Esta criatura pode atacar e {T} assim que entra sob seu controle.)</t>
        </is>
      </c>
      <c r="E2408" s="13" t="inlineStr">
        <is>
          <t>{R}</t>
        </is>
      </c>
      <c r="F2408" s="13" t="inlineStr">
        <is>
          <t>Vermelho</t>
        </is>
      </c>
      <c r="G2408" s="8" t="n">
        <v>0.08</v>
      </c>
      <c r="H2408" s="13" t="inlineStr">
        <is>
          <t>Oitava Edição</t>
        </is>
      </c>
      <c r="I2408" s="13" t="inlineStr">
        <is>
          <t>Não</t>
        </is>
      </c>
      <c r="J2408" s="13" t="n">
        <v>2003</v>
      </c>
      <c r="K2408" s="10" t="n">
        <v>46023</v>
      </c>
      <c r="L2408" s="13" t="n">
        <v>1</v>
      </c>
      <c r="M2408" s="8">
        <f>L2408*G2408</f>
        <v/>
      </c>
      <c r="P2408" s="9" t="n"/>
    </row>
    <row r="2409">
      <c r="A2409" s="13" t="inlineStr">
        <is>
          <t>Raging Kronch / Kronch Enfurecido</t>
        </is>
      </c>
      <c r="B2409" s="13" t="inlineStr">
        <is>
          <t>Creature — Beast / Criatura — Besta</t>
        </is>
      </c>
      <c r="C2409" s="13" t="inlineStr">
        <is>
          <t>Common / Comum</t>
        </is>
      </c>
      <c r="D2409" s="13" t="inlineStr">
        <is>
          <t>This creature can't attack alone. / Kronch Enfurecido não pode atacar sozinho.</t>
        </is>
      </c>
      <c r="E2409" s="13" t="inlineStr">
        <is>
          <t>{2}{R}</t>
        </is>
      </c>
      <c r="F2409" s="13" t="inlineStr">
        <is>
          <t>Vermelho</t>
        </is>
      </c>
      <c r="G2409" s="8" t="n">
        <v>0.03</v>
      </c>
      <c r="H2409" s="13" t="inlineStr">
        <is>
          <t>War of the Spark (WAR)</t>
        </is>
      </c>
      <c r="I2409" s="13" t="inlineStr">
        <is>
          <t>Não</t>
        </is>
      </c>
      <c r="J2409" s="13" t="n">
        <v>2019</v>
      </c>
      <c r="K2409" s="10" t="n">
        <v>46085</v>
      </c>
      <c r="L2409" s="13" t="n">
        <v>3</v>
      </c>
      <c r="M2409" s="8">
        <f>L2409*G2409</f>
        <v/>
      </c>
      <c r="P2409" s="9" t="n"/>
    </row>
    <row r="2410">
      <c r="A2410" s="13" t="inlineStr">
        <is>
          <t>Rain of Rust / Chuva de Ferrugem</t>
        </is>
      </c>
      <c r="B2410" s="13" t="inlineStr">
        <is>
          <t>Instant / Mágica Instantânea</t>
        </is>
      </c>
      <c r="C2410" s="13" t="inlineStr">
        <is>
          <t>Common / Comum</t>
        </is>
      </c>
      <c r="D2410" s="13" t="inlineStr">
        <is>
          <t>Choose one — • Destroy target artifact. • Destroy target land. Entwine {3}{R} (Choose both if you pay the entwine cost.) / Escolha um Destrói o artefato alvo; ou destrói o terreno alvo. Entrelaçar {3}{R} (Escolha ambos se pagar o custo de entrelaçar.)</t>
        </is>
      </c>
      <c r="E2410" s="13" t="inlineStr">
        <is>
          <t>{3}{R}{R}</t>
        </is>
      </c>
      <c r="F2410" s="13" t="inlineStr">
        <is>
          <t>Vermelho</t>
        </is>
      </c>
      <c r="G2410" s="8" t="n">
        <v>0.04</v>
      </c>
      <c r="H2410" s="13" t="inlineStr">
        <is>
          <t>Fifth Dawn (5DN)</t>
        </is>
      </c>
      <c r="I2410" s="13" t="inlineStr">
        <is>
          <t>Não</t>
        </is>
      </c>
      <c r="J2410" s="13" t="n">
        <v>2004</v>
      </c>
      <c r="L2410" s="13" t="n">
        <v>1</v>
      </c>
      <c r="M2410" s="8">
        <f>L2410*G2410</f>
        <v/>
      </c>
      <c r="N2410" s="13" t="inlineStr">
        <is>
          <t>Bulk Shopee</t>
        </is>
      </c>
      <c r="P2410" s="9" t="n"/>
    </row>
    <row r="2411">
      <c r="A2411" s="13" t="inlineStr">
        <is>
          <t>Raise Dead / Ressuscitar Morto</t>
        </is>
      </c>
      <c r="B2411" s="13" t="inlineStr">
        <is>
          <t>Sorcery / Feitiço</t>
        </is>
      </c>
      <c r="C2411" s="13" t="inlineStr">
        <is>
          <t>Common / Comum</t>
        </is>
      </c>
      <c r="D2411" s="13" t="inlineStr">
        <is>
          <t>Return target creature card from your graveyard to your hand. / Devolva o card de criatura alvo de seu cemitério para sua mão.</t>
        </is>
      </c>
      <c r="E2411" s="13" t="inlineStr">
        <is>
          <t>{B}</t>
        </is>
      </c>
      <c r="F2411" s="13" t="inlineStr">
        <is>
          <t>Preto</t>
        </is>
      </c>
      <c r="G2411" s="8" t="n">
        <v>0.09</v>
      </c>
      <c r="H2411" s="13" t="inlineStr">
        <is>
          <t>Quarta Edição</t>
        </is>
      </c>
      <c r="I2411" s="13" t="inlineStr">
        <is>
          <t>Não</t>
        </is>
      </c>
      <c r="J2411" s="13" t="n">
        <v>1994</v>
      </c>
      <c r="L2411" s="13" t="n">
        <v>5</v>
      </c>
      <c r="M2411" s="8">
        <f>L2411*G2411</f>
        <v/>
      </c>
      <c r="P2411" s="9" t="n"/>
    </row>
    <row r="2412">
      <c r="A2412" s="13" t="inlineStr">
        <is>
          <t>Raise Dead / Ressuscitar Morto</t>
        </is>
      </c>
      <c r="B2412" s="13" t="inlineStr">
        <is>
          <t>Sorcery / Feitiço</t>
        </is>
      </c>
      <c r="C2412" s="13" t="inlineStr">
        <is>
          <t>Common / Comum</t>
        </is>
      </c>
      <c r="D2412" s="13" t="inlineStr">
        <is>
          <t>Return target creature card from your graveyard to your hand. / Devolva o card de criatura alvo de seu cemitério para sua mão.</t>
        </is>
      </c>
      <c r="E2412" s="13" t="inlineStr">
        <is>
          <t>{B}</t>
        </is>
      </c>
      <c r="F2412" s="13" t="inlineStr">
        <is>
          <t>Preto</t>
        </is>
      </c>
      <c r="G2412" s="8" t="n">
        <v>0.35</v>
      </c>
      <c r="H2412" s="13" t="inlineStr">
        <is>
          <t>Quarta Edição (BB)</t>
        </is>
      </c>
      <c r="I2412" s="13" t="inlineStr">
        <is>
          <t>Não</t>
        </is>
      </c>
      <c r="J2412" s="13" t="n">
        <v>1994</v>
      </c>
      <c r="L2412" s="13" t="n">
        <v>4</v>
      </c>
      <c r="M2412" s="8">
        <f>L2412*G2412</f>
        <v/>
      </c>
      <c r="P2412" s="9" t="n"/>
    </row>
    <row r="2413">
      <c r="A2413" s="13" t="inlineStr">
        <is>
          <t>Raise Dead / Ressuscitar Morto</t>
        </is>
      </c>
      <c r="B2413" s="13" t="inlineStr">
        <is>
          <t>Sorcery / Feitiço</t>
        </is>
      </c>
      <c r="C2413" s="13" t="inlineStr">
        <is>
          <t>Common / Comum</t>
        </is>
      </c>
      <c r="D2413" s="13" t="inlineStr">
        <is>
          <t>Return target creature card from your graveyard to your hand. / Devolva o card de criatura alvo de seu cemitério para sua mão.</t>
        </is>
      </c>
      <c r="E2413" s="13" t="inlineStr">
        <is>
          <t>{B}</t>
        </is>
      </c>
      <c r="F2413" s="13" t="inlineStr">
        <is>
          <t>Preto</t>
        </is>
      </c>
      <c r="G2413" s="8" t="n">
        <v>0.14</v>
      </c>
      <c r="H2413" s="13" t="inlineStr">
        <is>
          <t>Revised Edition</t>
        </is>
      </c>
      <c r="I2413" s="13" t="inlineStr">
        <is>
          <t>Não</t>
        </is>
      </c>
      <c r="J2413" s="13" t="n">
        <v>1994</v>
      </c>
      <c r="L2413" s="13" t="n">
        <v>2</v>
      </c>
      <c r="M2413" s="8">
        <f>L2413*G2413</f>
        <v/>
      </c>
      <c r="P2413" s="9" t="n"/>
    </row>
    <row r="2414">
      <c r="A2414" s="13" t="inlineStr">
        <is>
          <t>Raise the Alarm / Soar o Alarme</t>
        </is>
      </c>
      <c r="B2414" s="13" t="inlineStr">
        <is>
          <t>Instant / Mágica Instantânea</t>
        </is>
      </c>
      <c r="C2414" s="13" t="inlineStr">
        <is>
          <t>Common / Comum</t>
        </is>
      </c>
      <c r="D2414" s="13" t="inlineStr">
        <is>
          <t>Create two 1/1 white Soldier creature tokens. / Coloque no campo de batalha duas fichas de criatura brancas 1/1 do tipo Soldado.</t>
        </is>
      </c>
      <c r="E2414" s="13" t="inlineStr">
        <is>
          <t>{1}{W}</t>
        </is>
      </c>
      <c r="F2414" s="13" t="inlineStr">
        <is>
          <t>Branco</t>
        </is>
      </c>
      <c r="G2414" s="8" t="n">
        <v>0.03</v>
      </c>
      <c r="H2414" s="13" t="inlineStr">
        <is>
          <t>Modern Masters 2015 (MM2)</t>
        </is>
      </c>
      <c r="I2414" s="13" t="inlineStr">
        <is>
          <t>Não</t>
        </is>
      </c>
      <c r="J2414" s="13" t="n">
        <v>2015</v>
      </c>
      <c r="L2414" s="13" t="n">
        <v>1</v>
      </c>
      <c r="M2414" s="8">
        <f>L2414*G2414</f>
        <v/>
      </c>
      <c r="P2414" s="9" t="n"/>
    </row>
    <row r="2415">
      <c r="A2415" s="13" t="inlineStr">
        <is>
          <t>Rakshasa Gravecaller / Evocador de Túmulos Rakshasa</t>
        </is>
      </c>
      <c r="B2415" s="13" t="inlineStr">
        <is>
          <t>Creature — Demon / Criatura — Felino Demônio</t>
        </is>
      </c>
      <c r="C2415" s="13" t="inlineStr">
        <is>
          <t>Uncommon / Incomum</t>
        </is>
      </c>
      <c r="D2415" s="13"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15" s="13" t="inlineStr">
        <is>
          <t>{4}{B}</t>
        </is>
      </c>
      <c r="F2415" s="13" t="inlineStr">
        <is>
          <t>Preto</t>
        </is>
      </c>
      <c r="G2415" s="8" t="n">
        <v>0.08</v>
      </c>
      <c r="H2415" s="13" t="inlineStr">
        <is>
          <t>Dragons of Tarkir (DTK)</t>
        </is>
      </c>
      <c r="I2415" s="13" t="inlineStr">
        <is>
          <t>Não</t>
        </is>
      </c>
      <c r="J2415" s="13" t="n">
        <v>2015</v>
      </c>
      <c r="K2415" s="10" t="n">
        <v>46176</v>
      </c>
      <c r="L2415" s="13" t="n">
        <v>1</v>
      </c>
      <c r="M2415" s="8">
        <f>L2415*G2415</f>
        <v/>
      </c>
      <c r="N2415" s="13" t="inlineStr">
        <is>
          <t>Bulk Shopee</t>
        </is>
      </c>
      <c r="P2415" s="9" t="n"/>
    </row>
    <row r="2416">
      <c r="A2416" s="13" t="inlineStr">
        <is>
          <t>Rally the Peasants / Reunir os Camponeses</t>
        </is>
      </c>
      <c r="B2416" s="13" t="inlineStr">
        <is>
          <t>Instant / Mágica Instantânea</t>
        </is>
      </c>
      <c r="C2416" s="13" t="inlineStr">
        <is>
          <t>Common / Comum</t>
        </is>
      </c>
      <c r="D2416" s="13"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2416" s="13" t="inlineStr">
        <is>
          <t>{2}{W}</t>
        </is>
      </c>
      <c r="F2416" s="13" t="inlineStr">
        <is>
          <t>Branco</t>
        </is>
      </c>
      <c r="G2416" s="8" t="n">
        <v>0.2</v>
      </c>
      <c r="H2416" s="13" t="inlineStr">
        <is>
          <t>Eternal Masters (EMA)</t>
        </is>
      </c>
      <c r="I2416" s="13" t="inlineStr">
        <is>
          <t>Não</t>
        </is>
      </c>
      <c r="J2416" s="13" t="n">
        <v>2016</v>
      </c>
      <c r="L2416" s="13" t="n">
        <v>2</v>
      </c>
      <c r="M2416" s="8">
        <f>L2416*G2416</f>
        <v/>
      </c>
      <c r="P2416" s="9" t="n"/>
    </row>
    <row r="2417">
      <c r="A2417" s="13" t="inlineStr">
        <is>
          <t>Rampage of the Clans / Fúria dos Clãs</t>
        </is>
      </c>
      <c r="B2417" s="13" t="inlineStr">
        <is>
          <t>Instant / Mágica Instantânea</t>
        </is>
      </c>
      <c r="C2417" s="13" t="inlineStr">
        <is>
          <t>Rare / Rara</t>
        </is>
      </c>
      <c r="D2417" s="13"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2417" s="13" t="inlineStr">
        <is>
          <t>{3}{G}</t>
        </is>
      </c>
      <c r="F2417" s="13" t="inlineStr">
        <is>
          <t>Verde</t>
        </is>
      </c>
      <c r="G2417" s="8" t="n">
        <v>0.2</v>
      </c>
      <c r="H2417" s="13" t="inlineStr">
        <is>
          <t>Ravnica Allegiance (RNA)</t>
        </is>
      </c>
      <c r="I2417" s="13" t="inlineStr">
        <is>
          <t>Não</t>
        </is>
      </c>
      <c r="J2417" s="13" t="n">
        <v>2019</v>
      </c>
      <c r="L2417" s="13" t="n">
        <v>2</v>
      </c>
      <c r="M2417" s="8">
        <f>L2417*G2417</f>
        <v/>
      </c>
      <c r="P2417" s="9" t="n"/>
    </row>
    <row r="2418">
      <c r="A2418" s="13" t="inlineStr">
        <is>
          <t>Rampaging Brontodon / Brontodonte Enfurecido</t>
        </is>
      </c>
      <c r="B2418" s="13" t="inlineStr">
        <is>
          <t>Creature — Dinosaur / Criatura — Dinossauro</t>
        </is>
      </c>
      <c r="C2418" s="13" t="inlineStr">
        <is>
          <t>Uncommon / Incomum</t>
        </is>
      </c>
      <c r="D2418" s="13" t="inlineStr">
        <is>
          <t>Trample Whenever this creature attacks, it gets +1/+1 until end of turn for each land you control. / Atropelar Toda vez que Brontodonte Enfurecido ataca, ele recebe +1/+1 até o final do turno para cada terreno que você controla.</t>
        </is>
      </c>
      <c r="E2418" s="13" t="inlineStr">
        <is>
          <t>{5}{G}{G}</t>
        </is>
      </c>
      <c r="F2418" s="13" t="inlineStr">
        <is>
          <t>Verde</t>
        </is>
      </c>
      <c r="G2418" s="8" t="n">
        <v>1.78</v>
      </c>
      <c r="H2418" s="13" t="inlineStr">
        <is>
          <t>Commander Masters (CMM)</t>
        </is>
      </c>
      <c r="I2418" s="13" t="inlineStr">
        <is>
          <t>Não</t>
        </is>
      </c>
      <c r="J2418" s="13" t="n">
        <v>2023</v>
      </c>
      <c r="K2418" s="10" t="n">
        <v>46210</v>
      </c>
      <c r="L2418" s="13" t="n">
        <v>1</v>
      </c>
      <c r="M2418" s="8">
        <f>L2418*G2418</f>
        <v/>
      </c>
      <c r="N2418" s="13" t="inlineStr">
        <is>
          <t>Pasta</t>
        </is>
      </c>
      <c r="P2418" s="9" t="n"/>
    </row>
    <row r="2419">
      <c r="A2419" s="13" t="inlineStr">
        <is>
          <t>Rampaging Cyclops / Ciclope Enfurecido</t>
        </is>
      </c>
      <c r="B2419" s="13" t="inlineStr">
        <is>
          <t>Creature — Cyclops / Criatura — Ciclope</t>
        </is>
      </c>
      <c r="C2419" s="13" t="inlineStr">
        <is>
          <t>Common / Comum</t>
        </is>
      </c>
      <c r="D2419" s="13" t="inlineStr">
        <is>
          <t>This creature gets -2/-0 as long as two or more creatures are blocking it. / Ciclope Enfurecido recebe -2/-0 enquanto duas ou mais criaturas o estiverem bloqueando.</t>
        </is>
      </c>
      <c r="E2419" s="13" t="inlineStr">
        <is>
          <t>{3}{R}</t>
        </is>
      </c>
      <c r="F2419" s="13" t="inlineStr">
        <is>
          <t>Vermelho</t>
        </is>
      </c>
      <c r="G2419" s="8" t="n">
        <v>0.03</v>
      </c>
      <c r="H2419" s="13" t="inlineStr">
        <is>
          <t>Dominaria (DOM)</t>
        </is>
      </c>
      <c r="I2419" s="13" t="inlineStr">
        <is>
          <t>Não</t>
        </is>
      </c>
      <c r="J2419" s="13" t="n">
        <v>2018</v>
      </c>
      <c r="K2419" s="10" t="n">
        <v>46116</v>
      </c>
      <c r="L2419" s="13" t="n">
        <v>1</v>
      </c>
      <c r="M2419" s="8">
        <f>L2419*G2419</f>
        <v/>
      </c>
      <c r="P2419" s="9" t="n"/>
    </row>
    <row r="2420">
      <c r="A2420" s="13" t="inlineStr">
        <is>
          <t>Rampaging Soulrager</t>
        </is>
      </c>
      <c r="B2420" s="13" t="inlineStr">
        <is>
          <t>Creature — Spirit</t>
        </is>
      </c>
      <c r="C2420" s="13" t="inlineStr">
        <is>
          <t>Common / Comum</t>
        </is>
      </c>
      <c r="D2420" s="13" t="inlineStr">
        <is>
          <t>This creature gets +3/+0 as long as there are two or more unlocked doors among Rooms you control.</t>
        </is>
      </c>
      <c r="E2420" s="13" t="inlineStr">
        <is>
          <t>{2}{R}</t>
        </is>
      </c>
      <c r="F2420" s="13" t="inlineStr">
        <is>
          <t>Vermelho</t>
        </is>
      </c>
      <c r="G2420" s="8" t="n">
        <v>0.05</v>
      </c>
      <c r="H2420" s="13" t="inlineStr">
        <is>
          <t>Duskmourn: House of Horror (DSK)</t>
        </is>
      </c>
      <c r="I2420" s="13" t="inlineStr">
        <is>
          <t>Não</t>
        </is>
      </c>
      <c r="J2420" s="13" t="n">
        <v>2024</v>
      </c>
      <c r="K2420" s="10" t="n">
        <v>46113</v>
      </c>
      <c r="L2420" s="13" t="n">
        <v>1</v>
      </c>
      <c r="M2420" s="8">
        <f>L2420*G2420</f>
        <v/>
      </c>
      <c r="P2420" s="9" t="n"/>
    </row>
    <row r="2421">
      <c r="A2421" s="13" t="inlineStr">
        <is>
          <t>Rampant Elephant / Elefante Desenfreado</t>
        </is>
      </c>
      <c r="B2421" s="13" t="inlineStr">
        <is>
          <t>Creature — Elephant / Criatura — Elefante</t>
        </is>
      </c>
      <c r="C2421" s="13" t="inlineStr">
        <is>
          <t>Common / Comum</t>
        </is>
      </c>
      <c r="D2421" s="13" t="inlineStr">
        <is>
          <t>{G}: Target creature blocks Rampant Elephant this turn if able. / {G}: A criatura alvo bloqueia Elefante Desenfreado neste turno, se estiver apta.</t>
        </is>
      </c>
      <c r="E2421" s="13" t="inlineStr">
        <is>
          <t>{3}{W}</t>
        </is>
      </c>
      <c r="F2421" s="13" t="inlineStr">
        <is>
          <t>Branco</t>
        </is>
      </c>
      <c r="G2421" s="8" t="n">
        <v>0.05</v>
      </c>
      <c r="H2421" s="13" t="inlineStr">
        <is>
          <t>Invasion (INV)</t>
        </is>
      </c>
      <c r="I2421" s="13" t="inlineStr">
        <is>
          <t>No</t>
        </is>
      </c>
      <c r="J2421" s="13" t="n">
        <v>2000</v>
      </c>
      <c r="K2421" s="10" t="n">
        <v>46055</v>
      </c>
      <c r="L2421" s="13" t="n">
        <v>1</v>
      </c>
      <c r="M2421" s="8">
        <f>L2421*G2421</f>
        <v/>
      </c>
      <c r="P2421" s="9" t="n"/>
    </row>
    <row r="2422">
      <c r="A2422" s="13" t="inlineStr">
        <is>
          <t>Rampant Growth / Crescimento Desenfreado</t>
        </is>
      </c>
      <c r="B2422" s="13" t="inlineStr">
        <is>
          <t>Sorcery / Feitiço</t>
        </is>
      </c>
      <c r="C2422" s="13" t="inlineStr">
        <is>
          <t>Common / Comum</t>
        </is>
      </c>
      <c r="D2422" s="13" t="inlineStr">
        <is>
          <t>Search your library for a basic land card, put it onto the battlefield tapped, then shuffle. / Procure um card de terreno básico em seu grimório, coloque-o no campo de batalha virado e depois embaralhe.</t>
        </is>
      </c>
      <c r="E2422" s="13" t="inlineStr">
        <is>
          <t>{1}{G}</t>
        </is>
      </c>
      <c r="F2422" s="13" t="inlineStr">
        <is>
          <t>Verde</t>
        </is>
      </c>
      <c r="G2422" s="8" t="n">
        <v>0.03</v>
      </c>
      <c r="H2422" s="13" t="inlineStr">
        <is>
          <t>Magic 2011 (M11)</t>
        </is>
      </c>
      <c r="I2422" s="13" t="inlineStr">
        <is>
          <t>Não</t>
        </is>
      </c>
      <c r="J2422" s="13" t="n">
        <v>2010</v>
      </c>
      <c r="K2422" s="13" t="inlineStr">
        <is>
          <t>-</t>
        </is>
      </c>
      <c r="L2422" s="13" t="n">
        <v>8</v>
      </c>
      <c r="M2422" s="8">
        <f>L2422*G2422</f>
        <v/>
      </c>
      <c r="P2422" s="9" t="n"/>
    </row>
    <row r="2423">
      <c r="A2423" s="13" t="inlineStr">
        <is>
          <t>Ran and Shaw</t>
        </is>
      </c>
      <c r="B2423" s="13" t="inlineStr">
        <is>
          <t>Legendary Creature — Dragon</t>
        </is>
      </c>
      <c r="C2423" s="13" t="inlineStr">
        <is>
          <t>Rare / Rara</t>
        </is>
      </c>
      <c r="D2423" s="13" t="inlineStr">
        <is>
          <t>Flying, firebending 2 When Ran and Shaw enter, if you cast them and there are three or more Dragon and/or Lesson cards in your graveyard, create a token that's a copy of Ran and Shaw, except it's not legendary. {3}{R}: Dragons you control get +2/+0 until end of turn.</t>
        </is>
      </c>
      <c r="E2423" s="13" t="inlineStr">
        <is>
          <t>{3}{R}{R}</t>
        </is>
      </c>
      <c r="F2423" s="13" t="inlineStr">
        <is>
          <t>Vermelho</t>
        </is>
      </c>
      <c r="G2423" s="8" t="n">
        <v>0.39</v>
      </c>
      <c r="H2423" s="13" t="inlineStr">
        <is>
          <t>Avatar: The Last Airbender (TLA)</t>
        </is>
      </c>
      <c r="I2423" s="13" t="inlineStr">
        <is>
          <t>Não</t>
        </is>
      </c>
      <c r="J2423" s="13" t="n">
        <v>2025</v>
      </c>
      <c r="K2423" s="10" t="n">
        <v>46116</v>
      </c>
      <c r="L2423" s="13" t="n">
        <v>1</v>
      </c>
      <c r="M2423" s="8">
        <f>L2423*G2423</f>
        <v/>
      </c>
      <c r="P2423" s="9" t="n"/>
    </row>
    <row r="2424">
      <c r="A2424" s="13" t="inlineStr">
        <is>
          <t>Random Encounter / Encontro Aleatório</t>
        </is>
      </c>
      <c r="B2424" s="13" t="inlineStr">
        <is>
          <t>Feitiço</t>
        </is>
      </c>
      <c r="C2424" s="13" t="inlineStr">
        <is>
          <t>Incomum</t>
        </is>
      </c>
      <c r="D2424" s="13"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2424" s="13" t="inlineStr">
        <is>
          <t>4{R}{R}</t>
        </is>
      </c>
      <c r="F2424" s="13" t="inlineStr">
        <is>
          <t>Vermelho</t>
        </is>
      </c>
      <c r="G2424" s="8" t="n">
        <v>0.14</v>
      </c>
      <c r="H2424" s="13" t="inlineStr">
        <is>
          <t>Final Fantasy</t>
        </is>
      </c>
      <c r="I2424" s="13" t="inlineStr">
        <is>
          <t>Não</t>
        </is>
      </c>
      <c r="J2424" s="13" t="n">
        <v>2025</v>
      </c>
      <c r="L2424" s="13" t="n">
        <v>1</v>
      </c>
      <c r="M2424" s="8">
        <f>L2424*G2424</f>
        <v/>
      </c>
      <c r="P2424" s="9" t="n"/>
    </row>
    <row r="2425">
      <c r="A2425" s="13" t="inlineStr">
        <is>
          <t>Random Encounter / Encontro Aleatório</t>
        </is>
      </c>
      <c r="B2425" s="13" t="inlineStr">
        <is>
          <t>Feitiço</t>
        </is>
      </c>
      <c r="C2425" s="13" t="inlineStr">
        <is>
          <t>Incomum</t>
        </is>
      </c>
      <c r="D2425" s="13"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2425" s="13" t="inlineStr">
        <is>
          <t>4{R}{R}</t>
        </is>
      </c>
      <c r="F2425" s="13" t="inlineStr">
        <is>
          <t>Vermelho</t>
        </is>
      </c>
      <c r="G2425" s="8" t="n">
        <v>0.49</v>
      </c>
      <c r="H2425" s="13" t="inlineStr">
        <is>
          <t>Final Fantasy</t>
        </is>
      </c>
      <c r="I2425" s="13" t="inlineStr">
        <is>
          <t>Sim</t>
        </is>
      </c>
      <c r="J2425" s="13" t="n">
        <v>2025</v>
      </c>
      <c r="L2425" s="13" t="n">
        <v>1</v>
      </c>
      <c r="M2425" s="8">
        <f>L2425*G2425</f>
        <v/>
      </c>
      <c r="P2425" s="9" t="n"/>
    </row>
    <row r="2426">
      <c r="A2426" s="13" t="inlineStr">
        <is>
          <t>Ranger's Firebrand / Tição do Caminheiro</t>
        </is>
      </c>
      <c r="B2426" s="13" t="inlineStr">
        <is>
          <t>Sorcery / Feitiço</t>
        </is>
      </c>
      <c r="C2426" s="13" t="inlineStr">
        <is>
          <t>Uncommon / Incomum</t>
        </is>
      </c>
      <c r="D2426" s="13" t="inlineStr">
        <is>
          <t>Ranger's Firebrand deals 2 damage to any target. The Ring tempts you. / Tição do Caminheiro causa 2 pontos de dano a qualquer alvo. O Anel tenta você.</t>
        </is>
      </c>
      <c r="E2426" s="13" t="inlineStr">
        <is>
          <t>{R}</t>
        </is>
      </c>
      <c r="F2426" s="13" t="inlineStr">
        <is>
          <t>Vermelho</t>
        </is>
      </c>
      <c r="G2426" s="8" t="n">
        <v>0.2</v>
      </c>
      <c r="H2426" s="13" t="inlineStr">
        <is>
          <t>The Lord of the Rings: Tales of Middle-earth (LTR)</t>
        </is>
      </c>
      <c r="I2426" s="13" t="inlineStr">
        <is>
          <t>Não</t>
        </is>
      </c>
      <c r="J2426" s="13" t="n">
        <v>2023</v>
      </c>
      <c r="L2426" s="13" t="n">
        <v>1</v>
      </c>
      <c r="M2426" s="8">
        <f>L2426*G2426</f>
        <v/>
      </c>
      <c r="P2426" s="9" t="n"/>
    </row>
    <row r="2427">
      <c r="A2427" s="13" t="inlineStr">
        <is>
          <t>Rapacious Dragon / Dragão Edaz</t>
        </is>
      </c>
      <c r="B2427" s="13" t="inlineStr">
        <is>
          <t>Creature — Dragon / Criatura — Dragão</t>
        </is>
      </c>
      <c r="C2427" s="13" t="inlineStr">
        <is>
          <t>Common / Comum</t>
        </is>
      </c>
      <c r="D2427" s="13"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2427" s="13" t="inlineStr">
        <is>
          <t>{4}{R}</t>
        </is>
      </c>
      <c r="F2427" s="13" t="inlineStr">
        <is>
          <t>Vermelho</t>
        </is>
      </c>
      <c r="G2427" s="8" t="n">
        <v>0.18</v>
      </c>
      <c r="H2427" s="13" t="inlineStr">
        <is>
          <t>Commander Masters (CMM)</t>
        </is>
      </c>
      <c r="I2427" s="13" t="inlineStr">
        <is>
          <t>Não</t>
        </is>
      </c>
      <c r="J2427" s="13" t="n">
        <v>2023</v>
      </c>
      <c r="K2427" s="10" t="n">
        <v>46084</v>
      </c>
      <c r="L2427" s="13" t="n">
        <v>1</v>
      </c>
      <c r="M2427" s="8">
        <f>L2427*G2427</f>
        <v/>
      </c>
      <c r="P2427" s="9" t="n"/>
    </row>
    <row r="2428">
      <c r="A2428" s="13" t="inlineStr">
        <is>
          <t>Rapacious One / O Opressor</t>
        </is>
      </c>
      <c r="B2428" s="13" t="inlineStr">
        <is>
          <t>Creature — Eldrazi Drone / Criatura — Zangão Eldrazi</t>
        </is>
      </c>
      <c r="C2428" s="13" t="inlineStr">
        <is>
          <t>Common / Comum</t>
        </is>
      </c>
      <c r="D2428" s="13"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2428" s="13" t="inlineStr">
        <is>
          <t>{5}{R}</t>
        </is>
      </c>
      <c r="F2428" s="13" t="inlineStr">
        <is>
          <t>Vermelho</t>
        </is>
      </c>
      <c r="G2428" s="8" t="n">
        <v>0.2</v>
      </c>
      <c r="H2428" s="13" t="inlineStr">
        <is>
          <t>Commander Masters (CMM)</t>
        </is>
      </c>
      <c r="I2428" s="13" t="inlineStr">
        <is>
          <t>Não</t>
        </is>
      </c>
      <c r="J2428" s="13" t="n">
        <v>2023</v>
      </c>
      <c r="K2428" s="10" t="n">
        <v>46117</v>
      </c>
      <c r="L2428" s="13" t="n">
        <v>1</v>
      </c>
      <c r="M2428" s="8">
        <f>L2428*G2428</f>
        <v/>
      </c>
      <c r="P2428" s="9" t="n"/>
    </row>
    <row r="2429">
      <c r="A2429" s="13" t="inlineStr">
        <is>
          <t>Raph's Bravado / Bravata de Raph</t>
        </is>
      </c>
      <c r="B2429" s="13" t="inlineStr">
        <is>
          <t>Encantamento</t>
        </is>
      </c>
      <c r="C2429" s="13" t="inlineStr">
        <is>
          <t>Incomum</t>
        </is>
      </c>
      <c r="D2429" s="13" t="inlineStr">
        <is>
          <t>Durante o seu turno, as criaturas atacantes recebem +1/+0.</t>
        </is>
      </c>
      <c r="E2429" s="13" t="inlineStr">
        <is>
          <t>1{R}</t>
        </is>
      </c>
      <c r="F2429" s="13" t="inlineStr">
        <is>
          <t>Vermelho</t>
        </is>
      </c>
      <c r="G2429" s="8" t="n">
        <v>0.29</v>
      </c>
      <c r="H2429" s="13" t="inlineStr">
        <is>
          <t>Teenage Mutant Ninja Turtles</t>
        </is>
      </c>
      <c r="I2429" s="13" t="inlineStr">
        <is>
          <t>Não</t>
        </is>
      </c>
      <c r="J2429" s="13" t="n">
        <v>2026</v>
      </c>
      <c r="L2429" s="13" t="n">
        <v>2</v>
      </c>
      <c r="M2429" s="8">
        <f>L2429*G2429</f>
        <v/>
      </c>
      <c r="P2429" s="9" t="n"/>
    </row>
    <row r="2430">
      <c r="A2430" s="13" t="inlineStr">
        <is>
          <t>Raphael, Most Attitude</t>
        </is>
      </c>
      <c r="B2430" s="13" t="inlineStr">
        <is>
          <t>Legendary Creature — Mutant Ninja Turtle</t>
        </is>
      </c>
      <c r="C2430" s="13" t="inlineStr">
        <is>
          <t>Uncommon / Incomum</t>
        </is>
      </c>
      <c r="D2430" s="13" t="inlineStr">
        <is>
          <t>Menace (This creature can't be blocked except by two or more creatures.) Alliance — Whenever another creature you control enters, you may exile the top card of your library. Whenever Raphael attacks, until end of turn, you may play a card exiled with Raphael.</t>
        </is>
      </c>
      <c r="E2430" s="13" t="inlineStr">
        <is>
          <t>{3}{R}</t>
        </is>
      </c>
      <c r="F2430" s="13" t="inlineStr">
        <is>
          <t>Vermelho</t>
        </is>
      </c>
      <c r="G2430" s="8" t="n">
        <v>0.09</v>
      </c>
      <c r="H2430" s="13" t="inlineStr">
        <is>
          <t>Teenage Mutant Ninja Turtles (TMT)</t>
        </is>
      </c>
      <c r="I2430" s="13" t="inlineStr">
        <is>
          <t>Não</t>
        </is>
      </c>
      <c r="J2430" s="13" t="n">
        <v>2026</v>
      </c>
      <c r="K2430" s="10" t="n">
        <v>46085</v>
      </c>
      <c r="L2430" s="13" t="n">
        <v>1</v>
      </c>
      <c r="M2430" s="8">
        <f>L2430*G2430</f>
        <v/>
      </c>
      <c r="P2430" s="9" t="n"/>
    </row>
    <row r="2431">
      <c r="A2431" s="13" t="inlineStr">
        <is>
          <t>Raphael, Most Attitude</t>
        </is>
      </c>
      <c r="B2431" s="13" t="inlineStr">
        <is>
          <t>Legendary Creature — Mutant Ninja Turtle</t>
        </is>
      </c>
      <c r="C2431" s="13" t="inlineStr">
        <is>
          <t>Uncommon / Incomum</t>
        </is>
      </c>
      <c r="D2431" s="13" t="inlineStr">
        <is>
          <t>Menace (This creature can't be blocked except by two or more creatures.) Alliance — Whenever another creature you control enters, you may exile the top card of your library. Whenever Raphael attacks, until end of turn, you may play a card exiled with Raphael.</t>
        </is>
      </c>
      <c r="E2431" s="13" t="inlineStr">
        <is>
          <t>{3}{R}</t>
        </is>
      </c>
      <c r="F2431" s="13" t="inlineStr">
        <is>
          <t>Vermelho</t>
        </is>
      </c>
      <c r="G2431" s="8" t="n">
        <v>0.44</v>
      </c>
      <c r="H2431" s="13" t="inlineStr">
        <is>
          <t>Teenage Mutant Ninja Turtles (TMT)</t>
        </is>
      </c>
      <c r="I2431" s="13" t="inlineStr">
        <is>
          <t>Sim</t>
        </is>
      </c>
      <c r="J2431" s="13" t="n">
        <v>2026</v>
      </c>
      <c r="K2431" s="10" t="n">
        <v>46085</v>
      </c>
      <c r="L2431" s="13" t="n">
        <v>1</v>
      </c>
      <c r="M2431" s="8">
        <f>L2431*G2431</f>
        <v/>
      </c>
      <c r="P2431" s="9" t="n"/>
    </row>
    <row r="2432">
      <c r="A2432" s="13" t="inlineStr">
        <is>
          <t>Raphael, the Nightwatcher</t>
        </is>
      </c>
      <c r="B2432" s="13" t="inlineStr">
        <is>
          <t>Legendary Creature — Mutant Ninja Turtle</t>
        </is>
      </c>
      <c r="C2432" s="13" t="inlineStr">
        <is>
          <t>Rare / Rara</t>
        </is>
      </c>
      <c r="D2432" s="13" t="inlineStr">
        <is>
          <t>Sneak {1}{R}{R} (You may cast this spell for {1}{R}{R} if you also return an unblocked attacker you control to hand during the declare blockers step. He enters tapped and attacking.) Attacking creatures you control have double strike.</t>
        </is>
      </c>
      <c r="E2432" s="13" t="inlineStr">
        <is>
          <t>{2}{R}{R}</t>
        </is>
      </c>
      <c r="F2432" s="13" t="inlineStr">
        <is>
          <t>Vermelho</t>
        </is>
      </c>
      <c r="G2432" s="8" t="n">
        <v>7.45</v>
      </c>
      <c r="H2432" s="13" t="inlineStr">
        <is>
          <t>Teenage Mutant Ninja Turtles (TMT)</t>
        </is>
      </c>
      <c r="I2432" s="13" t="inlineStr">
        <is>
          <t>Não</t>
        </is>
      </c>
      <c r="J2432" s="13" t="n">
        <v>2026</v>
      </c>
      <c r="K2432" s="10" t="n">
        <v>46083</v>
      </c>
      <c r="L2432" s="13" t="n">
        <v>1</v>
      </c>
      <c r="M2432" s="8">
        <f>L2432*G2432</f>
        <v/>
      </c>
      <c r="P2432" s="9" t="n"/>
    </row>
    <row r="2433">
      <c r="A2433" s="13" t="inlineStr">
        <is>
          <t>Raphael, Tough Turtle</t>
        </is>
      </c>
      <c r="B2433" s="13" t="inlineStr">
        <is>
          <t>Legendary Creature — Mutant Ninja Turtle</t>
        </is>
      </c>
      <c r="C2433" s="13" t="inlineStr">
        <is>
          <t>Common / Comum</t>
        </is>
      </c>
      <c r="D2433" s="13" t="inlineStr">
        <is>
          <t>Alliance — Whenever another creature you control enters, Raphael deals 1 damage to target opponent.</t>
        </is>
      </c>
      <c r="E2433" s="13" t="inlineStr">
        <is>
          <t>{1}{R}</t>
        </is>
      </c>
      <c r="F2433" s="13" t="inlineStr">
        <is>
          <t>Vermelho</t>
        </is>
      </c>
      <c r="G2433" s="8" t="n">
        <v>0.1</v>
      </c>
      <c r="H2433" s="13" t="inlineStr">
        <is>
          <t>Teenage Mutant Ninja Turtles (TMT)</t>
        </is>
      </c>
      <c r="I2433" s="13" t="inlineStr">
        <is>
          <t>Não</t>
        </is>
      </c>
      <c r="J2433" s="13" t="n">
        <v>2026</v>
      </c>
      <c r="K2433" s="10" t="n">
        <v>46082</v>
      </c>
      <c r="L2433" s="13" t="n">
        <v>4</v>
      </c>
      <c r="M2433" s="8">
        <f>L2433*G2433</f>
        <v/>
      </c>
      <c r="P2433" s="9" t="n"/>
    </row>
    <row r="2434">
      <c r="A2434" s="13" t="inlineStr">
        <is>
          <t>Rapier Wit / Espírito de Rapas</t>
        </is>
      </c>
      <c r="B2434" s="13" t="inlineStr">
        <is>
          <t>Mágica Instantânea</t>
        </is>
      </c>
      <c r="C2434" s="13" t="inlineStr">
        <is>
          <t>Comum</t>
        </is>
      </c>
      <c r="D2434" s="13" t="inlineStr">
        <is>
          <t>Vire a criatura alvo. Se for o seu turno, coloque um marcador de atordoamento nela. (Se uma permanente com um marcador de atordoamento fosse se tornar desvirada, em vez disso, remova um dele.) Compre um card.</t>
        </is>
      </c>
      <c r="E2434" s="13" t="inlineStr">
        <is>
          <t>1{W}</t>
        </is>
      </c>
      <c r="F2434" s="13" t="inlineStr">
        <is>
          <t>Branco</t>
        </is>
      </c>
      <c r="G2434" s="8" t="n">
        <v>0.08</v>
      </c>
      <c r="H2434" s="13" t="inlineStr">
        <is>
          <t>Strixhaven: School of Mages (SOS)</t>
        </is>
      </c>
      <c r="I2434" s="13" t="inlineStr">
        <is>
          <t>Não</t>
        </is>
      </c>
      <c r="J2434" s="13" t="n">
        <v>2026</v>
      </c>
      <c r="L2434" s="13" t="n">
        <v>2</v>
      </c>
      <c r="M2434" s="8">
        <f>L2434*G2434</f>
        <v/>
      </c>
      <c r="P2434" s="9" t="n"/>
    </row>
    <row r="2435">
      <c r="A2435" s="13" t="inlineStr">
        <is>
          <t>Raptor Companion / Companheiro Raptor</t>
        </is>
      </c>
      <c r="B2435" s="13" t="inlineStr">
        <is>
          <t>Creature — Dinosaur / Criatura — Dinossauro</t>
        </is>
      </c>
      <c r="C2435" s="13" t="inlineStr">
        <is>
          <t>Common / Comum</t>
        </is>
      </c>
      <c r="E2435" s="13" t="inlineStr">
        <is>
          <t>{1}{W}</t>
        </is>
      </c>
      <c r="F2435" s="13" t="inlineStr">
        <is>
          <t>Branco</t>
        </is>
      </c>
      <c r="G2435" s="8" t="n">
        <v>0.03</v>
      </c>
      <c r="H2435" s="13" t="inlineStr">
        <is>
          <t>Ixalan (XLN)</t>
        </is>
      </c>
      <c r="I2435" s="13" t="inlineStr">
        <is>
          <t>Não</t>
        </is>
      </c>
      <c r="J2435" s="13" t="n">
        <v>2017</v>
      </c>
      <c r="K2435" s="10" t="n">
        <v>46025</v>
      </c>
      <c r="L2435" s="13" t="n">
        <v>6</v>
      </c>
      <c r="M2435" s="8">
        <f>L2435*G2435</f>
        <v/>
      </c>
      <c r="P2435" s="9" t="n"/>
    </row>
    <row r="2436">
      <c r="A2436" s="13" t="inlineStr">
        <is>
          <t>Rashka the Slayer / Rashka, a Matadora</t>
        </is>
      </c>
      <c r="B2436" s="13" t="inlineStr">
        <is>
          <t>Legendary Creature — Human Archer</t>
        </is>
      </c>
      <c r="C2436" s="13" t="inlineStr">
        <is>
          <t>Uncommon / Incomum</t>
        </is>
      </c>
      <c r="D2436" s="13" t="inlineStr">
        <is>
          <t>Reach (This creature can block creatures with flying.) Whenever Rashka blocks one or more black creatures, Rashka gets +1/+2 until end of turn.</t>
        </is>
      </c>
      <c r="E2436" s="13" t="inlineStr">
        <is>
          <t>{3}{W}{W}</t>
        </is>
      </c>
      <c r="F2436" s="13" t="inlineStr">
        <is>
          <t>Branco</t>
        </is>
      </c>
      <c r="G2436" s="8" t="n">
        <v>0.17</v>
      </c>
      <c r="H2436" s="13" t="inlineStr">
        <is>
          <t>Homelands (HML)</t>
        </is>
      </c>
      <c r="I2436" s="13" t="inlineStr">
        <is>
          <t>Não</t>
        </is>
      </c>
      <c r="J2436" s="13" t="n">
        <v>1995</v>
      </c>
      <c r="K2436" s="10" t="n">
        <v>46084</v>
      </c>
      <c r="L2436" s="13" t="n">
        <v>2</v>
      </c>
      <c r="M2436" s="8">
        <f>L2436*G2436</f>
        <v/>
      </c>
      <c r="P2436" s="9" t="n"/>
    </row>
    <row r="2437">
      <c r="A2437" s="13" t="inlineStr">
        <is>
          <t>Raubahn, Bull of Ala Mhigo / Raubahn, Touro de Ala Mhigo</t>
        </is>
      </c>
      <c r="B2437" s="13" t="inlineStr">
        <is>
          <t>Criatura Lendária — Humano Guerreiro</t>
        </is>
      </c>
      <c r="C2437" s="13" t="inlineStr">
        <is>
          <t>Rara</t>
        </is>
      </c>
      <c r="D2437" s="13" t="inlineStr">
        <is>
          <t>Salvaguarda — Pague uma quantidade de vida igual ao poder de Raubahn. Sempre que Raubahn atacar, anexe até um Equipamento alvo que você controla à criatura atacante alvo.</t>
        </is>
      </c>
      <c r="E2437" s="13" t="inlineStr">
        <is>
          <t>1R</t>
        </is>
      </c>
      <c r="F2437" s="13" t="inlineStr">
        <is>
          <t>Vermelho</t>
        </is>
      </c>
      <c r="G2437" s="8" t="n">
        <v>1.7</v>
      </c>
      <c r="H2437" s="13" t="inlineStr">
        <is>
          <t>Final Fantasy</t>
        </is>
      </c>
      <c r="I2437" s="13" t="inlineStr">
        <is>
          <t>Não</t>
        </is>
      </c>
      <c r="J2437" s="13" t="n">
        <v>2025</v>
      </c>
      <c r="K2437" s="10" t="n">
        <v>46055</v>
      </c>
      <c r="L2437" s="13" t="n">
        <v>1</v>
      </c>
      <c r="M2437" s="8">
        <f>L2437*G2437</f>
        <v/>
      </c>
      <c r="P2437" s="9" t="n"/>
    </row>
    <row r="2438">
      <c r="A2438" s="13" t="inlineStr">
        <is>
          <t>Raucous Audience</t>
        </is>
      </c>
      <c r="B2438" s="13" t="inlineStr">
        <is>
          <t>Creature — Human Citizen</t>
        </is>
      </c>
      <c r="C2438" s="13" t="inlineStr">
        <is>
          <t>Common / Comum</t>
        </is>
      </c>
      <c r="D2438" s="13" t="inlineStr">
        <is>
          <t>{T}: Add {G}. If you control a creature with power 4 or greater, add {G}{G} instead.</t>
        </is>
      </c>
      <c r="E2438" s="13" t="inlineStr">
        <is>
          <t>{1}{G}</t>
        </is>
      </c>
      <c r="F2438" s="13" t="inlineStr">
        <is>
          <t>Verde</t>
        </is>
      </c>
      <c r="G2438" s="8" t="n">
        <v>0.19</v>
      </c>
      <c r="H2438" s="13" t="inlineStr">
        <is>
          <t>Avatar: The Last Airbender (TLA)</t>
        </is>
      </c>
      <c r="I2438" s="13" t="inlineStr">
        <is>
          <t>Sim</t>
        </is>
      </c>
      <c r="J2438" s="13" t="n">
        <v>2025</v>
      </c>
      <c r="K2438" s="10" t="n">
        <v>46024</v>
      </c>
      <c r="L2438" s="13" t="n">
        <v>1</v>
      </c>
      <c r="M2438" s="8">
        <f>L2438*G2438</f>
        <v/>
      </c>
      <c r="P2438" s="9" t="n"/>
    </row>
    <row r="2439">
      <c r="A2439" s="13" t="inlineStr">
        <is>
          <t>Raucous Audience</t>
        </is>
      </c>
      <c r="B2439" s="13" t="inlineStr">
        <is>
          <t>Creature — Human Citizen</t>
        </is>
      </c>
      <c r="C2439" s="13" t="inlineStr">
        <is>
          <t>Common / Comum</t>
        </is>
      </c>
      <c r="D2439" s="13" t="inlineStr">
        <is>
          <t>{T}: Add {G}. If you control a creature with power 4 or greater, add {G}{G} instead.</t>
        </is>
      </c>
      <c r="E2439" s="13" t="inlineStr">
        <is>
          <t>{1}{G}</t>
        </is>
      </c>
      <c r="F2439" s="13" t="inlineStr">
        <is>
          <t>Verde</t>
        </is>
      </c>
      <c r="G2439" s="8" t="n">
        <v>0.1</v>
      </c>
      <c r="H2439" s="13" t="inlineStr">
        <is>
          <t>Avatar: The Last Airbender (TLA)</t>
        </is>
      </c>
      <c r="I2439" s="13" t="inlineStr">
        <is>
          <t>Não</t>
        </is>
      </c>
      <c r="J2439" s="13" t="n">
        <v>2025</v>
      </c>
      <c r="K2439" s="10" t="n">
        <v>46024</v>
      </c>
      <c r="L2439" s="13" t="n">
        <v>5</v>
      </c>
      <c r="M2439" s="8">
        <f>L2439*G2439</f>
        <v/>
      </c>
      <c r="P2439" s="9" t="n"/>
    </row>
    <row r="2440">
      <c r="A2440" s="13" t="inlineStr">
        <is>
          <t>Ravaging Blaze / Incêndio Furioso</t>
        </is>
      </c>
      <c r="B2440" s="13" t="inlineStr">
        <is>
          <t>Instant / Mágica Instantânea</t>
        </is>
      </c>
      <c r="C2440" s="13" t="inlineStr">
        <is>
          <t>Uncommon / Incomum</t>
        </is>
      </c>
      <c r="D2440" s="13"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2440" s="13" t="inlineStr">
        <is>
          <t>{X}{R}{R}</t>
        </is>
      </c>
      <c r="F2440" s="13" t="inlineStr">
        <is>
          <t>Vermelho</t>
        </is>
      </c>
      <c r="G2440" s="8" t="n">
        <v>0.13</v>
      </c>
      <c r="H2440" s="13" t="inlineStr">
        <is>
          <t>Commander Masters (CMM)</t>
        </is>
      </c>
      <c r="I2440" s="13" t="inlineStr">
        <is>
          <t>Não</t>
        </is>
      </c>
      <c r="J2440" s="13" t="n">
        <v>2023</v>
      </c>
      <c r="L2440" s="13" t="n">
        <v>1</v>
      </c>
      <c r="M2440" s="8">
        <f>L2440*G2440</f>
        <v/>
      </c>
      <c r="P2440" s="9" t="n"/>
    </row>
    <row r="2441">
      <c r="A2441" s="13" t="inlineStr">
        <is>
          <t>Ravenous Leucrocota / Leucrócota Voraz</t>
        </is>
      </c>
      <c r="B2441" s="13" t="inlineStr">
        <is>
          <t>Creature — Beast / Criatura — Besta</t>
        </is>
      </c>
      <c r="C2441" s="13" t="inlineStr">
        <is>
          <t>Common / Comum</t>
        </is>
      </c>
      <c r="D2441" s="13" t="inlineStr">
        <is>
          <t>Vigilance {6}{G}: Monstrosity 3. (If this creature isn't monstrous, put three +1/+1 counters on it and it becomes monstrous.) / Vigilância {6}{G}: Monstruosidade 3. (Se esta criatura não for monstruosa, coloque três marcadores +1/+1 nela e ela se tornará monstruosa.)</t>
        </is>
      </c>
      <c r="E2441" s="13" t="inlineStr">
        <is>
          <t>{3}{G}</t>
        </is>
      </c>
      <c r="F2441" s="13" t="inlineStr">
        <is>
          <t>Verde</t>
        </is>
      </c>
      <c r="G2441" s="8" t="n">
        <v>0.03</v>
      </c>
      <c r="H2441" s="13" t="inlineStr">
        <is>
          <t>Journey into Nyx (JOU)</t>
        </is>
      </c>
      <c r="I2441" s="13" t="inlineStr">
        <is>
          <t>Não</t>
        </is>
      </c>
      <c r="J2441" s="13" t="n">
        <v>2014</v>
      </c>
      <c r="K2441" s="10" t="n">
        <v>46114</v>
      </c>
      <c r="L2441" s="13" t="n">
        <v>2</v>
      </c>
      <c r="M2441" s="8">
        <f>L2441*G2441</f>
        <v/>
      </c>
      <c r="P2441" s="9" t="n"/>
    </row>
    <row r="2442">
      <c r="A2442" s="13" t="inlineStr">
        <is>
          <t>Ray Fillet, Man Ray</t>
        </is>
      </c>
      <c r="B2442" s="13" t="inlineStr">
        <is>
          <t>Legendary Creature — Fish Mutant</t>
        </is>
      </c>
      <c r="C2442" s="13" t="inlineStr">
        <is>
          <t>Uncommon / Incomum</t>
        </is>
      </c>
      <c r="D2442" s="13" t="inlineStr">
        <is>
          <t>Flying When Ray Fillet enters, create a Mutagen token. (It's an artifact with "{1}, {T}, Sacrifice this token: Put a +1/+1 counter on target creature. Activate only as a sorcery.") {2}, Remove a +1/+1 counter from a creature you control: Draw a card.</t>
        </is>
      </c>
      <c r="E2442" s="13" t="inlineStr">
        <is>
          <t>{3}{U}</t>
        </is>
      </c>
      <c r="F2442" s="13" t="inlineStr">
        <is>
          <t>Azul</t>
        </is>
      </c>
      <c r="G2442" s="8" t="n">
        <v>0.1</v>
      </c>
      <c r="H2442" s="13" t="inlineStr">
        <is>
          <t>Teenage Mutant Ninja Turtles (TMT)</t>
        </is>
      </c>
      <c r="I2442" s="13" t="inlineStr">
        <is>
          <t>Não</t>
        </is>
      </c>
      <c r="J2442" s="13" t="n">
        <v>2026</v>
      </c>
      <c r="K2442" s="10" t="n">
        <v>46084</v>
      </c>
      <c r="L2442" s="13" t="n">
        <v>1</v>
      </c>
      <c r="M2442" s="8">
        <f>L2442*G2442</f>
        <v/>
      </c>
      <c r="P2442" s="9" t="n"/>
    </row>
    <row r="2443">
      <c r="A2443" s="13" t="inlineStr">
        <is>
          <t>Ray of Dissolution / Raio de Dissolução</t>
        </is>
      </c>
      <c r="B2443" s="13" t="inlineStr">
        <is>
          <t>Instant / Mágica Instantânea</t>
        </is>
      </c>
      <c r="C2443" s="13" t="inlineStr">
        <is>
          <t>Common / Comum</t>
        </is>
      </c>
      <c r="D2443" s="13" t="inlineStr">
        <is>
          <t>Destroy target enchantment. You gain 3 life. / Destrua o encantamento alvo. Você ganha 3 pontos de vida.</t>
        </is>
      </c>
      <c r="E2443" s="13" t="inlineStr">
        <is>
          <t>{2}{W}</t>
        </is>
      </c>
      <c r="F2443" s="13" t="inlineStr">
        <is>
          <t>Branco</t>
        </is>
      </c>
      <c r="G2443" s="8" t="n">
        <v>0.05</v>
      </c>
      <c r="H2443" s="13" t="inlineStr">
        <is>
          <t>Theros (THS)</t>
        </is>
      </c>
      <c r="I2443" s="13" t="inlineStr">
        <is>
          <t>Não</t>
        </is>
      </c>
      <c r="J2443" s="13" t="n">
        <v>2013</v>
      </c>
      <c r="L2443" s="13" t="n">
        <v>1</v>
      </c>
      <c r="M2443" s="8">
        <f>L2443*G2443</f>
        <v/>
      </c>
      <c r="P2443" s="9" t="n"/>
    </row>
    <row r="2444">
      <c r="A2444" s="13" t="inlineStr">
        <is>
          <t>Razor Rings</t>
        </is>
      </c>
      <c r="B2444" s="13" t="inlineStr">
        <is>
          <t>Instant</t>
        </is>
      </c>
      <c r="C2444" s="13" t="inlineStr">
        <is>
          <t>Common / Comum</t>
        </is>
      </c>
      <c r="D2444" s="13" t="inlineStr">
        <is>
          <t>Razor Rings deals 4 damage to target attacking or blocking creature. You gain life equal to the excess damage dealt this way.</t>
        </is>
      </c>
      <c r="E2444" s="13" t="inlineStr">
        <is>
          <t>{1}{W}</t>
        </is>
      </c>
      <c r="F2444" s="13" t="inlineStr">
        <is>
          <t>Branco</t>
        </is>
      </c>
      <c r="G2444" s="8" t="n">
        <v>0.05</v>
      </c>
      <c r="H2444" s="13" t="inlineStr">
        <is>
          <t>Avatar: The Last Airbender (TLA)</t>
        </is>
      </c>
      <c r="I2444" s="13" t="inlineStr">
        <is>
          <t>Não</t>
        </is>
      </c>
      <c r="J2444" s="13" t="n">
        <v>2025</v>
      </c>
      <c r="L2444" s="13" t="n">
        <v>4</v>
      </c>
      <c r="M2444" s="8">
        <f>L2444*G2444</f>
        <v/>
      </c>
      <c r="P2444" s="9" t="n"/>
    </row>
    <row r="2445">
      <c r="A2445" s="13" t="inlineStr">
        <is>
          <t>Razor Rings</t>
        </is>
      </c>
      <c r="B2445" s="13" t="inlineStr">
        <is>
          <t>Instant</t>
        </is>
      </c>
      <c r="C2445" s="13" t="inlineStr">
        <is>
          <t>Common / Comum</t>
        </is>
      </c>
      <c r="D2445" s="13" t="inlineStr">
        <is>
          <t>Razor Rings deals 4 damage to target attacking or blocking creature. You gain life equal to the excess damage dealt this way.</t>
        </is>
      </c>
      <c r="E2445" s="13" t="inlineStr">
        <is>
          <t>{1}{W}</t>
        </is>
      </c>
      <c r="F2445" s="13" t="inlineStr">
        <is>
          <t>Branco</t>
        </is>
      </c>
      <c r="G2445" s="8" t="n">
        <v>0.05</v>
      </c>
      <c r="H2445" s="13" t="inlineStr">
        <is>
          <t>Avatar: The Last Airbender (TLA)</t>
        </is>
      </c>
      <c r="I2445" s="13" t="inlineStr">
        <is>
          <t>Não</t>
        </is>
      </c>
      <c r="J2445" s="13" t="n">
        <v>2025</v>
      </c>
      <c r="L2445" s="13" t="n">
        <v>2</v>
      </c>
      <c r="M2445" s="8">
        <f>L2445*G2445</f>
        <v/>
      </c>
      <c r="P2445" s="9" t="n"/>
    </row>
    <row r="2446">
      <c r="A2446" s="13" t="inlineStr">
        <is>
          <t>Razorfoot Griffin / Grifo Pata-de-Navalha</t>
        </is>
      </c>
      <c r="B2446" s="13" t="inlineStr">
        <is>
          <t>Creature — Griffin / Criatura — Grifo</t>
        </is>
      </c>
      <c r="C2446" s="13" t="inlineStr">
        <is>
          <t>Common / Comum</t>
        </is>
      </c>
      <c r="D2446" s="13" t="inlineStr">
        <is>
          <t>Flying, first strike. / Voar, iniciativa.</t>
        </is>
      </c>
      <c r="E2446" s="13" t="inlineStr">
        <is>
          <t>{3}{W}</t>
        </is>
      </c>
      <c r="F2446" s="13" t="inlineStr">
        <is>
          <t>Branco</t>
        </is>
      </c>
      <c r="G2446" s="8" t="n">
        <v>0.09</v>
      </c>
      <c r="H2446" s="13" t="inlineStr">
        <is>
          <t>Invasion (INV)</t>
        </is>
      </c>
      <c r="I2446" s="13" t="inlineStr">
        <is>
          <t>No</t>
        </is>
      </c>
      <c r="J2446" s="13" t="n">
        <v>2000</v>
      </c>
      <c r="K2446" s="10" t="n">
        <v>46055</v>
      </c>
      <c r="L2446" s="13" t="n">
        <v>1</v>
      </c>
      <c r="M2446" s="8">
        <f>L2446*G2446</f>
        <v/>
      </c>
      <c r="P2446" s="9" t="n"/>
    </row>
    <row r="2447">
      <c r="A2447" s="13" t="inlineStr">
        <is>
          <t>Razorkin Hordecaller</t>
        </is>
      </c>
      <c r="B2447" s="13" t="inlineStr">
        <is>
          <t>Creature — Human Clown Berserker</t>
        </is>
      </c>
      <c r="C2447" s="13" t="inlineStr">
        <is>
          <t>Uncommon / Incomum</t>
        </is>
      </c>
      <c r="D2447" s="13" t="inlineStr">
        <is>
          <t>Haste Whenever you attack, create a 1/1 red Gremlin creature token.</t>
        </is>
      </c>
      <c r="E2447" s="13" t="inlineStr">
        <is>
          <t>{4}{R}</t>
        </is>
      </c>
      <c r="F2447" s="13" t="inlineStr">
        <is>
          <t>Vermelho</t>
        </is>
      </c>
      <c r="G2447" s="8" t="n">
        <v>0.07000000000000001</v>
      </c>
      <c r="H2447" s="13" t="inlineStr">
        <is>
          <t>Duskmourn: House of Horror (DSK)</t>
        </is>
      </c>
      <c r="I2447" s="13" t="inlineStr">
        <is>
          <t>Não</t>
        </is>
      </c>
      <c r="J2447" s="13" t="n">
        <v>2024</v>
      </c>
      <c r="K2447" s="10" t="n">
        <v>46116</v>
      </c>
      <c r="L2447" s="13" t="n">
        <v>1</v>
      </c>
      <c r="M2447" s="8">
        <f>L2447*G2447</f>
        <v/>
      </c>
      <c r="P2447" s="9" t="n"/>
    </row>
    <row r="2448">
      <c r="A2448" s="13" t="inlineStr">
        <is>
          <t>Reach the Horizon / Alcançar o Horizonte</t>
        </is>
      </c>
      <c r="B2448" s="13" t="inlineStr">
        <is>
          <t>Feitiço</t>
        </is>
      </c>
      <c r="C2448" s="13" t="inlineStr">
        <is>
          <t>Incomum</t>
        </is>
      </c>
      <c r="D2448" s="13" t="inlineStr">
        <is>
          <t>Procure em seu grimório por até dois cards de terreno básico e/ou cards de Cidade com nomes diferentes, coloque-os no campo de batalha virados e depois embaralhe.</t>
        </is>
      </c>
      <c r="E2448" s="13" t="inlineStr">
        <is>
          <t>3{G}</t>
        </is>
      </c>
      <c r="F2448" s="13" t="inlineStr">
        <is>
          <t>Verde</t>
        </is>
      </c>
      <c r="G2448" s="8" t="n">
        <v>0.29</v>
      </c>
      <c r="H2448" s="13" t="inlineStr">
        <is>
          <t>Final Fantasy</t>
        </is>
      </c>
      <c r="I2448" s="13" t="inlineStr">
        <is>
          <t>Não</t>
        </is>
      </c>
      <c r="J2448" s="13" t="n">
        <v>2025</v>
      </c>
      <c r="L2448" s="13" t="n">
        <v>1</v>
      </c>
      <c r="M2448" s="8">
        <f>L2448*G2448</f>
        <v/>
      </c>
      <c r="P2448" s="9" t="n"/>
    </row>
    <row r="2449">
      <c r="A2449" s="13" t="inlineStr">
        <is>
          <t>Reach the Horizon / Alcançar o Horizonte</t>
        </is>
      </c>
      <c r="B2449" s="13" t="inlineStr">
        <is>
          <t>Feitiço</t>
        </is>
      </c>
      <c r="C2449" s="13" t="inlineStr">
        <is>
          <t>Incomum</t>
        </is>
      </c>
      <c r="D2449" s="13" t="inlineStr">
        <is>
          <t>Procure em seu grimório por até dois cards de terreno básico e/ou cards de Cidade com nomes diferentes, coloque-os no campo de batalha virados e depois embaralhe.</t>
        </is>
      </c>
      <c r="E2449" s="13" t="inlineStr">
        <is>
          <t>3{G}</t>
        </is>
      </c>
      <c r="F2449" s="13" t="inlineStr">
        <is>
          <t>Verde</t>
        </is>
      </c>
      <c r="G2449" s="8" t="n">
        <v>0.99</v>
      </c>
      <c r="H2449" s="13" t="inlineStr">
        <is>
          <t>Final Fantasy</t>
        </is>
      </c>
      <c r="I2449" s="13" t="inlineStr">
        <is>
          <t>Sim</t>
        </is>
      </c>
      <c r="J2449" s="13" t="n">
        <v>2025</v>
      </c>
      <c r="L2449" s="13" t="n">
        <v>1</v>
      </c>
      <c r="M2449" s="8">
        <f>L2449*G2449</f>
        <v/>
      </c>
      <c r="P2449" s="9" t="n"/>
    </row>
    <row r="2450">
      <c r="A2450" s="13" t="inlineStr">
        <is>
          <t>Read the Bones / Leia os Ossos</t>
        </is>
      </c>
      <c r="B2450" s="13" t="inlineStr">
        <is>
          <t>Sorcery / Feitiço</t>
        </is>
      </c>
      <c r="C2450" s="13" t="inlineStr">
        <is>
          <t>Common / Comum</t>
        </is>
      </c>
      <c r="D2450" s="13"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2450" s="13" t="inlineStr">
        <is>
          <t>{2}{B}</t>
        </is>
      </c>
      <c r="F2450" s="13" t="inlineStr">
        <is>
          <t>Preto</t>
        </is>
      </c>
      <c r="G2450" s="8" t="n">
        <v>0.38</v>
      </c>
      <c r="H2450" s="13" t="inlineStr">
        <is>
          <t>Commander 2014 (C14)</t>
        </is>
      </c>
      <c r="I2450" s="13" t="inlineStr">
        <is>
          <t>Não</t>
        </is>
      </c>
      <c r="J2450" s="13" t="n">
        <v>2014</v>
      </c>
      <c r="L2450" s="13" t="n">
        <v>1</v>
      </c>
      <c r="M2450" s="8">
        <f>L2450*G2450</f>
        <v/>
      </c>
      <c r="P2450" s="9" t="n"/>
    </row>
    <row r="2451">
      <c r="A2451" s="13" t="inlineStr">
        <is>
          <t>Reap the Seagraf / Colheita de Cemitério Marinho</t>
        </is>
      </c>
      <c r="B2451" s="13" t="inlineStr">
        <is>
          <t>Sorcery / Feitiço</t>
        </is>
      </c>
      <c r="C2451" s="13" t="inlineStr">
        <is>
          <t>Common / Comum</t>
        </is>
      </c>
      <c r="D2451" s="13"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2451" s="13" t="inlineStr">
        <is>
          <t>{2}{B}</t>
        </is>
      </c>
      <c r="F2451" s="13" t="inlineStr">
        <is>
          <t>Preto</t>
        </is>
      </c>
      <c r="G2451" s="8" t="n">
        <v>0.04</v>
      </c>
      <c r="H2451" s="13" t="inlineStr">
        <is>
          <t>Dark Ascension (DKA)</t>
        </is>
      </c>
      <c r="I2451" s="13" t="inlineStr">
        <is>
          <t>Não</t>
        </is>
      </c>
      <c r="J2451" s="13" t="n">
        <v>2012</v>
      </c>
      <c r="L2451" s="13" t="n">
        <v>1</v>
      </c>
      <c r="M2451" s="8">
        <f>L2451*G2451</f>
        <v/>
      </c>
      <c r="P2451" s="9" t="n"/>
    </row>
    <row r="2452">
      <c r="A2452" s="13" t="inlineStr">
        <is>
          <t>Rebellious Captives</t>
        </is>
      </c>
      <c r="B2452" s="13" t="inlineStr">
        <is>
          <t>Creature — Human Peasant Ally</t>
        </is>
      </c>
      <c r="C2452" s="13" t="inlineStr">
        <is>
          <t>Common / Comum</t>
        </is>
      </c>
      <c r="D2452" s="13"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452" s="13" t="inlineStr">
        <is>
          <t>{1}{G}</t>
        </is>
      </c>
      <c r="F2452" s="13" t="inlineStr">
        <is>
          <t>Verde</t>
        </is>
      </c>
      <c r="G2452" s="8" t="n">
        <v>0.04</v>
      </c>
      <c r="H2452" s="13" t="inlineStr">
        <is>
          <t>Avatar: The Last Airbender (TLA)</t>
        </is>
      </c>
      <c r="I2452" s="13" t="inlineStr">
        <is>
          <t>Não</t>
        </is>
      </c>
      <c r="J2452" s="13" t="n">
        <v>2025</v>
      </c>
      <c r="K2452" s="10" t="n">
        <v>46055</v>
      </c>
      <c r="L2452" s="13" t="n">
        <v>2</v>
      </c>
      <c r="M2452" s="8">
        <f>L2452*G2452</f>
        <v/>
      </c>
      <c r="P2452" s="9" t="n"/>
    </row>
    <row r="2453">
      <c r="A2453" s="13" t="inlineStr">
        <is>
          <t>Reckless Abandon / Abandono Impetuoso</t>
        </is>
      </c>
      <c r="B2453" s="13" t="inlineStr">
        <is>
          <t>Feitiço</t>
        </is>
      </c>
      <c r="C2453" s="13" t="inlineStr">
        <is>
          <t>Comum</t>
        </is>
      </c>
      <c r="D2453" s="13" t="inlineStr">
        <is>
          <t>Como custo adicional para conjurar Abandono Impetuoso, sacrifique uma criatura. Abandono Impetuoso causa 4 de dano à criatura ou ao jogador alvo.</t>
        </is>
      </c>
      <c r="E2453" s="13" t="inlineStr">
        <is>
          <t>R</t>
        </is>
      </c>
      <c r="F2453" s="13" t="inlineStr">
        <is>
          <t>Vermelho</t>
        </is>
      </c>
      <c r="G2453" s="8" t="n">
        <v>3.15</v>
      </c>
      <c r="H2453" s="13" t="inlineStr">
        <is>
          <t>Duel Decks: Speed vs. Cunning</t>
        </is>
      </c>
      <c r="I2453" s="13" t="inlineStr">
        <is>
          <t>Não</t>
        </is>
      </c>
      <c r="J2453" s="13" t="n">
        <v>2014</v>
      </c>
      <c r="L2453" s="13" t="n">
        <v>1</v>
      </c>
      <c r="M2453" s="8">
        <f>L2453*G2453</f>
        <v/>
      </c>
      <c r="P2453" s="9" t="n"/>
    </row>
    <row r="2454">
      <c r="A2454" s="13" t="inlineStr">
        <is>
          <t>Reckless Amplimancer / Amplimante Temerário</t>
        </is>
      </c>
      <c r="B2454" s="13" t="inlineStr">
        <is>
          <t>Creature — Elf Druid / Criatura — Elfo Druida</t>
        </is>
      </c>
      <c r="C2454" s="13" t="inlineStr">
        <is>
          <t>Common / Comum</t>
        </is>
      </c>
      <c r="D2454" s="13" t="inlineStr">
        <is>
          <t>{4}{G}: Double the power and toughness of Reckless Amplimancer until end of turn. / {4}{G}: Dobre o poder e a resistência de Amplimante Temerário até o final do turno.</t>
        </is>
      </c>
      <c r="E2454" s="13" t="inlineStr">
        <is>
          <t>{1}{G}</t>
        </is>
      </c>
      <c r="F2454" s="13" t="inlineStr">
        <is>
          <t>Verde</t>
        </is>
      </c>
      <c r="G2454" s="8" t="n">
        <v>0.06</v>
      </c>
      <c r="H2454" s="13" t="inlineStr">
        <is>
          <t>Strixhaven: School of Mages (STX)</t>
        </is>
      </c>
      <c r="I2454" s="13" t="inlineStr">
        <is>
          <t>Não</t>
        </is>
      </c>
      <c r="J2454" s="13" t="n">
        <v>2021</v>
      </c>
      <c r="K2454" s="10" t="n">
        <v>46055</v>
      </c>
      <c r="L2454" s="13" t="n">
        <v>4</v>
      </c>
      <c r="M2454" s="8">
        <f>L2454*G2454</f>
        <v/>
      </c>
      <c r="P2454" s="9" t="n"/>
    </row>
    <row r="2455">
      <c r="A2455" s="13" t="inlineStr">
        <is>
          <t>Reckless Fireweaver / Flamitecelão Temerário</t>
        </is>
      </c>
      <c r="B2455" s="13" t="inlineStr">
        <is>
          <t>Creature — Human Artificer / Criatura — Humano Artesão</t>
        </is>
      </c>
      <c r="C2455" s="13" t="inlineStr">
        <is>
          <t>Common / Comum</t>
        </is>
      </c>
      <c r="D2455" s="13" t="inlineStr">
        <is>
          <t>Whenever an artifact you control enters, this creature deals 1 damage to each opponent. / Toda vez que um artefato entra no campo de batalha sob seu controle, Flamitecelão Temerário causa 1 ponto de dano a cada oponente.</t>
        </is>
      </c>
      <c r="E2455" s="13" t="inlineStr">
        <is>
          <t>{1}{R}</t>
        </is>
      </c>
      <c r="F2455" s="13" t="inlineStr">
        <is>
          <t>Vermelho</t>
        </is>
      </c>
      <c r="G2455" s="8" t="n">
        <v>0.49</v>
      </c>
      <c r="H2455" s="13" t="inlineStr">
        <is>
          <t>Kaladesh (KLD)</t>
        </is>
      </c>
      <c r="I2455" s="13" t="inlineStr">
        <is>
          <t>Não</t>
        </is>
      </c>
      <c r="J2455" s="13" t="n">
        <v>2016</v>
      </c>
      <c r="K2455" s="10" t="n">
        <v>46082</v>
      </c>
      <c r="L2455" s="13" t="n">
        <v>1</v>
      </c>
      <c r="M2455" s="8">
        <f>L2455*G2455</f>
        <v/>
      </c>
      <c r="P2455" s="9" t="n"/>
    </row>
    <row r="2456">
      <c r="A2456" s="13" t="inlineStr">
        <is>
          <t>Reckless Handling / Manuseio Descuidado</t>
        </is>
      </c>
      <c r="B2456" s="13" t="inlineStr">
        <is>
          <t>Sorcery / Feitiço</t>
        </is>
      </c>
      <c r="C2456" s="13" t="inlineStr">
        <is>
          <t>Uncommon / Incomum</t>
        </is>
      </c>
      <c r="D2456" s="13"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2456" s="13" t="inlineStr">
        <is>
          <t>{1}{R}</t>
        </is>
      </c>
      <c r="F2456" s="13" t="inlineStr">
        <is>
          <t>Vermelho</t>
        </is>
      </c>
      <c r="G2456" s="8" t="n">
        <v>0.7</v>
      </c>
      <c r="H2456" s="13" t="inlineStr">
        <is>
          <t>March of the Machine: The Aftermath (MAT)</t>
        </is>
      </c>
      <c r="I2456" s="13" t="inlineStr">
        <is>
          <t>Não</t>
        </is>
      </c>
      <c r="J2456" s="13" t="n">
        <v>2023</v>
      </c>
      <c r="L2456" s="13" t="n">
        <v>1</v>
      </c>
      <c r="M2456" s="8">
        <f>L2456*G2456</f>
        <v/>
      </c>
      <c r="P2456" s="9" t="n"/>
    </row>
    <row r="2457">
      <c r="A2457" s="13" t="inlineStr">
        <is>
          <t>Reckless Ransacking</t>
        </is>
      </c>
      <c r="B2457" s="13" t="inlineStr">
        <is>
          <t>Instant</t>
        </is>
      </c>
      <c r="C2457" s="13" t="inlineStr">
        <is>
          <t>Common</t>
        </is>
      </c>
      <c r="D2457" s="13" t="inlineStr">
        <is>
          <t>Target creature gets +3/+2 until end of turn. Create a Treasure token. (It's an artifact with "{T}, Sacrifice this token: Add one mana of any color.")</t>
        </is>
      </c>
      <c r="E2457" s="13" t="inlineStr">
        <is>
          <t>{1}{R}</t>
        </is>
      </c>
      <c r="F2457" s="13" t="inlineStr">
        <is>
          <t>Red</t>
        </is>
      </c>
      <c r="G2457" s="8" t="n">
        <v>0.1</v>
      </c>
      <c r="H2457" s="13" t="inlineStr">
        <is>
          <t>Lorwyn Eclipsed (ECL)</t>
        </is>
      </c>
      <c r="I2457" s="13" t="inlineStr">
        <is>
          <t>No</t>
        </is>
      </c>
      <c r="J2457" s="13" t="n">
        <v>2026</v>
      </c>
      <c r="L2457" s="13" t="n">
        <v>1</v>
      </c>
      <c r="M2457" s="8">
        <f>L2457*G2457</f>
        <v/>
      </c>
      <c r="P2457" s="9" t="n"/>
    </row>
    <row r="2458">
      <c r="A2458" s="13" t="inlineStr">
        <is>
          <t>Reckoner Shakedown / Extorsão dos Justiceiros</t>
        </is>
      </c>
      <c r="B2458" s="13" t="inlineStr">
        <is>
          <t>Sorcery / Feitiço</t>
        </is>
      </c>
      <c r="C2458" s="13" t="inlineStr">
        <is>
          <t>Common / Comum</t>
        </is>
      </c>
      <c r="D2458" s="13"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2458" s="13" t="inlineStr">
        <is>
          <t>{2}{B}</t>
        </is>
      </c>
      <c r="F2458" s="13" t="inlineStr">
        <is>
          <t>Preto</t>
        </is>
      </c>
      <c r="G2458" s="8" t="n">
        <v>0.05</v>
      </c>
      <c r="H2458" s="13" t="inlineStr">
        <is>
          <t>Kamigawa: Neon Dynasty (NEO)</t>
        </is>
      </c>
      <c r="I2458" s="13" t="inlineStr">
        <is>
          <t>Não</t>
        </is>
      </c>
      <c r="J2458" s="13" t="n">
        <v>2022</v>
      </c>
      <c r="L2458" s="13" t="n">
        <v>1</v>
      </c>
      <c r="M2458" s="8">
        <f>L2458*G2458</f>
        <v/>
      </c>
      <c r="P2458" s="9" t="n"/>
    </row>
    <row r="2459">
      <c r="A2459" s="13" t="inlineStr">
        <is>
          <t>Red Mage's Rapier / Rapieira do Mago Vermelho</t>
        </is>
      </c>
      <c r="B2459" s="13" t="inlineStr">
        <is>
          <t>Artefato — Equipamento</t>
        </is>
      </c>
      <c r="C2459" s="13" t="inlineStr">
        <is>
          <t>Comum</t>
        </is>
      </c>
      <c r="D2459" s="13"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2459" s="13" t="inlineStr">
        <is>
          <t>1R</t>
        </is>
      </c>
      <c r="F2459" s="13" t="inlineStr">
        <is>
          <t>Vermelho</t>
        </is>
      </c>
      <c r="G2459" s="8" t="n">
        <v>0.12</v>
      </c>
      <c r="H2459" s="13" t="inlineStr">
        <is>
          <t>Final Fantasy</t>
        </is>
      </c>
      <c r="I2459" s="13" t="inlineStr">
        <is>
          <t>Não</t>
        </is>
      </c>
      <c r="J2459" s="13" t="n">
        <v>2025</v>
      </c>
      <c r="L2459" s="13" t="n">
        <v>5</v>
      </c>
      <c r="M2459" s="8">
        <f>L2459*G2459</f>
        <v/>
      </c>
      <c r="P2459" s="9" t="n"/>
    </row>
    <row r="2460">
      <c r="A2460" s="13" t="inlineStr">
        <is>
          <t>Red Mage's Rapier / Rapieira do Mago Vermelho</t>
        </is>
      </c>
      <c r="B2460" s="13" t="inlineStr">
        <is>
          <t>Artefato — Equipamento</t>
        </is>
      </c>
      <c r="C2460" s="13" t="inlineStr">
        <is>
          <t>Comum</t>
        </is>
      </c>
      <c r="D2460" s="13"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2460" s="13" t="inlineStr">
        <is>
          <t>1R</t>
        </is>
      </c>
      <c r="F2460" s="13" t="inlineStr">
        <is>
          <t>Vermelho</t>
        </is>
      </c>
      <c r="G2460" s="8" t="n">
        <v>0.4</v>
      </c>
      <c r="H2460" s="13" t="inlineStr">
        <is>
          <t>Final Fantasy</t>
        </is>
      </c>
      <c r="I2460" s="13" t="inlineStr">
        <is>
          <t>Sim</t>
        </is>
      </c>
      <c r="J2460" s="13" t="n">
        <v>2025</v>
      </c>
      <c r="L2460" s="13" t="n">
        <v>2</v>
      </c>
      <c r="M2460" s="8">
        <f>L2460*G2460</f>
        <v/>
      </c>
      <c r="P2460" s="9" t="n"/>
    </row>
    <row r="2461">
      <c r="A2461" s="13" t="inlineStr">
        <is>
          <t>Red Room Recruit / Recruta da Sala Vermelha</t>
        </is>
      </c>
      <c r="B2461" s="13" t="inlineStr">
        <is>
          <t>Criatura — Humano Espião Vilão</t>
        </is>
      </c>
      <c r="C2461" s="13" t="inlineStr">
        <is>
          <t>Comum</t>
        </is>
      </c>
      <c r="D2461" s="13" t="inlineStr">
        <is>
          <t>Quando esta criatura entrar, ela conspira. (Compre um card, depois descarte um card. Se você descartou um card não de terreno, coloque um marcador +1/+1 nesta criatura.)</t>
        </is>
      </c>
      <c r="E2461" s="13" t="inlineStr">
        <is>
          <t>1{B}</t>
        </is>
      </c>
      <c r="F2461" s="13" t="inlineStr">
        <is>
          <t>Preto</t>
        </is>
      </c>
      <c r="G2461" s="8" t="n">
        <v>0.35</v>
      </c>
      <c r="H2461" s="13" t="inlineStr">
        <is>
          <t>Marvel</t>
        </is>
      </c>
      <c r="I2461" s="13" t="inlineStr">
        <is>
          <t>Sim</t>
        </is>
      </c>
      <c r="J2461" s="13" t="n">
        <v>2026</v>
      </c>
      <c r="K2461" s="10" t="n">
        <v>46054</v>
      </c>
      <c r="L2461" s="13" t="n">
        <v>1</v>
      </c>
      <c r="M2461" s="8">
        <f>L2461*G2461</f>
        <v/>
      </c>
      <c r="P2461" s="9" t="n"/>
    </row>
    <row r="2462">
      <c r="A2462" s="13" t="inlineStr">
        <is>
          <t>Red Room Recruit / Recruta da Sala Vermelha</t>
        </is>
      </c>
      <c r="B2462" s="13" t="inlineStr">
        <is>
          <t>Criatura — Humano Espião Vilão</t>
        </is>
      </c>
      <c r="C2462" s="13" t="inlineStr">
        <is>
          <t>Comum</t>
        </is>
      </c>
      <c r="D2462" s="13" t="inlineStr">
        <is>
          <t>Quando esta criatura entrar, ela conspira. (Compre um card, depois descarte um card. Se você descartou um card não de terreno, coloque um marcador +1/+1 nesta criatura.)</t>
        </is>
      </c>
      <c r="E2462" s="13" t="inlineStr">
        <is>
          <t>1{B}</t>
        </is>
      </c>
      <c r="F2462" s="13" t="inlineStr">
        <is>
          <t>Preto</t>
        </is>
      </c>
      <c r="G2462" s="8" t="n">
        <v>0.13</v>
      </c>
      <c r="H2462" s="13" t="inlineStr">
        <is>
          <t>Marvel</t>
        </is>
      </c>
      <c r="I2462" s="13" t="inlineStr">
        <is>
          <t>Não</t>
        </is>
      </c>
      <c r="J2462" s="13" t="n">
        <v>2026</v>
      </c>
      <c r="K2462" s="10" t="n">
        <v>46054</v>
      </c>
      <c r="L2462" s="13" t="n">
        <v>1</v>
      </c>
      <c r="M2462" s="8">
        <f>L2462*G2462</f>
        <v/>
      </c>
      <c r="P2462" s="9" t="n"/>
    </row>
    <row r="2463">
      <c r="A2463" s="13" t="inlineStr">
        <is>
          <t>Red Tiger Mechan / Mecano-tigre Vermelho</t>
        </is>
      </c>
      <c r="B2463" s="13" t="inlineStr">
        <is>
          <t>Criatura Artefato — Robô Gato</t>
        </is>
      </c>
      <c r="C2463" s="13" t="inlineStr">
        <is>
          <t>Comum</t>
        </is>
      </c>
      <c r="D2463" s="13" t="inlineStr">
        <is>
          <t>Ímpeto. Dobra {1}{R} (Você pode conjurar este card de sua mão pelo seu custo de dobra. Exile esta criatura no início da próxima etapa final e depois você poderá conjurá-la do exílio em um turno posterior.)</t>
        </is>
      </c>
      <c r="E2463" s="13" t="inlineStr">
        <is>
          <t>3{R}</t>
        </is>
      </c>
      <c r="F2463" s="13" t="inlineStr">
        <is>
          <t>Vermelho</t>
        </is>
      </c>
      <c r="G2463" s="8" t="n">
        <v>0.05</v>
      </c>
      <c r="H2463" s="13" t="inlineStr">
        <is>
          <t>Edge of Eternity</t>
        </is>
      </c>
      <c r="I2463" s="13" t="inlineStr">
        <is>
          <t>Não</t>
        </is>
      </c>
      <c r="J2463" s="13" t="n">
        <v>2025</v>
      </c>
      <c r="K2463" s="10" t="n">
        <v>46084</v>
      </c>
      <c r="L2463" s="13" t="n">
        <v>1</v>
      </c>
      <c r="M2463" s="8">
        <f>L2463*G2463</f>
        <v/>
      </c>
      <c r="P2463" s="9" t="n"/>
    </row>
    <row r="2464">
      <c r="A2464" s="13" t="inlineStr">
        <is>
          <t>Reduce to Ashes / Reduzir a Cinzas</t>
        </is>
      </c>
      <c r="B2464" s="13" t="inlineStr">
        <is>
          <t>Sorcery / Feitiço</t>
        </is>
      </c>
      <c r="C2464" s="13" t="inlineStr">
        <is>
          <t>Common / Comum</t>
        </is>
      </c>
      <c r="D2464" s="13" t="inlineStr">
        <is>
          <t>Reduce to Ashes deals 5 damage to target creature. If that creature would die this turn, exile it instead. / Reduzir a Cinzas causa 5 pontos de dano à criatura alvo. Se aquela criatura for morrer neste turno, em vez disso, exile-a.</t>
        </is>
      </c>
      <c r="E2464" s="13" t="inlineStr">
        <is>
          <t>{4}{R}</t>
        </is>
      </c>
      <c r="F2464" s="13" t="inlineStr">
        <is>
          <t>Vermelho</t>
        </is>
      </c>
      <c r="G2464" s="8" t="n">
        <v>0.06</v>
      </c>
      <c r="H2464" s="13" t="inlineStr">
        <is>
          <t>Shadows over Innistrad (SOI)</t>
        </is>
      </c>
      <c r="I2464" s="13" t="inlineStr">
        <is>
          <t>Não</t>
        </is>
      </c>
      <c r="J2464" s="13" t="n">
        <v>2016</v>
      </c>
      <c r="L2464" s="13" t="n">
        <v>1</v>
      </c>
      <c r="M2464" s="8">
        <f>L2464*G2464</f>
        <v/>
      </c>
      <c r="P2464" s="9" t="n"/>
    </row>
    <row r="2465">
      <c r="A2465" s="13" t="inlineStr">
        <is>
          <t>Reef Worm / Verme do Recife</t>
        </is>
      </c>
      <c r="B2465" s="13" t="inlineStr">
        <is>
          <t>Creature — Worm / Criatura — Verme</t>
        </is>
      </c>
      <c r="C2465" s="13" t="inlineStr">
        <is>
          <t>Rare / Rara</t>
        </is>
      </c>
      <c r="D2465" s="13"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2465" s="13" t="inlineStr">
        <is>
          <t>{3}{U}</t>
        </is>
      </c>
      <c r="F2465" s="13" t="inlineStr">
        <is>
          <t>Azul</t>
        </is>
      </c>
      <c r="G2465" s="8" t="n">
        <v>0.19</v>
      </c>
      <c r="H2465" s="13" t="inlineStr">
        <is>
          <t>Masters 25 (A25)</t>
        </is>
      </c>
      <c r="I2465" s="13" t="inlineStr">
        <is>
          <t>Não</t>
        </is>
      </c>
      <c r="J2465" s="13" t="n">
        <v>2018</v>
      </c>
      <c r="K2465" s="13" t="inlineStr">
        <is>
          <t>0/1</t>
        </is>
      </c>
      <c r="L2465" s="13" t="n">
        <v>1</v>
      </c>
      <c r="M2465" s="8">
        <f>L2465*G2465</f>
        <v/>
      </c>
      <c r="P2465" s="9" t="n"/>
    </row>
    <row r="2466">
      <c r="A2466" s="13" t="inlineStr">
        <is>
          <t>Regal Bloodlord / Senhor Vampiro Régio</t>
        </is>
      </c>
      <c r="B2466" s="13" t="inlineStr">
        <is>
          <t>Creature — Vampire Soldier / Criatura — Vampiro Soldado</t>
        </is>
      </c>
      <c r="C2466" s="13" t="inlineStr">
        <is>
          <t>Uncommon / Incomum</t>
        </is>
      </c>
      <c r="D2466" s="13"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2466" s="13" t="inlineStr">
        <is>
          <t>{3}{W}{B}</t>
        </is>
      </c>
      <c r="F2466" s="13" t="inlineStr">
        <is>
          <t>Preto, Branco</t>
        </is>
      </c>
      <c r="G2466" s="8" t="n">
        <v>0.06</v>
      </c>
      <c r="H2466" s="13" t="inlineStr">
        <is>
          <t>Core Set 2019 (M19)</t>
        </is>
      </c>
      <c r="I2466" s="13" t="inlineStr">
        <is>
          <t>Não</t>
        </is>
      </c>
      <c r="J2466" s="13" t="n">
        <v>2018</v>
      </c>
      <c r="K2466" s="10" t="n">
        <v>46114</v>
      </c>
      <c r="L2466" s="13" t="n">
        <v>1</v>
      </c>
      <c r="M2466" s="8">
        <f>L2466*G2466</f>
        <v/>
      </c>
      <c r="P2466" s="9" t="n"/>
    </row>
    <row r="2467">
      <c r="A2467" s="13" t="inlineStr">
        <is>
          <t>Regathan Firecat / Felino Ígneo Regathano</t>
        </is>
      </c>
      <c r="B2467" s="13" t="inlineStr">
        <is>
          <t>Creature — Elemental Cat / Criatura — Elemental Felino</t>
        </is>
      </c>
      <c r="C2467" s="13" t="inlineStr">
        <is>
          <t>Common / Comum</t>
        </is>
      </c>
      <c r="E2467" s="13" t="inlineStr">
        <is>
          <t>{2}{R}</t>
        </is>
      </c>
      <c r="F2467" s="13" t="inlineStr">
        <is>
          <t>Vermelho</t>
        </is>
      </c>
      <c r="G2467" s="8" t="n">
        <v>0.06</v>
      </c>
      <c r="H2467" s="13" t="inlineStr">
        <is>
          <t>Magic 2014 (M14)</t>
        </is>
      </c>
      <c r="I2467" s="13" t="inlineStr">
        <is>
          <t>Não</t>
        </is>
      </c>
      <c r="J2467" s="13" t="n">
        <v>2013</v>
      </c>
      <c r="K2467" s="10" t="n">
        <v>46026</v>
      </c>
      <c r="L2467" s="13" t="n">
        <v>1</v>
      </c>
      <c r="M2467" s="8">
        <f>L2467*G2467</f>
        <v/>
      </c>
      <c r="P2467" s="9" t="n"/>
    </row>
    <row r="2468">
      <c r="A2468" s="13" t="inlineStr">
        <is>
          <t>Regenesis / Regênese</t>
        </is>
      </c>
      <c r="B2468" s="13" t="inlineStr">
        <is>
          <t>Instant / Mágica Instantânea</t>
        </is>
      </c>
      <c r="C2468" s="13" t="inlineStr">
        <is>
          <t>Uncommon / Incomum</t>
        </is>
      </c>
      <c r="D2468" s="13" t="inlineStr">
        <is>
          <t>Return up to two target permanent cards from your graveyard to your hand. / Devolva até dois cards de permanente alvo de seu cemitério para sua mão.</t>
        </is>
      </c>
      <c r="E2468" s="13" t="inlineStr">
        <is>
          <t>{3}{G}{G}</t>
        </is>
      </c>
      <c r="F2468" s="13" t="inlineStr">
        <is>
          <t>Verde</t>
        </is>
      </c>
      <c r="G2468" s="8" t="n">
        <v>0.05</v>
      </c>
      <c r="H2468" s="13" t="inlineStr">
        <is>
          <t>Ravnica Allegiance (RNA)</t>
        </is>
      </c>
      <c r="I2468" s="13" t="inlineStr">
        <is>
          <t>Não</t>
        </is>
      </c>
      <c r="J2468" s="13" t="n">
        <v>2019</v>
      </c>
      <c r="L2468" s="13" t="n">
        <v>1</v>
      </c>
      <c r="M2468" s="8">
        <f>L2468*G2468</f>
        <v/>
      </c>
      <c r="N2468" s="13" t="inlineStr">
        <is>
          <t>Bulk Shopee</t>
        </is>
      </c>
      <c r="P2468" s="9" t="n"/>
    </row>
    <row r="2469">
      <c r="A2469" s="13" t="inlineStr">
        <is>
          <t>Regent's Authority / Autoridade da Regente</t>
        </is>
      </c>
      <c r="B2469" s="13" t="inlineStr">
        <is>
          <t>Instant / Mágica Instantânea</t>
        </is>
      </c>
      <c r="C2469" s="13" t="inlineStr">
        <is>
          <t>Common / Comum</t>
        </is>
      </c>
      <c r="D2469" s="13"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2469" s="13" t="inlineStr">
        <is>
          <t>{W}</t>
        </is>
      </c>
      <c r="F2469" s="13" t="inlineStr">
        <is>
          <t>Branco</t>
        </is>
      </c>
      <c r="G2469" s="8" t="n">
        <v>0.06</v>
      </c>
      <c r="H2469" s="13" t="inlineStr">
        <is>
          <t>Kamigawa: Neon Dynasty (NEO)</t>
        </is>
      </c>
      <c r="I2469" s="13" t="inlineStr">
        <is>
          <t>Não</t>
        </is>
      </c>
      <c r="J2469" s="13" t="n">
        <v>2022</v>
      </c>
      <c r="L2469" s="13" t="n">
        <v>1</v>
      </c>
      <c r="M2469" s="8">
        <f>L2469*G2469</f>
        <v/>
      </c>
      <c r="P2469" s="9" t="n"/>
    </row>
    <row r="2470">
      <c r="A2470" s="13" t="inlineStr">
        <is>
          <t>Reinforcements</t>
        </is>
      </c>
      <c r="B2470" s="13" t="inlineStr">
        <is>
          <t>Mágica Instantânea / Instant</t>
        </is>
      </c>
      <c r="C2470" s="13" t="inlineStr">
        <is>
          <t>Comum / Common</t>
        </is>
      </c>
      <c r="D2470" s="13" t="inlineStr">
        <is>
          <t>Put up to three target creature cards from your graveyard on top of your library in any order.</t>
        </is>
      </c>
      <c r="E2470" s="13" t="inlineStr">
        <is>
          <t>{W}</t>
        </is>
      </c>
      <c r="F2470" s="13" t="inlineStr">
        <is>
          <t>Branco</t>
        </is>
      </c>
      <c r="G2470" s="8" t="n">
        <v>0.11</v>
      </c>
      <c r="H2470" s="13" t="inlineStr">
        <is>
          <t>Alliances (ALL)</t>
        </is>
      </c>
      <c r="I2470" s="13" t="inlineStr">
        <is>
          <t>Não</t>
        </is>
      </c>
      <c r="J2470" s="13" t="n">
        <v>1996</v>
      </c>
      <c r="L2470" s="13" t="n">
        <v>1</v>
      </c>
      <c r="M2470" s="8">
        <f>L2470*G2470</f>
        <v/>
      </c>
      <c r="P2470" s="9" t="n"/>
    </row>
    <row r="2471">
      <c r="A2471" s="13" t="inlineStr">
        <is>
          <t>Reknit / Retramar</t>
        </is>
      </c>
      <c r="B2471" s="13" t="inlineStr">
        <is>
          <t>Instant / Mágica Instantânea</t>
        </is>
      </c>
      <c r="C2471" s="13" t="inlineStr">
        <is>
          <t>Uncommon / Incomum</t>
        </is>
      </c>
      <c r="D2471" s="13" t="inlineStr">
        <is>
          <t>Regenerate target permanent. / Regenere a permanente alvo.</t>
        </is>
      </c>
      <c r="E2471" s="13" t="inlineStr">
        <is>
          <t>{1}{G/W}</t>
        </is>
      </c>
      <c r="F2471" s="13" t="inlineStr">
        <is>
          <t>Verde, Branco</t>
        </is>
      </c>
      <c r="G2471" s="8" t="n">
        <v>0.13</v>
      </c>
      <c r="H2471" s="13" t="inlineStr">
        <is>
          <t>Shadowmoor (SHM)</t>
        </is>
      </c>
      <c r="I2471" s="13" t="inlineStr">
        <is>
          <t>Não</t>
        </is>
      </c>
      <c r="J2471" s="13" t="n">
        <v>2008</v>
      </c>
      <c r="L2471" s="13" t="n">
        <v>1</v>
      </c>
      <c r="M2471" s="8">
        <f>L2471*G2471</f>
        <v/>
      </c>
      <c r="P2471" s="9" t="n"/>
    </row>
    <row r="2472">
      <c r="A2472" s="13" t="inlineStr">
        <is>
          <t>Relentless X-ATM092 / X-ATM092 Implacável</t>
        </is>
      </c>
      <c r="B2472" s="13" t="inlineStr">
        <is>
          <t>Criatura Artefato — Robô Aranha</t>
        </is>
      </c>
      <c r="C2472" s="13" t="inlineStr">
        <is>
          <t>Incomum</t>
        </is>
      </c>
      <c r="D2472" s="13"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472" s="13" t="n">
        <v>6</v>
      </c>
      <c r="F2472" s="13" t="inlineStr">
        <is>
          <t>Incolor</t>
        </is>
      </c>
      <c r="G2472" s="8" t="n">
        <v>0.4</v>
      </c>
      <c r="H2472" s="13" t="inlineStr">
        <is>
          <t>Final Fantasy</t>
        </is>
      </c>
      <c r="I2472" s="13" t="inlineStr">
        <is>
          <t>Sim</t>
        </is>
      </c>
      <c r="J2472" s="13" t="n">
        <v>2025</v>
      </c>
      <c r="K2472" s="10" t="n">
        <v>46148</v>
      </c>
      <c r="L2472" s="13" t="n">
        <v>1</v>
      </c>
      <c r="M2472" s="8">
        <f>L2472*G2472</f>
        <v/>
      </c>
      <c r="P2472" s="9" t="n"/>
    </row>
    <row r="2473">
      <c r="A2473" s="13" t="inlineStr">
        <is>
          <t>Relentless X-ATM092 / X-ATM092 Implacável</t>
        </is>
      </c>
      <c r="B2473" s="13" t="inlineStr">
        <is>
          <t>Criatura Artefato — Robô Aranha</t>
        </is>
      </c>
      <c r="C2473" s="13" t="inlineStr">
        <is>
          <t>Incomum</t>
        </is>
      </c>
      <c r="D2473" s="13"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473" s="13" t="n">
        <v>6</v>
      </c>
      <c r="F2473" s="13" t="inlineStr">
        <is>
          <t>Incolor</t>
        </is>
      </c>
      <c r="G2473" s="8" t="n">
        <v>0.18</v>
      </c>
      <c r="H2473" s="13" t="inlineStr">
        <is>
          <t>Final Fantasy</t>
        </is>
      </c>
      <c r="I2473" s="13" t="inlineStr">
        <is>
          <t>Não</t>
        </is>
      </c>
      <c r="J2473" s="13" t="n">
        <v>2025</v>
      </c>
      <c r="K2473" s="10" t="n">
        <v>46148</v>
      </c>
      <c r="L2473" s="13" t="n">
        <v>1</v>
      </c>
      <c r="M2473" s="8">
        <f>L2473*G2473</f>
        <v/>
      </c>
      <c r="P2473" s="9" t="n"/>
    </row>
    <row r="2474">
      <c r="A2474" s="13" t="inlineStr">
        <is>
          <t>Relm's Sketching / Esboço de Relm</t>
        </is>
      </c>
      <c r="B2474" s="13" t="inlineStr">
        <is>
          <t>Feitiço</t>
        </is>
      </c>
      <c r="C2474" s="13" t="inlineStr">
        <is>
          <t>Incomum</t>
        </is>
      </c>
      <c r="D2474" s="13" t="inlineStr">
        <is>
          <t>Crie uma ficha que seja uma cópia do artefato, criatura ou terreno alvo.</t>
        </is>
      </c>
      <c r="E2474" s="13" t="inlineStr">
        <is>
          <t>2{U}{U}</t>
        </is>
      </c>
      <c r="F2474" s="13" t="inlineStr">
        <is>
          <t>Azul</t>
        </is>
      </c>
      <c r="G2474" s="8" t="n">
        <v>0.5</v>
      </c>
      <c r="H2474" s="13" t="inlineStr">
        <is>
          <t>Final Fantasy</t>
        </is>
      </c>
      <c r="I2474" s="13" t="inlineStr">
        <is>
          <t>Sim</t>
        </is>
      </c>
      <c r="J2474" s="13" t="n">
        <v>2025</v>
      </c>
      <c r="L2474" s="13" t="n">
        <v>1</v>
      </c>
      <c r="M2474" s="8">
        <f>L2474*G2474</f>
        <v/>
      </c>
      <c r="P2474" s="9" t="n"/>
    </row>
    <row r="2475">
      <c r="A2475" s="13" t="inlineStr">
        <is>
          <t>Reluctant Dounguard</t>
        </is>
      </c>
      <c r="B2475" s="13" t="inlineStr">
        <is>
          <t>Creature — Kithkin Soldier</t>
        </is>
      </c>
      <c r="C2475" s="13" t="inlineStr">
        <is>
          <t>Common / Comum</t>
        </is>
      </c>
      <c r="D2475" s="13" t="inlineStr">
        <is>
          <t>This creature enters with two -1/-1 counters on it. Whenever another creature you control enters while this creature has a -1/-1 counter on it, remove a -1/-1 counter from this creature.</t>
        </is>
      </c>
      <c r="E2475" s="13" t="inlineStr">
        <is>
          <t>{2}{W}</t>
        </is>
      </c>
      <c r="F2475" s="13" t="inlineStr">
        <is>
          <t>Branco</t>
        </is>
      </c>
      <c r="G2475" s="8" t="n">
        <v>0.09</v>
      </c>
      <c r="H2475" s="13" t="inlineStr">
        <is>
          <t>Lorwyn Eclipsed (ECL)</t>
        </is>
      </c>
      <c r="I2475" s="13" t="inlineStr">
        <is>
          <t>Não</t>
        </is>
      </c>
      <c r="J2475" s="13" t="n">
        <v>2026</v>
      </c>
      <c r="K2475" s="10" t="n">
        <v>46116</v>
      </c>
      <c r="L2475" s="13" t="n">
        <v>4</v>
      </c>
      <c r="M2475" s="8">
        <f>L2475*G2475</f>
        <v/>
      </c>
      <c r="P2475" s="9" t="n"/>
    </row>
    <row r="2476">
      <c r="A2476" s="13" t="inlineStr">
        <is>
          <t>Render Speechless / Emudecer</t>
        </is>
      </c>
      <c r="B2476" s="13" t="inlineStr">
        <is>
          <t>Feitiço</t>
        </is>
      </c>
      <c r="C2476" s="13" t="inlineStr">
        <is>
          <t>Comum</t>
        </is>
      </c>
      <c r="D2476" s="13" t="inlineStr">
        <is>
          <t>O oponente alvo revela a própria mão. Você escolhe um card não de terreno dela. Aquele jogador descarta aquele card. Coloque dois marcadores +1/+1 em até uma criatura alvo.</t>
        </is>
      </c>
      <c r="E2476" s="13" t="inlineStr">
        <is>
          <t>2{W}{B}</t>
        </is>
      </c>
      <c r="F2476" s="13" t="inlineStr">
        <is>
          <t>Multicolorido</t>
        </is>
      </c>
      <c r="G2476" s="8" t="n">
        <v>0.09</v>
      </c>
      <c r="H2476" s="13" t="inlineStr">
        <is>
          <t>Strixhaven: School of Mages (SOS)</t>
        </is>
      </c>
      <c r="I2476" s="13" t="inlineStr">
        <is>
          <t>Não</t>
        </is>
      </c>
      <c r="J2476" s="13" t="n">
        <v>2026</v>
      </c>
      <c r="L2476" s="13" t="n">
        <v>1</v>
      </c>
      <c r="M2476" s="8">
        <f>L2476*G2476</f>
        <v/>
      </c>
      <c r="P2476" s="9" t="n"/>
    </row>
    <row r="2477">
      <c r="A2477" s="13" t="inlineStr">
        <is>
          <t>Renewed Faith / Fé Renovada</t>
        </is>
      </c>
      <c r="B2477" s="13" t="inlineStr">
        <is>
          <t>Instant / Mágica Instantânea</t>
        </is>
      </c>
      <c r="C2477" s="13" t="inlineStr">
        <is>
          <t>Common / Comum</t>
        </is>
      </c>
      <c r="D2477" s="13" t="inlineStr">
        <is>
          <t>You gain 6 life. Cycling {1}{W} ({1}{W}, Discard this card: Draw a card.) When you cycle this card, you may gain 2 life. / Você ganha 6 pontos de vida. Reciclar {1}{W} ({1}{W}, Descarte este card: Compre um card.) Quando recicla Fé Renovada, você pode ganhar 2 pontos de vida.</t>
        </is>
      </c>
      <c r="E2477" s="13" t="inlineStr">
        <is>
          <t>{2}{W}</t>
        </is>
      </c>
      <c r="F2477" s="13" t="inlineStr">
        <is>
          <t>Branco</t>
        </is>
      </c>
      <c r="G2477" s="8" t="n">
        <v>0.3</v>
      </c>
      <c r="H2477" s="13" t="inlineStr">
        <is>
          <t>Masters 25 (A25)</t>
        </is>
      </c>
      <c r="I2477" s="13" t="inlineStr">
        <is>
          <t>Sim</t>
        </is>
      </c>
      <c r="J2477" s="13" t="n">
        <v>2018</v>
      </c>
      <c r="L2477" s="13" t="n">
        <v>1</v>
      </c>
      <c r="M2477" s="8">
        <f>L2477*G2477</f>
        <v/>
      </c>
      <c r="P2477" s="9" t="n"/>
    </row>
    <row r="2478">
      <c r="A2478" s="13" t="inlineStr">
        <is>
          <t>Reno and Rude</t>
        </is>
      </c>
      <c r="B2478" s="13" t="inlineStr">
        <is>
          <t>Legendary Creature - Human Assassin</t>
        </is>
      </c>
      <c r="C2478" s="13" t="inlineStr">
        <is>
          <t>Incomum</t>
        </is>
      </c>
      <c r="D2478" s="13" t="inlineStr">
        <is>
          <t>Menace. Whenever Reno and Rude deals combat damage to a player, exile the top card of that player's library. Then you may sacrifice another creature or artifact. If you do, you may play the exiled card this turn, and mana of any type can be spent to cast it.</t>
        </is>
      </c>
      <c r="E2478" s="13" t="inlineStr">
        <is>
          <t>1B</t>
        </is>
      </c>
      <c r="F2478" s="13" t="inlineStr">
        <is>
          <t>Preto</t>
        </is>
      </c>
      <c r="G2478" s="8" t="n">
        <v>0.21</v>
      </c>
      <c r="H2478" s="13" t="inlineStr">
        <is>
          <t>Final Fantasy</t>
        </is>
      </c>
      <c r="I2478" s="13" t="inlineStr">
        <is>
          <t>Não</t>
        </is>
      </c>
      <c r="J2478" s="13" t="n">
        <v>2025</v>
      </c>
      <c r="K2478" s="10" t="n">
        <v>46024</v>
      </c>
      <c r="L2478" s="13" t="n">
        <v>2</v>
      </c>
      <c r="M2478" s="8">
        <f>L2478*G2478</f>
        <v/>
      </c>
      <c r="P2478" s="9" t="n"/>
    </row>
    <row r="2479">
      <c r="A2479" s="13" t="inlineStr">
        <is>
          <t>Renowned Weaver / Tecedora Renomada</t>
        </is>
      </c>
      <c r="B2479" s="13" t="inlineStr">
        <is>
          <t>Creature — Human Shaman / Criatura — Humano Xamã</t>
        </is>
      </c>
      <c r="C2479" s="13" t="inlineStr">
        <is>
          <t>Common / Comum</t>
        </is>
      </c>
      <c r="D2479" s="13"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479" s="13" t="inlineStr">
        <is>
          <t>{G}</t>
        </is>
      </c>
      <c r="F2479" s="13" t="inlineStr">
        <is>
          <t>Verde</t>
        </is>
      </c>
      <c r="G2479" s="8" t="n">
        <v>0.03</v>
      </c>
      <c r="H2479" s="13" t="inlineStr">
        <is>
          <t>Journey into Nyx (JOU)</t>
        </is>
      </c>
      <c r="I2479" s="13" t="inlineStr">
        <is>
          <t>Não</t>
        </is>
      </c>
      <c r="J2479" s="13" t="n">
        <v>2014</v>
      </c>
      <c r="K2479" s="10" t="n">
        <v>46023</v>
      </c>
      <c r="L2479" s="13" t="n">
        <v>5</v>
      </c>
      <c r="M2479" s="8">
        <f>L2479*G2479</f>
        <v/>
      </c>
      <c r="P2479" s="9" t="n"/>
    </row>
    <row r="2480">
      <c r="A2480" s="13" t="inlineStr">
        <is>
          <t>Repeal / Revogar</t>
        </is>
      </c>
      <c r="B2480" s="13" t="inlineStr">
        <is>
          <t>Mágica Instantânea</t>
        </is>
      </c>
      <c r="C2480" s="13" t="inlineStr">
        <is>
          <t>Comum</t>
        </is>
      </c>
      <c r="D2480" s="13" t="inlineStr">
        <is>
          <t>Devolva a permanente não de terreno alvo com custo de mana convertido X para a mão de seu dono. Compre um card.</t>
        </is>
      </c>
      <c r="E2480" s="13" t="inlineStr">
        <is>
          <t>XU</t>
        </is>
      </c>
      <c r="F2480" s="13" t="inlineStr">
        <is>
          <t>Azul</t>
        </is>
      </c>
      <c r="G2480" s="8" t="n">
        <v>0.09</v>
      </c>
      <c r="H2480" s="13" t="inlineStr">
        <is>
          <t>Duel Decks: Speed vs. Cunning</t>
        </is>
      </c>
      <c r="I2480" s="13" t="inlineStr">
        <is>
          <t>Não</t>
        </is>
      </c>
      <c r="J2480" s="13" t="n">
        <v>2014</v>
      </c>
      <c r="L2480" s="13" t="n">
        <v>1</v>
      </c>
      <c r="M2480" s="8">
        <f>L2480*G2480</f>
        <v/>
      </c>
      <c r="P2480" s="9" t="n"/>
    </row>
    <row r="2481">
      <c r="A2481" s="13" t="inlineStr">
        <is>
          <t>Repentant Blacksmith / Ferreiro Penitente</t>
        </is>
      </c>
      <c r="B2481" s="13" t="inlineStr">
        <is>
          <t>Creature — Human</t>
        </is>
      </c>
      <c r="C2481" s="13" t="inlineStr">
        <is>
          <t>Common / Comum</t>
        </is>
      </c>
      <c r="D2481" s="13" t="inlineStr">
        <is>
          <t>Protection from red</t>
        </is>
      </c>
      <c r="E2481" s="13" t="inlineStr">
        <is>
          <t>{1}{W}</t>
        </is>
      </c>
      <c r="F2481" s="13" t="inlineStr">
        <is>
          <t>Branco</t>
        </is>
      </c>
      <c r="G2481" s="8" t="n">
        <v>0.09</v>
      </c>
      <c r="H2481" s="13" t="inlineStr">
        <is>
          <t>Chronicles (CHR)</t>
        </is>
      </c>
      <c r="I2481" s="13" t="inlineStr">
        <is>
          <t>Não</t>
        </is>
      </c>
      <c r="J2481" s="13" t="n">
        <v>1995</v>
      </c>
      <c r="K2481" s="10" t="n">
        <v>46054</v>
      </c>
      <c r="L2481" s="13" t="n">
        <v>2</v>
      </c>
      <c r="M2481" s="8">
        <f>L2481*G2481</f>
        <v/>
      </c>
      <c r="P2481" s="9" t="n"/>
    </row>
    <row r="2482">
      <c r="A2482" s="13" t="inlineStr">
        <is>
          <t>Replication Specialist / Especialista em Replicação</t>
        </is>
      </c>
      <c r="B2482" s="13" t="inlineStr">
        <is>
          <t>Creature — Moonfolk Artificer / Criatura — Cidadão-da-lua Artesão</t>
        </is>
      </c>
      <c r="C2482" s="13" t="inlineStr">
        <is>
          <t>Uncommon / Incomum</t>
        </is>
      </c>
      <c r="D2482" s="13"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2482" s="13" t="inlineStr">
        <is>
          <t>{4}{U}</t>
        </is>
      </c>
      <c r="F2482" s="13" t="inlineStr">
        <is>
          <t>Azul</t>
        </is>
      </c>
      <c r="G2482" s="8" t="n">
        <v>0.1</v>
      </c>
      <c r="H2482" s="13" t="inlineStr">
        <is>
          <t>Kamigawa: Neon Dynasty (NEO)</t>
        </is>
      </c>
      <c r="I2482" s="13" t="inlineStr">
        <is>
          <t>Não</t>
        </is>
      </c>
      <c r="J2482" s="13" t="n">
        <v>2022</v>
      </c>
      <c r="K2482" s="10" t="n">
        <v>46115</v>
      </c>
      <c r="L2482" s="13" t="n">
        <v>1</v>
      </c>
      <c r="M2482" s="8">
        <f>L2482*G2482</f>
        <v/>
      </c>
      <c r="P2482" s="9" t="n"/>
    </row>
    <row r="2483">
      <c r="A2483" s="13" t="inlineStr">
        <is>
          <t>Reprisal</t>
        </is>
      </c>
      <c r="B2483" s="13" t="inlineStr">
        <is>
          <t>Mágica Instantânea / Instant</t>
        </is>
      </c>
      <c r="C2483" s="13" t="inlineStr">
        <is>
          <t>Incomum / Uncommon</t>
        </is>
      </c>
      <c r="D2483" s="13" t="inlineStr">
        <is>
          <t>Bury target creature with power 4 or greater.</t>
        </is>
      </c>
      <c r="E2483" s="13" t="inlineStr">
        <is>
          <t>{1}{W}</t>
        </is>
      </c>
      <c r="F2483" s="13" t="inlineStr">
        <is>
          <t>Branco</t>
        </is>
      </c>
      <c r="G2483" s="8" t="n">
        <v>0.14</v>
      </c>
      <c r="H2483" s="13" t="inlineStr">
        <is>
          <t>Alliances (ALL)</t>
        </is>
      </c>
      <c r="I2483" s="13" t="inlineStr">
        <is>
          <t>Não</t>
        </is>
      </c>
      <c r="J2483" s="13" t="n">
        <v>1996</v>
      </c>
      <c r="L2483" s="13" t="n">
        <v>1</v>
      </c>
      <c r="M2483" s="8">
        <f>L2483*G2483</f>
        <v/>
      </c>
      <c r="P2483" s="9" t="n"/>
    </row>
    <row r="2484">
      <c r="A2484" s="13" t="inlineStr">
        <is>
          <t>Rescue Skiff / Esquife de Resgate</t>
        </is>
      </c>
      <c r="B2484" s="13" t="inlineStr">
        <is>
          <t>Artefato — Nave Espacial</t>
        </is>
      </c>
      <c r="C2484" s="13" t="inlineStr">
        <is>
          <t>Incomum</t>
        </is>
      </c>
      <c r="D2484" s="13"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2484" s="13" t="inlineStr">
        <is>
          <t>5{W}</t>
        </is>
      </c>
      <c r="F2484" s="13" t="inlineStr">
        <is>
          <t>Branco</t>
        </is>
      </c>
      <c r="G2484" s="8" t="n">
        <v>0.09</v>
      </c>
      <c r="H2484" s="13" t="inlineStr">
        <is>
          <t>Edge of Eternity</t>
        </is>
      </c>
      <c r="I2484" s="13" t="inlineStr">
        <is>
          <t>Não</t>
        </is>
      </c>
      <c r="J2484" s="13" t="n">
        <v>2025</v>
      </c>
      <c r="K2484" s="10" t="n">
        <v>46178</v>
      </c>
      <c r="L2484" s="13" t="n">
        <v>1</v>
      </c>
      <c r="M2484" s="8">
        <f>L2484*G2484</f>
        <v/>
      </c>
      <c r="P2484" s="9" t="n"/>
    </row>
    <row r="2485">
      <c r="A2485" s="13" t="inlineStr">
        <is>
          <t>Resentful Revelation</t>
        </is>
      </c>
      <c r="B2485" s="13" t="inlineStr">
        <is>
          <t>Sorcery</t>
        </is>
      </c>
      <c r="C2485" s="13" t="inlineStr">
        <is>
          <t>Comum</t>
        </is>
      </c>
      <c r="D2485" s="13" t="inlineStr">
        <is>
          <t>Look at the top three cards of your library. Put one of them into your hand and the rest into your graveyard. Flashback 6B (You may cast this card from your graveyard for its flashback cost. Then exile it.)</t>
        </is>
      </c>
      <c r="E2485" s="13" t="inlineStr">
        <is>
          <t>1B</t>
        </is>
      </c>
      <c r="F2485" s="13" t="inlineStr">
        <is>
          <t>Preta</t>
        </is>
      </c>
      <c r="G2485" s="8" t="n">
        <v>0.1</v>
      </c>
      <c r="H2485" s="13" t="inlineStr">
        <is>
          <t>Final Fantasy (FFVII)</t>
        </is>
      </c>
      <c r="I2485" s="13" t="inlineStr">
        <is>
          <t>Não</t>
        </is>
      </c>
      <c r="J2485" s="13" t="n">
        <v>2025</v>
      </c>
      <c r="L2485" s="13" t="n">
        <v>3</v>
      </c>
      <c r="M2485" s="8">
        <f>L2485*G2485</f>
        <v/>
      </c>
      <c r="P2485" s="9" t="n"/>
    </row>
    <row r="2486">
      <c r="A2486" s="13" t="inlineStr">
        <is>
          <t>Resentful Revelation</t>
        </is>
      </c>
      <c r="B2486" s="13" t="inlineStr">
        <is>
          <t>Sorcery</t>
        </is>
      </c>
      <c r="C2486" s="13" t="inlineStr">
        <is>
          <t>Comum</t>
        </is>
      </c>
      <c r="D2486" s="13" t="inlineStr">
        <is>
          <t>Look at the top three cards of your library. Put one of them into your hand and the rest into your graveyard. Flashback 6B (You may cast this card from your graveyard for its flashback cost. Then exile it.)</t>
        </is>
      </c>
      <c r="E2486" s="13" t="inlineStr">
        <is>
          <t>1B</t>
        </is>
      </c>
      <c r="F2486" s="13" t="inlineStr">
        <is>
          <t>Preta</t>
        </is>
      </c>
      <c r="G2486" s="8" t="n">
        <v>0.1</v>
      </c>
      <c r="H2486" s="13" t="inlineStr">
        <is>
          <t>Final Fantasy (FFVII)</t>
        </is>
      </c>
      <c r="I2486" s="13" t="inlineStr">
        <is>
          <t>Sim</t>
        </is>
      </c>
      <c r="J2486" s="13" t="n">
        <v>2025</v>
      </c>
      <c r="L2486" s="13" t="n">
        <v>10</v>
      </c>
      <c r="M2486" s="8">
        <f>L2486*G2486</f>
        <v/>
      </c>
      <c r="P2486" s="9" t="n"/>
    </row>
    <row r="2487">
      <c r="A2487" s="13" t="inlineStr">
        <is>
          <t>Resistance Skywarden / Guardião Celeste da Resistência</t>
        </is>
      </c>
      <c r="B2487" s="13" t="inlineStr">
        <is>
          <t>Creature — Ogre Rebel / Criatura — Ogro Rebelde</t>
        </is>
      </c>
      <c r="C2487" s="13" t="inlineStr">
        <is>
          <t>Uncommon / Incomum</t>
        </is>
      </c>
      <c r="D2487" s="13" t="inlineStr">
        <is>
          <t>Menace (This creature can't be blocked except by two or more creatures.) Reach (This creature can block creatures with flying.) / Ameaçar, alcance</t>
        </is>
      </c>
      <c r="E2487" s="13" t="inlineStr">
        <is>
          <t>{3}{R}{R}</t>
        </is>
      </c>
      <c r="F2487" s="13" t="inlineStr">
        <is>
          <t>Vermelho</t>
        </is>
      </c>
      <c r="G2487" s="8" t="n">
        <v>0.04</v>
      </c>
      <c r="H2487" s="13" t="inlineStr">
        <is>
          <t>Phyrexia: All Will Be One (ONE)</t>
        </is>
      </c>
      <c r="I2487" s="13" t="inlineStr">
        <is>
          <t>Não</t>
        </is>
      </c>
      <c r="J2487" s="13" t="n">
        <v>2023</v>
      </c>
      <c r="K2487" s="10" t="n">
        <v>46147</v>
      </c>
      <c r="L2487" s="13" t="n">
        <v>1</v>
      </c>
      <c r="M2487" s="8">
        <f>L2487*G2487</f>
        <v/>
      </c>
      <c r="P2487" s="9" t="n"/>
    </row>
    <row r="2488">
      <c r="A2488" s="13" t="inlineStr">
        <is>
          <t>Resolute Rider / Ginete Resoluta</t>
        </is>
      </c>
      <c r="B2488" s="13" t="inlineStr">
        <is>
          <t>Creature — Human Knight / Criatura — Humano Cavaleiro</t>
        </is>
      </c>
      <c r="C2488" s="13" t="inlineStr">
        <is>
          <t>Uncommon / Incomum</t>
        </is>
      </c>
      <c r="D2488" s="13"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2488" s="13" t="inlineStr">
        <is>
          <t>{W/B}{W/B}{W/B}{W/B}</t>
        </is>
      </c>
      <c r="F2488" s="13" t="inlineStr">
        <is>
          <t>Preto, Branco</t>
        </is>
      </c>
      <c r="G2488" s="8" t="n">
        <v>0.08</v>
      </c>
      <c r="H2488" s="13" t="inlineStr">
        <is>
          <t>Throne of Eldraine (ELD)</t>
        </is>
      </c>
      <c r="I2488" s="13" t="inlineStr">
        <is>
          <t>Não</t>
        </is>
      </c>
      <c r="J2488" s="13" t="n">
        <v>2019</v>
      </c>
      <c r="K2488" s="10" t="n">
        <v>46057</v>
      </c>
      <c r="L2488" s="13" t="n">
        <v>2</v>
      </c>
      <c r="M2488" s="8">
        <f>L2488*G2488</f>
        <v/>
      </c>
      <c r="P2488" s="9" t="n"/>
    </row>
    <row r="2489">
      <c r="A2489" s="13" t="inlineStr">
        <is>
          <t>Restless Apparition / Aparição Inquieta</t>
        </is>
      </c>
      <c r="B2489" s="13" t="inlineStr">
        <is>
          <t>Creature — Spirit / Criatura — Espírito</t>
        </is>
      </c>
      <c r="C2489" s="13" t="inlineStr">
        <is>
          <t>Uncommon / Incomum</t>
        </is>
      </c>
      <c r="D2489" s="13"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2489" s="13" t="inlineStr">
        <is>
          <t>{W/B}{W/B}{W/B}</t>
        </is>
      </c>
      <c r="F2489" s="13" t="inlineStr">
        <is>
          <t>Preto, Branco</t>
        </is>
      </c>
      <c r="G2489" s="8" t="n">
        <v>0.12</v>
      </c>
      <c r="H2489" s="13" t="inlineStr">
        <is>
          <t>Modern Masters 2015 (MM2)</t>
        </is>
      </c>
      <c r="I2489" s="13" t="inlineStr">
        <is>
          <t>Não</t>
        </is>
      </c>
      <c r="J2489" s="13" t="n">
        <v>2015</v>
      </c>
      <c r="K2489" s="10" t="n">
        <v>46055</v>
      </c>
      <c r="L2489" s="13" t="n">
        <v>1</v>
      </c>
      <c r="M2489" s="8">
        <f>L2489*G2489</f>
        <v/>
      </c>
      <c r="P2489" s="9" t="n"/>
    </row>
    <row r="2490">
      <c r="A2490" s="13" t="inlineStr">
        <is>
          <t>Resurrected Cultist</t>
        </is>
      </c>
      <c r="B2490" s="13" t="inlineStr">
        <is>
          <t>Creature — Human Cleric</t>
        </is>
      </c>
      <c r="C2490" s="13" t="inlineStr">
        <is>
          <t>Common / Comum</t>
        </is>
      </c>
      <c r="D2490" s="13"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2490" s="13" t="inlineStr">
        <is>
          <t>{2}{B}</t>
        </is>
      </c>
      <c r="F2490" s="13" t="inlineStr">
        <is>
          <t>Preto</t>
        </is>
      </c>
      <c r="G2490" s="8" t="n">
        <v>0.04</v>
      </c>
      <c r="H2490" s="13" t="inlineStr">
        <is>
          <t>Duskmourn: House of Horror (DSK)</t>
        </is>
      </c>
      <c r="I2490" s="13" t="inlineStr">
        <is>
          <t>Não</t>
        </is>
      </c>
      <c r="J2490" s="13" t="n">
        <v>2024</v>
      </c>
      <c r="K2490" s="10" t="n">
        <v>46026</v>
      </c>
      <c r="L2490" s="13" t="n">
        <v>1</v>
      </c>
      <c r="M2490" s="8">
        <f>L2490*G2490</f>
        <v/>
      </c>
      <c r="P2490" s="9" t="n"/>
    </row>
    <row r="2491">
      <c r="A2491" s="13" t="inlineStr">
        <is>
          <t>Resurrection / Ressurreição</t>
        </is>
      </c>
      <c r="B2491" s="13" t="inlineStr">
        <is>
          <t>Sorcery / Feitiço</t>
        </is>
      </c>
      <c r="C2491" s="13" t="inlineStr">
        <is>
          <t>Uncommon / Incomum</t>
        </is>
      </c>
      <c r="D2491" s="13" t="inlineStr">
        <is>
          <t>Return target creature card from your graveyard to the battlefield. / Devolva o card alvo de criatura de seu cemitério para o jogo.</t>
        </is>
      </c>
      <c r="E2491" s="13" t="inlineStr">
        <is>
          <t>{2}{W}{W}</t>
        </is>
      </c>
      <c r="F2491" s="13" t="inlineStr">
        <is>
          <t>Branco</t>
        </is>
      </c>
      <c r="G2491" s="8" t="n">
        <v>0.8</v>
      </c>
      <c r="H2491" s="13" t="inlineStr">
        <is>
          <t>Revised Edition</t>
        </is>
      </c>
      <c r="I2491" s="13" t="inlineStr">
        <is>
          <t>Não</t>
        </is>
      </c>
      <c r="J2491" s="13" t="n">
        <v>1994</v>
      </c>
      <c r="L2491" s="13" t="n">
        <v>1</v>
      </c>
      <c r="M2491" s="8">
        <f>L2491*G2491</f>
        <v/>
      </c>
      <c r="P2491" s="9" t="n"/>
    </row>
    <row r="2492">
      <c r="A2492" s="13" t="inlineStr">
        <is>
          <t>Retched Wretch</t>
        </is>
      </c>
      <c r="B2492" s="13" t="inlineStr">
        <is>
          <t>Creature — Goblin</t>
        </is>
      </c>
      <c r="C2492" s="13" t="inlineStr">
        <is>
          <t>Uncommon</t>
        </is>
      </c>
      <c r="D2492" s="13" t="inlineStr">
        <is>
          <t>When this creature dies, if it had a -1/-1 counter on it, return it to the battlefield under its owner's control and it loses all abilities.</t>
        </is>
      </c>
      <c r="E2492" s="13" t="inlineStr">
        <is>
          <t>{2}{B}</t>
        </is>
      </c>
      <c r="F2492" s="13" t="inlineStr">
        <is>
          <t>Preto</t>
        </is>
      </c>
      <c r="G2492" s="8" t="n">
        <v>0.07000000000000001</v>
      </c>
      <c r="H2492" s="13" t="inlineStr">
        <is>
          <t>Lorwyn Eclipsed (ECL)</t>
        </is>
      </c>
      <c r="I2492" s="13" t="inlineStr">
        <is>
          <t>Não</t>
        </is>
      </c>
      <c r="J2492" s="13" t="n">
        <v>2026</v>
      </c>
      <c r="K2492" s="10" t="n">
        <v>46057</v>
      </c>
      <c r="L2492" s="13" t="n">
        <v>1</v>
      </c>
      <c r="M2492" s="8">
        <f>L2492*G2492</f>
        <v/>
      </c>
      <c r="P2492" s="9" t="n"/>
    </row>
    <row r="2493">
      <c r="A2493" s="13" t="inlineStr">
        <is>
          <t>Retraction Helix / Hélice de Retração</t>
        </is>
      </c>
      <c r="B2493" s="13" t="inlineStr">
        <is>
          <t>Instant / Mágica Instantânea</t>
        </is>
      </c>
      <c r="C2493" s="13" t="inlineStr">
        <is>
          <t>Common / Comum</t>
        </is>
      </c>
      <c r="D2493" s="13" t="inlineStr">
        <is>
          <t>Until end of turn, target creature gains "{T}: Return target nonland permanent to its owner's hand." / Até o final do turno, a criatura alvo ganha "{T}: Devolva a permanente alvo que não seja um terreno para a mão de seu dono."</t>
        </is>
      </c>
      <c r="E2493" s="13" t="inlineStr">
        <is>
          <t>{U}</t>
        </is>
      </c>
      <c r="F2493" s="13" t="inlineStr">
        <is>
          <t>Azul</t>
        </is>
      </c>
      <c r="G2493" s="8" t="n">
        <v>0.05</v>
      </c>
      <c r="H2493" s="13" t="inlineStr">
        <is>
          <t>Born of the Gods (BNG)</t>
        </is>
      </c>
      <c r="I2493" s="13" t="inlineStr">
        <is>
          <t>Não</t>
        </is>
      </c>
      <c r="J2493" s="13" t="n">
        <v>2014</v>
      </c>
      <c r="L2493" s="13" t="n">
        <v>1</v>
      </c>
      <c r="M2493" s="8">
        <f>L2493*G2493</f>
        <v/>
      </c>
      <c r="P2493" s="9" t="n"/>
    </row>
    <row r="2494">
      <c r="A2494" s="13" t="inlineStr">
        <is>
          <t>Retribution / Retribuição</t>
        </is>
      </c>
      <c r="B2494" s="13" t="inlineStr">
        <is>
          <t>Sorcery</t>
        </is>
      </c>
      <c r="C2494" s="13" t="inlineStr">
        <is>
          <t>Uncommon / Incomum</t>
        </is>
      </c>
      <c r="D2494" s="13" t="inlineStr">
        <is>
          <t>Choose two target creatures controlled by the same opponent. That player chooses and sacrifices one of those creatures. Put a -1/-1 counter on the other.</t>
        </is>
      </c>
      <c r="E2494" s="13" t="inlineStr">
        <is>
          <t>{2}{R}{R}</t>
        </is>
      </c>
      <c r="F2494" s="13" t="inlineStr">
        <is>
          <t>Vermelho</t>
        </is>
      </c>
      <c r="G2494" s="8" t="n">
        <v>0.12</v>
      </c>
      <c r="H2494" s="13" t="inlineStr">
        <is>
          <t>Homelands (HML)</t>
        </is>
      </c>
      <c r="I2494" s="13" t="inlineStr">
        <is>
          <t>Não</t>
        </is>
      </c>
      <c r="J2494" s="13" t="n">
        <v>1995</v>
      </c>
      <c r="L2494" s="13" t="n">
        <v>1</v>
      </c>
      <c r="M2494" s="8">
        <f>L2494*G2494</f>
        <v/>
      </c>
      <c r="P2494" s="9" t="n"/>
    </row>
    <row r="2495">
      <c r="A2495" s="13" t="inlineStr">
        <is>
          <t>Retributive Wand / Varinha Retribuidora</t>
        </is>
      </c>
      <c r="B2495" s="13" t="inlineStr">
        <is>
          <t>Artifact / Artefato</t>
        </is>
      </c>
      <c r="C2495" s="13" t="inlineStr">
        <is>
          <t>Uncommon / Incomum</t>
        </is>
      </c>
      <c r="D2495" s="13" t="inlineStr">
        <is>
          <t>{3}, {T}: Retributive Wand deals 1 damage to any target. When Retributive Wand is put into a graveyard from the battlefield, it deals 5 damage to any target.</t>
        </is>
      </c>
      <c r="E2495" s="13" t="inlineStr">
        <is>
          <t>{3}</t>
        </is>
      </c>
      <c r="F2495" s="13" t="inlineStr">
        <is>
          <t>Incolor</t>
        </is>
      </c>
      <c r="G2495" s="8" t="n">
        <v>0.06</v>
      </c>
      <c r="H2495" s="13" t="inlineStr">
        <is>
          <t>Core Set 2020 (M20)</t>
        </is>
      </c>
      <c r="I2495" s="13" t="inlineStr">
        <is>
          <t>No</t>
        </is>
      </c>
      <c r="J2495" s="13" t="n">
        <v>2019</v>
      </c>
      <c r="L2495" s="13" t="n">
        <v>1</v>
      </c>
      <c r="M2495" s="8">
        <f>L2495*G2495</f>
        <v/>
      </c>
      <c r="P2495" s="9" t="n"/>
    </row>
    <row r="2496">
      <c r="A2496" s="13" t="inlineStr">
        <is>
          <t>Retrieve the Esper / Recuperar o Esper</t>
        </is>
      </c>
      <c r="B2496" s="13" t="inlineStr">
        <is>
          <t>Feitiço</t>
        </is>
      </c>
      <c r="C2496" s="13" t="inlineStr">
        <is>
          <t>Comum</t>
        </is>
      </c>
      <c r="D2496" s="13"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2496" s="13" t="inlineStr">
        <is>
          <t>3{U}</t>
        </is>
      </c>
      <c r="F2496" s="13" t="inlineStr">
        <is>
          <t>Azul</t>
        </is>
      </c>
      <c r="G2496" s="8" t="n">
        <v>0.05</v>
      </c>
      <c r="H2496" s="13" t="inlineStr">
        <is>
          <t>Final Fantasy</t>
        </is>
      </c>
      <c r="I2496" s="13" t="inlineStr">
        <is>
          <t>Não</t>
        </is>
      </c>
      <c r="J2496" s="13" t="n">
        <v>2025</v>
      </c>
      <c r="L2496" s="13" t="n">
        <v>6</v>
      </c>
      <c r="M2496" s="8">
        <f>L2496*G2496</f>
        <v/>
      </c>
      <c r="P2496" s="9" t="n"/>
    </row>
    <row r="2497">
      <c r="A2497" s="13" t="inlineStr">
        <is>
          <t>Retrieve the Esper / Recuperar o Esper</t>
        </is>
      </c>
      <c r="B2497" s="13" t="inlineStr">
        <is>
          <t>Feitiço</t>
        </is>
      </c>
      <c r="C2497" s="13" t="inlineStr">
        <is>
          <t>Comum</t>
        </is>
      </c>
      <c r="D2497" s="13"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2497" s="13" t="inlineStr">
        <is>
          <t>3{U}</t>
        </is>
      </c>
      <c r="F2497" s="13" t="inlineStr">
        <is>
          <t>Azul</t>
        </is>
      </c>
      <c r="G2497" s="8" t="n">
        <v>0.14</v>
      </c>
      <c r="H2497" s="13" t="inlineStr">
        <is>
          <t>Final Fantasy</t>
        </is>
      </c>
      <c r="I2497" s="13" t="inlineStr">
        <is>
          <t>Sim</t>
        </is>
      </c>
      <c r="J2497" s="13" t="n">
        <v>2025</v>
      </c>
      <c r="L2497" s="13" t="n">
        <v>3</v>
      </c>
      <c r="M2497" s="8">
        <f>L2497*G2497</f>
        <v/>
      </c>
      <c r="P2497" s="9" t="n"/>
    </row>
    <row r="2498">
      <c r="A2498" s="13" t="inlineStr">
        <is>
          <t>Retro-Mutation</t>
        </is>
      </c>
      <c r="B2498" s="13" t="inlineStr">
        <is>
          <t>Enchantment — Aura</t>
        </is>
      </c>
      <c r="C2498" s="13" t="inlineStr">
        <is>
          <t>Common / Comum</t>
        </is>
      </c>
      <c r="D2498" s="13" t="inlineStr">
        <is>
          <t>Flash Enchant creature Enchanted creature is a Turtle with base power and toughness 0/1. It can't attack and loses all abilities. (It also loses all other creature types.)</t>
        </is>
      </c>
      <c r="E2498" s="13" t="inlineStr">
        <is>
          <t>{2}{U}</t>
        </is>
      </c>
      <c r="F2498" s="13" t="inlineStr">
        <is>
          <t>Azul</t>
        </is>
      </c>
      <c r="G2498" s="8" t="n">
        <v>0.1</v>
      </c>
      <c r="H2498" s="13" t="inlineStr">
        <is>
          <t>Teenage Mutant Ninja Turtles (TMT)</t>
        </is>
      </c>
      <c r="I2498" s="13" t="inlineStr">
        <is>
          <t>Não</t>
        </is>
      </c>
      <c r="J2498" s="13" t="n">
        <v>2026</v>
      </c>
      <c r="L2498" s="13" t="n">
        <v>2</v>
      </c>
      <c r="M2498" s="8">
        <f>L2498*G2498</f>
        <v/>
      </c>
      <c r="P2498" s="9" t="n"/>
    </row>
    <row r="2499">
      <c r="A2499" s="13" t="inlineStr">
        <is>
          <t>Return to Action / De Volta à Ação</t>
        </is>
      </c>
      <c r="B2499" s="13" t="inlineStr">
        <is>
          <t>Instant / Mágica Instantânea</t>
        </is>
      </c>
      <c r="C2499" s="13" t="inlineStr">
        <is>
          <t>Common / Comum</t>
        </is>
      </c>
      <c r="D2499" s="13"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2499" s="13" t="inlineStr">
        <is>
          <t>{1}{B}</t>
        </is>
      </c>
      <c r="F2499" s="13" t="inlineStr">
        <is>
          <t>Preto</t>
        </is>
      </c>
      <c r="G2499" s="8" t="n">
        <v>0.2</v>
      </c>
      <c r="H2499" s="13" t="inlineStr">
        <is>
          <t>Kamigawa: Neon Dynasty (NEO)</t>
        </is>
      </c>
      <c r="I2499" s="13" t="inlineStr">
        <is>
          <t>Não</t>
        </is>
      </c>
      <c r="J2499" s="13" t="n">
        <v>2022</v>
      </c>
      <c r="L2499" s="13" t="n">
        <v>2</v>
      </c>
      <c r="M2499" s="8">
        <f>L2499*G2499</f>
        <v/>
      </c>
      <c r="P2499" s="9" t="n"/>
    </row>
    <row r="2500">
      <c r="A2500" s="13" t="inlineStr">
        <is>
          <t>Return to Nature / Retorno à Natureza</t>
        </is>
      </c>
      <c r="B2500" s="13" t="inlineStr">
        <is>
          <t>Instant / Mágica Instantânea</t>
        </is>
      </c>
      <c r="C2500" s="13" t="inlineStr">
        <is>
          <t>Common / Comum</t>
        </is>
      </c>
      <c r="D2500" s="13" t="inlineStr">
        <is>
          <t>Choose one — • Destroy target artifact. • Destroy target enchantment. • Exile target card from a graveyard. / Escolha um — • Destrua o artefato alvo. • Destrua o encantamento alvo. • Exile o card alvo de um cemitério.</t>
        </is>
      </c>
      <c r="E2500" s="13" t="inlineStr">
        <is>
          <t>{1}{G}</t>
        </is>
      </c>
      <c r="F2500" s="13" t="inlineStr">
        <is>
          <t>Verde</t>
        </is>
      </c>
      <c r="G2500" s="8" t="n">
        <v>0.13</v>
      </c>
      <c r="H2500" s="13" t="inlineStr">
        <is>
          <t>War of the Spark (WAR)</t>
        </is>
      </c>
      <c r="I2500" s="13" t="inlineStr">
        <is>
          <t>Não</t>
        </is>
      </c>
      <c r="J2500" s="13" t="n">
        <v>2019</v>
      </c>
      <c r="L2500" s="13" t="n">
        <v>1</v>
      </c>
      <c r="M2500" s="8">
        <f>L2500*G2500</f>
        <v/>
      </c>
      <c r="P2500" s="9" t="n"/>
    </row>
    <row r="2501">
      <c r="A2501" s="13" t="inlineStr">
        <is>
          <t>Return to the Sewers</t>
        </is>
      </c>
      <c r="B2501" s="13" t="inlineStr">
        <is>
          <t>Instant</t>
        </is>
      </c>
      <c r="C2501" s="13" t="inlineStr">
        <is>
          <t>Common / Comum</t>
        </is>
      </c>
      <c r="D2501" s="13" t="inlineStr">
        <is>
          <t>Target creature's owner puts it on their choice of the top or bottom of their library. You create a Mutagen token. (It's an artifact with "{1}, {T}, Sacrifice this token: Put a +1/+1 counter on target creature. Activate only as a sorcery.")</t>
        </is>
      </c>
      <c r="E2501" s="13" t="inlineStr">
        <is>
          <t>{3}{U}</t>
        </is>
      </c>
      <c r="F2501" s="13" t="inlineStr">
        <is>
          <t>Azul</t>
        </is>
      </c>
      <c r="G2501" s="8" t="n">
        <v>0.05</v>
      </c>
      <c r="H2501" s="13" t="inlineStr">
        <is>
          <t>Teenage Mutant Ninja Turtles (TMT)</t>
        </is>
      </c>
      <c r="I2501" s="13" t="inlineStr">
        <is>
          <t>Não</t>
        </is>
      </c>
      <c r="J2501" s="13" t="n">
        <v>2026</v>
      </c>
      <c r="L2501" s="13" t="n">
        <v>1</v>
      </c>
      <c r="M2501" s="8">
        <f>L2501*G2501</f>
        <v/>
      </c>
      <c r="P2501" s="9" t="n"/>
    </row>
    <row r="2502">
      <c r="A2502" s="13" t="inlineStr">
        <is>
          <t>Return to the Sewers</t>
        </is>
      </c>
      <c r="B2502" s="13" t="inlineStr">
        <is>
          <t>Instant</t>
        </is>
      </c>
      <c r="C2502" s="13" t="inlineStr">
        <is>
          <t>Common / Comum</t>
        </is>
      </c>
      <c r="D2502" s="13" t="inlineStr">
        <is>
          <t>Target creature's owner puts it on their choice of the top or bottom of their library. You create a Mutagen token. (It's an artifact with "{1}, {T}, Sacrifice this token: Put a +1/+1 counter on target creature. Activate only as a sorcery.")</t>
        </is>
      </c>
      <c r="E2502" s="13" t="inlineStr">
        <is>
          <t>{3}{U}</t>
        </is>
      </c>
      <c r="F2502" s="13" t="inlineStr">
        <is>
          <t>Azul</t>
        </is>
      </c>
      <c r="G2502" s="8" t="n">
        <v>0.2</v>
      </c>
      <c r="H2502" s="13" t="inlineStr">
        <is>
          <t>Teenage Mutant Ninja Turtles (TMT)</t>
        </is>
      </c>
      <c r="I2502" s="13" t="inlineStr">
        <is>
          <t>Sim</t>
        </is>
      </c>
      <c r="J2502" s="13" t="n">
        <v>2026</v>
      </c>
      <c r="L2502" s="13" t="n">
        <v>1</v>
      </c>
      <c r="M2502" s="8">
        <f>L2502*G2502</f>
        <v/>
      </c>
      <c r="P2502" s="9" t="n"/>
    </row>
    <row r="2503">
      <c r="A2503" s="13" t="inlineStr">
        <is>
          <t>Returned Reveler / Festeiro Ressurgido</t>
        </is>
      </c>
      <c r="B2503" s="13" t="inlineStr">
        <is>
          <t>Creature — Zombie Satyr / Criatura — Zumbi Sátiro</t>
        </is>
      </c>
      <c r="C2503" s="13" t="inlineStr">
        <is>
          <t>Common / Comum</t>
        </is>
      </c>
      <c r="D2503" s="13" t="inlineStr">
        <is>
          <t>When this creature dies, each player mills three cards. / Quando Festeiro Ressurgido morre, cada jogador coloca os três primeiros cards do próprio grimório no próprio cemitério.</t>
        </is>
      </c>
      <c r="E2503" s="13" t="inlineStr">
        <is>
          <t>{1}{B}</t>
        </is>
      </c>
      <c r="F2503" s="13" t="inlineStr">
        <is>
          <t>Preto</t>
        </is>
      </c>
      <c r="G2503" s="8" t="n">
        <v>0.03</v>
      </c>
      <c r="H2503" s="13" t="inlineStr">
        <is>
          <t>Journey into Nyx (JOU)</t>
        </is>
      </c>
      <c r="I2503" s="13" t="inlineStr">
        <is>
          <t>Não</t>
        </is>
      </c>
      <c r="J2503" s="13" t="n">
        <v>2014</v>
      </c>
      <c r="K2503" s="10" t="n">
        <v>46082</v>
      </c>
      <c r="L2503" s="13" t="n">
        <v>2</v>
      </c>
      <c r="M2503" s="8">
        <f>L2503*G2503</f>
        <v/>
      </c>
      <c r="P2503" s="9" t="n"/>
    </row>
    <row r="2504">
      <c r="A2504" s="13" t="inlineStr">
        <is>
          <t>Revel of the Fallen God / Festança do Deus Caído</t>
        </is>
      </c>
      <c r="B2504" s="13" t="inlineStr">
        <is>
          <t>Feitiço</t>
        </is>
      </c>
      <c r="C2504" s="13" t="inlineStr">
        <is>
          <t>Incomum</t>
        </is>
      </c>
      <c r="D2504" s="13" t="inlineStr">
        <is>
          <t>Todas as criaturas recebem +2/-2 até o final do turno.</t>
        </is>
      </c>
      <c r="E2504" s="13" t="inlineStr">
        <is>
          <t>3RR</t>
        </is>
      </c>
      <c r="F2504" s="13" t="inlineStr">
        <is>
          <t>Vermelho</t>
        </is>
      </c>
      <c r="G2504" s="8" t="n">
        <v>0.05</v>
      </c>
      <c r="H2504" s="13" t="inlineStr">
        <is>
          <t>Journey into Nyx</t>
        </is>
      </c>
      <c r="I2504" s="13" t="inlineStr">
        <is>
          <t>Não</t>
        </is>
      </c>
      <c r="J2504" s="13" t="n">
        <v>2014</v>
      </c>
      <c r="L2504" s="13" t="n">
        <v>3</v>
      </c>
      <c r="M2504" s="8">
        <f>L2504*G2504</f>
        <v/>
      </c>
      <c r="P2504" s="9" t="n"/>
    </row>
    <row r="2505">
      <c r="A2505" s="13" t="inlineStr">
        <is>
          <t>Reverse Damage</t>
        </is>
      </c>
      <c r="B2505" s="13" t="inlineStr">
        <is>
          <t>Mágica Instantânea / Instant</t>
        </is>
      </c>
      <c r="C2505" s="13" t="inlineStr">
        <is>
          <t>Rara / Rare</t>
        </is>
      </c>
      <c r="D2505" s="13" t="inlineStr">
        <is>
          <t>All damage dealt to you so far this turn by one source is retroactively added to your life total instead of subtracted. Further damage this turn is treated normally.</t>
        </is>
      </c>
      <c r="E2505" s="13" t="inlineStr">
        <is>
          <t>{1}{W}{W}</t>
        </is>
      </c>
      <c r="F2505" s="13" t="inlineStr">
        <is>
          <t>Branco</t>
        </is>
      </c>
      <c r="G2505" s="8" t="n">
        <v>0.89</v>
      </c>
      <c r="H2505" s="13" t="inlineStr">
        <is>
          <t>Fourth Edition</t>
        </is>
      </c>
      <c r="I2505" s="13" t="inlineStr">
        <is>
          <t>Não</t>
        </is>
      </c>
      <c r="J2505" s="13" t="n">
        <v>1995</v>
      </c>
      <c r="L2505" s="13" t="n">
        <v>1</v>
      </c>
      <c r="M2505" s="8">
        <f>L2505*G2505</f>
        <v/>
      </c>
      <c r="P2505" s="9" t="n"/>
    </row>
    <row r="2506">
      <c r="A2506" s="13" t="inlineStr">
        <is>
          <t>Reviving Melody / Melodia Restauradora</t>
        </is>
      </c>
      <c r="B2506" s="13" t="inlineStr">
        <is>
          <t>Sorcery / Feitiço</t>
        </is>
      </c>
      <c r="C2506" s="13" t="inlineStr">
        <is>
          <t>Uncommon / Incomum</t>
        </is>
      </c>
      <c r="D2506" s="13"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506" s="13" t="inlineStr">
        <is>
          <t>{2}{G}</t>
        </is>
      </c>
      <c r="F2506" s="13" t="inlineStr">
        <is>
          <t>Verde</t>
        </is>
      </c>
      <c r="G2506" s="8" t="n">
        <v>0.05</v>
      </c>
      <c r="H2506" s="13" t="inlineStr">
        <is>
          <t>Journey into Nyx (JOU)</t>
        </is>
      </c>
      <c r="I2506" s="13" t="inlineStr">
        <is>
          <t>Não</t>
        </is>
      </c>
      <c r="J2506" s="13" t="n">
        <v>2014</v>
      </c>
      <c r="L2506" s="13" t="n">
        <v>2</v>
      </c>
      <c r="M2506" s="8">
        <f>L2506*G2506</f>
        <v/>
      </c>
      <c r="P2506" s="9" t="n"/>
    </row>
    <row r="2507">
      <c r="A2507" s="13" t="inlineStr">
        <is>
          <t>Revoke Existence / Revogar Existência</t>
        </is>
      </c>
      <c r="B2507" s="13" t="inlineStr">
        <is>
          <t>Sorcery / Feitiço</t>
        </is>
      </c>
      <c r="C2507" s="13" t="inlineStr">
        <is>
          <t>Common / Comum</t>
        </is>
      </c>
      <c r="D2507" s="13" t="inlineStr">
        <is>
          <t>Exile target artifact or enchantment. / Exile o artefato ou encantamento alvo.</t>
        </is>
      </c>
      <c r="E2507" s="13" t="inlineStr">
        <is>
          <t>{1}{W}</t>
        </is>
      </c>
      <c r="F2507" s="13" t="inlineStr">
        <is>
          <t>Branco</t>
        </is>
      </c>
      <c r="G2507" s="8" t="n">
        <v>0.2</v>
      </c>
      <c r="H2507" s="13" t="inlineStr">
        <is>
          <t>Double Masters</t>
        </is>
      </c>
      <c r="I2507" s="13" t="inlineStr">
        <is>
          <t>Não</t>
        </is>
      </c>
      <c r="J2507" s="13" t="n">
        <v>2020</v>
      </c>
      <c r="L2507" s="13" t="n">
        <v>1</v>
      </c>
      <c r="M2507" s="8">
        <f>L2507*G2507</f>
        <v/>
      </c>
      <c r="P2507" s="9" t="n"/>
    </row>
    <row r="2508">
      <c r="A2508" s="13" t="inlineStr">
        <is>
          <t>Revoke Existence / Revogar Existência</t>
        </is>
      </c>
      <c r="B2508" s="13" t="inlineStr">
        <is>
          <t>Sorcery / Feitiço</t>
        </is>
      </c>
      <c r="C2508" s="13" t="inlineStr">
        <is>
          <t>Common / Comum</t>
        </is>
      </c>
      <c r="D2508" s="13" t="inlineStr">
        <is>
          <t>Exile target artifact or enchantment. / Exile o artefato ou encantamento alvo.</t>
        </is>
      </c>
      <c r="E2508" s="13" t="inlineStr">
        <is>
          <t>{1}{W}</t>
        </is>
      </c>
      <c r="F2508" s="13" t="inlineStr">
        <is>
          <t>Branco</t>
        </is>
      </c>
      <c r="G2508" s="8" t="n">
        <v>0.23</v>
      </c>
      <c r="H2508" s="13" t="inlineStr">
        <is>
          <t>Duel Decks: Venser vs. Koth (DDI)</t>
        </is>
      </c>
      <c r="I2508" s="13" t="inlineStr">
        <is>
          <t>Não</t>
        </is>
      </c>
      <c r="J2508" s="13" t="n">
        <v>2012</v>
      </c>
      <c r="L2508" s="13" t="n">
        <v>1</v>
      </c>
      <c r="M2508" s="8">
        <f>L2508*G2508</f>
        <v/>
      </c>
      <c r="P2508" s="9" t="n"/>
    </row>
    <row r="2509">
      <c r="A2509" s="13" t="inlineStr">
        <is>
          <t>Revoke Existence / Revogar Existência</t>
        </is>
      </c>
      <c r="B2509" s="13" t="inlineStr">
        <is>
          <t>Sorcery / Feitiço</t>
        </is>
      </c>
      <c r="C2509" s="13" t="inlineStr">
        <is>
          <t>Common / Comum</t>
        </is>
      </c>
      <c r="D2509" s="13" t="inlineStr">
        <is>
          <t>Exile target artifact or enchantment. / Exile o artefato ou encantamento alvo.</t>
        </is>
      </c>
      <c r="E2509" s="13" t="inlineStr">
        <is>
          <t>{1}{W}</t>
        </is>
      </c>
      <c r="F2509" s="13" t="inlineStr">
        <is>
          <t>Branco</t>
        </is>
      </c>
      <c r="G2509" s="8" t="n">
        <v>0.23</v>
      </c>
      <c r="H2509" s="13" t="inlineStr">
        <is>
          <t>Duel Decks: Venser vs. Koth (DDI)</t>
        </is>
      </c>
      <c r="I2509" s="13" t="inlineStr">
        <is>
          <t>Não</t>
        </is>
      </c>
      <c r="J2509" s="13" t="n">
        <v>2012</v>
      </c>
      <c r="L2509" s="13" t="n">
        <v>1</v>
      </c>
      <c r="M2509" s="8">
        <f>L2509*G2509</f>
        <v/>
      </c>
      <c r="P2509" s="9" t="n"/>
    </row>
    <row r="2510">
      <c r="A2510" s="13" t="inlineStr">
        <is>
          <t>Revoke Existence / Revogar Existência</t>
        </is>
      </c>
      <c r="B2510" s="13" t="inlineStr">
        <is>
          <t>Sorcery / Feitiço</t>
        </is>
      </c>
      <c r="C2510" s="13" t="inlineStr">
        <is>
          <t>Common / Comum</t>
        </is>
      </c>
      <c r="D2510" s="13" t="inlineStr">
        <is>
          <t>Exile target artifact or enchantment. / Exile o artefato ou encantamento alvo.</t>
        </is>
      </c>
      <c r="E2510" s="13" t="inlineStr">
        <is>
          <t>{1}{W}</t>
        </is>
      </c>
      <c r="F2510" s="13" t="inlineStr">
        <is>
          <t>Branco</t>
        </is>
      </c>
      <c r="G2510" s="8" t="n">
        <v>0.23</v>
      </c>
      <c r="H2510" s="13" t="inlineStr">
        <is>
          <t>Duel Decks: Venser vs. Koth (DDI)</t>
        </is>
      </c>
      <c r="I2510" s="13" t="inlineStr">
        <is>
          <t>Não</t>
        </is>
      </c>
      <c r="J2510" s="13" t="n">
        <v>2012</v>
      </c>
      <c r="L2510" s="13" t="n">
        <v>1</v>
      </c>
      <c r="M2510" s="8">
        <f>L2510*G2510</f>
        <v/>
      </c>
      <c r="P2510" s="9" t="n"/>
    </row>
    <row r="2511">
      <c r="A2511" s="13" t="inlineStr">
        <is>
          <t>Revoke Existence / Revogar Existência</t>
        </is>
      </c>
      <c r="B2511" s="13" t="inlineStr">
        <is>
          <t>Sorcery / Feitiço</t>
        </is>
      </c>
      <c r="C2511" s="13" t="inlineStr">
        <is>
          <t>Common / Comum</t>
        </is>
      </c>
      <c r="D2511" s="13" t="inlineStr">
        <is>
          <t>Exile target artifact or enchantment. / Exile o artefato ou encantamento alvo.</t>
        </is>
      </c>
      <c r="E2511" s="13" t="inlineStr">
        <is>
          <t>{1}{W}</t>
        </is>
      </c>
      <c r="F2511" s="13" t="inlineStr">
        <is>
          <t>Branco</t>
        </is>
      </c>
      <c r="G2511" s="8" t="n">
        <v>0.12</v>
      </c>
      <c r="H2511" s="13" t="inlineStr">
        <is>
          <t>Theros além da morte</t>
        </is>
      </c>
      <c r="I2511" s="13" t="inlineStr">
        <is>
          <t>Não</t>
        </is>
      </c>
      <c r="J2511" s="13" t="n">
        <v>2020</v>
      </c>
      <c r="L2511" s="13" t="n">
        <v>1</v>
      </c>
      <c r="M2511" s="8">
        <f>L2511*G2511</f>
        <v/>
      </c>
      <c r="P2511" s="9" t="n"/>
    </row>
    <row r="2512">
      <c r="A2512" s="13" t="inlineStr">
        <is>
          <t>Rewrite History / Reescrever a História</t>
        </is>
      </c>
      <c r="B2512" s="13" t="inlineStr">
        <is>
          <t>Encantamento — Plano</t>
        </is>
      </c>
      <c r="C2512" s="13" t="inlineStr">
        <is>
          <t>Incomum</t>
        </is>
      </c>
      <c r="D2512" s="13"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2512" s="13" t="inlineStr">
        <is>
          <t>2{U}</t>
        </is>
      </c>
      <c r="F2512" s="13" t="inlineStr">
        <is>
          <t>Azul</t>
        </is>
      </c>
      <c r="G2512" s="8" t="n">
        <v>0.6899999999999999</v>
      </c>
      <c r="H2512" s="13" t="inlineStr">
        <is>
          <t>Marvel</t>
        </is>
      </c>
      <c r="I2512" s="13" t="inlineStr">
        <is>
          <t>Não</t>
        </is>
      </c>
      <c r="J2512" s="13" t="n">
        <v>2026</v>
      </c>
      <c r="L2512" s="13" t="n">
        <v>2</v>
      </c>
      <c r="M2512" s="8">
        <f>L2512*G2512</f>
        <v/>
      </c>
      <c r="P2512" s="9" t="n"/>
    </row>
    <row r="2513">
      <c r="A2513" s="13" t="inlineStr">
        <is>
          <t>Rhystic Circle</t>
        </is>
      </c>
      <c r="B2513" s="13" t="inlineStr">
        <is>
          <t>Enchantment</t>
        </is>
      </c>
      <c r="C2513" s="13" t="inlineStr">
        <is>
          <t>Rare</t>
        </is>
      </c>
      <c r="D2513" s="13" t="inlineStr">
        <is>
          <t>{1}: Any player may pay {1}. If no one does, the next time a source of your choice would deal damage to you this turn, prevent that damage.</t>
        </is>
      </c>
      <c r="E2513" s="13" t="inlineStr">
        <is>
          <t>{2}{W}{W}</t>
        </is>
      </c>
      <c r="F2513" s="13" t="inlineStr">
        <is>
          <t>White</t>
        </is>
      </c>
      <c r="G2513" s="8" t="n">
        <v>0.32</v>
      </c>
      <c r="H2513" s="13" t="inlineStr">
        <is>
          <t>Prophecy (PCY)</t>
        </is>
      </c>
      <c r="I2513" s="13" t="inlineStr">
        <is>
          <t>No</t>
        </is>
      </c>
      <c r="J2513" s="13" t="n">
        <v>2000</v>
      </c>
      <c r="L2513" s="13" t="n">
        <v>1</v>
      </c>
      <c r="M2513" s="8">
        <f>L2513*G2513</f>
        <v/>
      </c>
      <c r="P2513" s="9" t="n"/>
    </row>
    <row r="2514">
      <c r="A2514" s="13" t="inlineStr">
        <is>
          <t>Rhystic Shield / Escudo Rístico</t>
        </is>
      </c>
      <c r="B2514" s="13" t="inlineStr">
        <is>
          <t>Instant / Instântanea</t>
        </is>
      </c>
      <c r="C2514" s="13" t="inlineStr">
        <is>
          <t>Common / Comum</t>
        </is>
      </c>
      <c r="D2514" s="13"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2514" s="13" t="inlineStr">
        <is>
          <t>{1}{W}</t>
        </is>
      </c>
      <c r="F2514" s="13" t="inlineStr">
        <is>
          <t>Branco</t>
        </is>
      </c>
      <c r="G2514" s="8" t="n">
        <v>0.01</v>
      </c>
      <c r="H2514" s="13" t="inlineStr">
        <is>
          <t>Prophecy (PCY)</t>
        </is>
      </c>
      <c r="I2514" s="13" t="inlineStr">
        <is>
          <t>No</t>
        </is>
      </c>
      <c r="J2514" s="13" t="n">
        <v>2000</v>
      </c>
      <c r="L2514" s="13" t="n">
        <v>1</v>
      </c>
      <c r="M2514" s="8">
        <f>L2514*G2514</f>
        <v/>
      </c>
      <c r="P2514" s="9" t="n"/>
    </row>
    <row r="2515">
      <c r="A2515" s="13" t="inlineStr">
        <is>
          <t>Rick Jones, Destined Sidekick / Rick Jones, Parceiro Predestinado</t>
        </is>
      </c>
      <c r="B2515" s="13" t="inlineStr">
        <is>
          <t>Criatura Lendária — Humano Conselheiro</t>
        </is>
      </c>
      <c r="C2515" s="13" t="inlineStr">
        <is>
          <t>Incomum</t>
        </is>
      </c>
      <c r="D2515" s="13" t="inlineStr">
        <is>
          <t>{3}, {T}: Triture quatro cards. Você pode colocar um card de Herói ou de encantamento dentre aqueles cards em sua mão. (Para triturar quatro cards, coloque os quatro cards do topo de seu grimório em seu cemitério.)</t>
        </is>
      </c>
      <c r="E2515" s="13" t="inlineStr">
        <is>
          <t>{G}</t>
        </is>
      </c>
      <c r="F2515" s="13" t="inlineStr">
        <is>
          <t>Verde</t>
        </is>
      </c>
      <c r="G2515" s="8" t="n">
        <v>0.65</v>
      </c>
      <c r="H2515" s="13" t="inlineStr">
        <is>
          <t>Marvel</t>
        </is>
      </c>
      <c r="I2515" s="13" t="inlineStr">
        <is>
          <t>Não</t>
        </is>
      </c>
      <c r="J2515" s="13" t="n">
        <v>2026</v>
      </c>
      <c r="K2515" s="13" t="inlineStr">
        <is>
          <t>0/3</t>
        </is>
      </c>
      <c r="L2515" s="13" t="n">
        <v>1</v>
      </c>
      <c r="M2515" s="8">
        <f>L2515*G2515</f>
        <v/>
      </c>
      <c r="P2515" s="9" t="n"/>
    </row>
    <row r="2516">
      <c r="A2516" s="13" t="inlineStr">
        <is>
          <t>Ride the Shoopuf / Montar no Shoopuf</t>
        </is>
      </c>
      <c r="B2516" s="13" t="inlineStr">
        <is>
          <t>Encantamento</t>
        </is>
      </c>
      <c r="C2516" s="13" t="inlineStr">
        <is>
          <t>Incomum</t>
        </is>
      </c>
      <c r="D2516" s="13" t="inlineStr">
        <is>
          <t>Aterragem — Sempre que um terreno que você controla entrar, coloque um marcador +1/+1 na criatura alvo que você controla. {5}{G}{G}: Este encantamento se torna uma criatura Beast 7/7 além de seus outros tipos.</t>
        </is>
      </c>
      <c r="E2516" s="13" t="inlineStr">
        <is>
          <t>1{G}</t>
        </is>
      </c>
      <c r="F2516" s="13" t="inlineStr">
        <is>
          <t>Verde</t>
        </is>
      </c>
      <c r="G2516" s="8" t="n">
        <v>1.14</v>
      </c>
      <c r="H2516" s="13" t="inlineStr">
        <is>
          <t>Final Fantasy</t>
        </is>
      </c>
      <c r="I2516" s="13" t="inlineStr">
        <is>
          <t>Sim</t>
        </is>
      </c>
      <c r="J2516" s="13" t="n">
        <v>2025</v>
      </c>
      <c r="L2516" s="13" t="n">
        <v>1</v>
      </c>
      <c r="M2516" s="8">
        <f>L2516*G2516</f>
        <v/>
      </c>
      <c r="P2516" s="9" t="n"/>
    </row>
    <row r="2517">
      <c r="A2517" s="13" t="inlineStr">
        <is>
          <t>Ride the Shoopuf / Montar no Shoopuf</t>
        </is>
      </c>
      <c r="B2517" s="13" t="inlineStr">
        <is>
          <t>Encantamento</t>
        </is>
      </c>
      <c r="C2517" s="13" t="inlineStr">
        <is>
          <t>Incomum</t>
        </is>
      </c>
      <c r="D2517" s="13" t="inlineStr">
        <is>
          <t>Aterragem — Sempre que um terreno que você controla entrar, coloque um marcador +1/+1 na criatura alvo que você controla. {5}{G}{G}: Este encantamento se torna uma criatura Beast 7/7 além de seus outros tipos.</t>
        </is>
      </c>
      <c r="E2517" s="13" t="inlineStr">
        <is>
          <t>1{G}</t>
        </is>
      </c>
      <c r="F2517" s="13" t="inlineStr">
        <is>
          <t>Verde</t>
        </is>
      </c>
      <c r="G2517" s="8" t="n">
        <v>0.28</v>
      </c>
      <c r="H2517" s="13" t="inlineStr">
        <is>
          <t>Final Fantasy</t>
        </is>
      </c>
      <c r="I2517" s="13" t="inlineStr">
        <is>
          <t>Não</t>
        </is>
      </c>
      <c r="J2517" s="13" t="n">
        <v>2025</v>
      </c>
      <c r="L2517" s="13" t="n">
        <v>1</v>
      </c>
      <c r="M2517" s="8">
        <f>L2517*G2517</f>
        <v/>
      </c>
      <c r="P2517" s="9" t="n"/>
    </row>
    <row r="2518">
      <c r="A2518" s="13" t="inlineStr">
        <is>
          <t>Righteous Blow / Golpe Justo</t>
        </is>
      </c>
      <c r="B2518" s="13" t="inlineStr">
        <is>
          <t>Instant / Mágica Instantânea</t>
        </is>
      </c>
      <c r="C2518" s="13" t="inlineStr">
        <is>
          <t>Common / Comum</t>
        </is>
      </c>
      <c r="D2518" s="13" t="inlineStr">
        <is>
          <t>Righteous Blow deals 2 damage to target attacking or blocking creature. / Golpe Justo causa 2 pontos de dano à criatura atacante ou bloqueadora alvo.</t>
        </is>
      </c>
      <c r="E2518" s="13" t="inlineStr">
        <is>
          <t>{W}</t>
        </is>
      </c>
      <c r="F2518" s="13" t="inlineStr">
        <is>
          <t>Branco</t>
        </is>
      </c>
      <c r="G2518" s="8" t="n">
        <v>0.05</v>
      </c>
      <c r="H2518" s="13" t="inlineStr">
        <is>
          <t>Avacyn Restored (AVR)</t>
        </is>
      </c>
      <c r="I2518" s="13" t="inlineStr">
        <is>
          <t>Não</t>
        </is>
      </c>
      <c r="J2518" s="13" t="n">
        <v>2012</v>
      </c>
      <c r="L2518" s="13" t="n">
        <v>1</v>
      </c>
      <c r="M2518" s="8">
        <f>L2518*G2518</f>
        <v/>
      </c>
      <c r="P2518" s="9" t="n"/>
    </row>
    <row r="2519">
      <c r="A2519" s="13" t="inlineStr">
        <is>
          <t>Rimekin Recluse</t>
        </is>
      </c>
      <c r="B2519" s="13" t="inlineStr">
        <is>
          <t>Creature — Elemental Wizard</t>
        </is>
      </c>
      <c r="C2519" s="13" t="inlineStr">
        <is>
          <t>Uncommon</t>
        </is>
      </c>
      <c r="D2519" s="13" t="inlineStr">
        <is>
          <t>When this creature enters, return up to one other target creature to its owner's hand.</t>
        </is>
      </c>
      <c r="E2519" s="13" t="inlineStr">
        <is>
          <t>{2}{U}</t>
        </is>
      </c>
      <c r="F2519" s="13" t="inlineStr">
        <is>
          <t>Azul</t>
        </is>
      </c>
      <c r="G2519" s="8" t="n">
        <v>0.06</v>
      </c>
      <c r="H2519" s="13" t="inlineStr">
        <is>
          <t>Lorwyn Eclipsed (ECL)</t>
        </is>
      </c>
      <c r="I2519" s="13" t="inlineStr">
        <is>
          <t>Não</t>
        </is>
      </c>
      <c r="J2519" s="13" t="n">
        <v>2026</v>
      </c>
      <c r="K2519" s="10" t="n">
        <v>46056</v>
      </c>
      <c r="L2519" s="13" t="n">
        <v>1</v>
      </c>
      <c r="M2519" s="8">
        <f>L2519*G2519</f>
        <v/>
      </c>
      <c r="P2519" s="9" t="n"/>
    </row>
    <row r="2520">
      <c r="A2520" s="13" t="inlineStr">
        <is>
          <t>Ring of the Lucii / Anel dos Lucii</t>
        </is>
      </c>
      <c r="B2520" s="13" t="inlineStr">
        <is>
          <t>Artefato Lendário</t>
        </is>
      </c>
      <c r="C2520" s="13" t="inlineStr">
        <is>
          <t>Incomum</t>
        </is>
      </c>
      <c r="D2520" s="13" t="inlineStr">
        <is>
          <t>{T}: Adicione {C}{C}. {2}, {T}, Pague 1 de vida: Vire a permanente alvo que não seja um terreno.</t>
        </is>
      </c>
      <c r="E2520" s="13" t="n">
        <v>4</v>
      </c>
      <c r="F2520" s="13" t="inlineStr">
        <is>
          <t>Incolor</t>
        </is>
      </c>
      <c r="G2520" s="8" t="n">
        <v>0.25</v>
      </c>
      <c r="H2520" s="13" t="inlineStr">
        <is>
          <t>Final Fantasy</t>
        </is>
      </c>
      <c r="I2520" s="13" t="inlineStr">
        <is>
          <t>Não</t>
        </is>
      </c>
      <c r="J2520" s="13" t="n">
        <v>2025</v>
      </c>
      <c r="L2520" s="13" t="n">
        <v>1</v>
      </c>
      <c r="M2520" s="8">
        <f>L2520*G2520</f>
        <v/>
      </c>
      <c r="P2520" s="9" t="n"/>
    </row>
    <row r="2521">
      <c r="A2521" s="13" t="inlineStr">
        <is>
          <t>Ring of the Lucii / Anel dos Lucii</t>
        </is>
      </c>
      <c r="B2521" s="13" t="inlineStr">
        <is>
          <t>Artefato Lendário</t>
        </is>
      </c>
      <c r="C2521" s="13" t="inlineStr">
        <is>
          <t>Incomum</t>
        </is>
      </c>
      <c r="D2521" s="13" t="inlineStr">
        <is>
          <t>{T}: Adicione {C}{C}. {2}, {T}, Pague 1 de vida: Vire a permanente alvo que não seja um terreno.</t>
        </is>
      </c>
      <c r="E2521" s="13" t="n">
        <v>4</v>
      </c>
      <c r="F2521" s="13" t="inlineStr">
        <is>
          <t>Incolor</t>
        </is>
      </c>
      <c r="G2521" s="8" t="n">
        <v>0.89</v>
      </c>
      <c r="H2521" s="13" t="inlineStr">
        <is>
          <t>Final Fantasy</t>
        </is>
      </c>
      <c r="I2521" s="13" t="inlineStr">
        <is>
          <t>Sim</t>
        </is>
      </c>
      <c r="J2521" s="13" t="n">
        <v>2025</v>
      </c>
      <c r="L2521" s="13" t="n">
        <v>1</v>
      </c>
      <c r="M2521" s="8">
        <f>L2521*G2521</f>
        <v/>
      </c>
      <c r="P2521" s="9" t="n"/>
    </row>
    <row r="2522">
      <c r="A2522" s="13" t="inlineStr">
        <is>
          <t>Rinoa Heartilly</t>
        </is>
      </c>
      <c r="B2522" s="13" t="inlineStr">
        <is>
          <t>Legendary Creature — Human Rebel Warlock</t>
        </is>
      </c>
      <c r="C2522" s="13" t="inlineStr">
        <is>
          <t>Incomum</t>
        </is>
      </c>
      <c r="D2522" s="13" t="inlineStr">
        <is>
          <t>When Rinoa Heartilly enters, create Angelo, a legendary 1/1 green and white Dog creature token. Angelo Cannon — Whenever Rinoa Heartilly attacks, another target creature you control gets +1/+1 until end of turn for each creature you control.</t>
        </is>
      </c>
      <c r="E2522" s="13" t="inlineStr">
        <is>
          <t>3GW</t>
        </is>
      </c>
      <c r="F2522" s="13" t="inlineStr">
        <is>
          <t>Verde e Branca</t>
        </is>
      </c>
      <c r="G2522" s="8" t="n">
        <v>0.2</v>
      </c>
      <c r="H2522" s="13" t="inlineStr">
        <is>
          <t>Final Fantasy (FFVIII)</t>
        </is>
      </c>
      <c r="I2522" s="13" t="inlineStr">
        <is>
          <t>Não</t>
        </is>
      </c>
      <c r="J2522" s="13" t="n">
        <v>2025</v>
      </c>
      <c r="K2522" s="10" t="n">
        <v>46116</v>
      </c>
      <c r="L2522" s="13" t="n">
        <v>2</v>
      </c>
      <c r="M2522" s="8">
        <f>L2522*G2522</f>
        <v/>
      </c>
      <c r="P2522" s="9" t="n"/>
    </row>
    <row r="2523">
      <c r="A2523" s="13" t="inlineStr">
        <is>
          <t>Ripscale Predator / Predador da Escama Dilacerante</t>
        </is>
      </c>
      <c r="B2523" s="13" t="inlineStr">
        <is>
          <t>Creature — Dinosaur / Criatura — Lagarto</t>
        </is>
      </c>
      <c r="C2523" s="13" t="inlineStr">
        <is>
          <t>Common / Comum</t>
        </is>
      </c>
      <c r="D2523" s="13" t="inlineStr">
        <is>
          <t>Menace (This creature can't be blocked except by two or more creatures.) / Predador da Escama Dilacerante só pode ser bloqueado por duas ou mais criaturas.</t>
        </is>
      </c>
      <c r="E2523" s="13" t="inlineStr">
        <is>
          <t>{4}{R}{R}</t>
        </is>
      </c>
      <c r="F2523" s="13" t="inlineStr">
        <is>
          <t>Vermelho</t>
        </is>
      </c>
      <c r="G2523" s="8" t="n">
        <v>0.03</v>
      </c>
      <c r="H2523" s="13" t="inlineStr">
        <is>
          <t>Core Set 2020 (M20)</t>
        </is>
      </c>
      <c r="I2523" s="13" t="inlineStr">
        <is>
          <t>Não</t>
        </is>
      </c>
      <c r="J2523" s="13" t="n">
        <v>2019</v>
      </c>
      <c r="K2523" s="10" t="n">
        <v>46148</v>
      </c>
      <c r="L2523" s="13" t="n">
        <v>1</v>
      </c>
      <c r="M2523" s="8">
        <f>L2523*G2523</f>
        <v/>
      </c>
      <c r="P2523" s="9" t="n"/>
    </row>
    <row r="2524">
      <c r="A2524" s="13" t="inlineStr">
        <is>
          <t>Rise of the Ants / Ascensão das Formigas</t>
        </is>
      </c>
      <c r="B2524" s="13" t="inlineStr">
        <is>
          <t>Sorcery / Feitiço</t>
        </is>
      </c>
      <c r="C2524" s="13" t="inlineStr">
        <is>
          <t>Uncommon / Incomum</t>
        </is>
      </c>
      <c r="D2524" s="13"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2524" s="13" t="inlineStr">
        <is>
          <t>{4}{G}{G}</t>
        </is>
      </c>
      <c r="F2524" s="13" t="inlineStr">
        <is>
          <t>Verde</t>
        </is>
      </c>
      <c r="G2524" s="8" t="n">
        <v>0.09</v>
      </c>
      <c r="H2524" s="13" t="inlineStr">
        <is>
          <t>Innistrad: Midnight Hunt (MID)</t>
        </is>
      </c>
      <c r="I2524" s="13" t="inlineStr">
        <is>
          <t>Não</t>
        </is>
      </c>
      <c r="J2524" s="13" t="n">
        <v>2021</v>
      </c>
      <c r="L2524" s="13" t="n">
        <v>1</v>
      </c>
      <c r="M2524" s="8">
        <f>L2524*G2524</f>
        <v/>
      </c>
      <c r="P2524" s="9" t="n"/>
    </row>
    <row r="2525">
      <c r="A2525" s="13" t="inlineStr">
        <is>
          <t>Rise of the Tumbleweeds / Ascensão do Arbusto Rolante</t>
        </is>
      </c>
      <c r="B2525" s="13" t="inlineStr">
        <is>
          <t>Sorcery / Feitiço</t>
        </is>
      </c>
      <c r="C2525" s="13" t="inlineStr">
        <is>
          <t>Common / Comum</t>
        </is>
      </c>
      <c r="D2525" s="13"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2525" s="13" t="inlineStr">
        <is>
          <t>{1}{G}</t>
        </is>
      </c>
      <c r="F2525" s="13" t="inlineStr">
        <is>
          <t>Verde</t>
        </is>
      </c>
      <c r="G2525" s="8" t="n">
        <v>0.2</v>
      </c>
      <c r="H2525" s="13" t="inlineStr">
        <is>
          <t>Outlaws of Thunder Junction (OTJ)</t>
        </is>
      </c>
      <c r="I2525" s="13" t="inlineStr">
        <is>
          <t>Não</t>
        </is>
      </c>
      <c r="J2525" s="13" t="n">
        <v>2024</v>
      </c>
      <c r="L2525" s="13" t="n">
        <v>4</v>
      </c>
      <c r="M2525" s="8">
        <f>L2525*G2525</f>
        <v/>
      </c>
      <c r="P2525" s="9" t="n"/>
    </row>
    <row r="2526">
      <c r="A2526" s="13" t="inlineStr">
        <is>
          <t>Risen Necroregent</t>
        </is>
      </c>
      <c r="B2526" s="13" t="inlineStr">
        <is>
          <t>Creature — Zombie Cat Knight</t>
        </is>
      </c>
      <c r="C2526" s="13" t="inlineStr">
        <is>
          <t>Uncommon / Incomum</t>
        </is>
      </c>
      <c r="D2526" s="13" t="inlineStr">
        <is>
          <t>Start your engines! (If you have no speed, it starts at 1. It increases once on each of your turns when an opponent loses life. Max speed is 4.) Max speed — At the beginning of your end step, create a 2/2 black Zombie creature token.</t>
        </is>
      </c>
      <c r="E2526" s="13" t="inlineStr">
        <is>
          <t>{4}{B}</t>
        </is>
      </c>
      <c r="F2526" s="13" t="inlineStr">
        <is>
          <t>Preto</t>
        </is>
      </c>
      <c r="G2526" s="8" t="n">
        <v>0.1</v>
      </c>
      <c r="H2526" s="13" t="inlineStr">
        <is>
          <t>Aetherdrift (DFT)</t>
        </is>
      </c>
      <c r="I2526" s="13" t="inlineStr">
        <is>
          <t>Não</t>
        </is>
      </c>
      <c r="J2526" s="13" t="n">
        <v>2025</v>
      </c>
      <c r="K2526" s="10" t="n">
        <v>46117</v>
      </c>
      <c r="L2526" s="13" t="n">
        <v>1</v>
      </c>
      <c r="M2526" s="8">
        <f>L2526*G2526</f>
        <v/>
      </c>
      <c r="P2526" s="9" t="n"/>
    </row>
    <row r="2527">
      <c r="A2527" s="13" t="inlineStr">
        <is>
          <t>Ritual of the Returned / Ritual dos Ressurgidos</t>
        </is>
      </c>
      <c r="B2527" s="13" t="inlineStr">
        <is>
          <t>Instant / Mágica Instantânea</t>
        </is>
      </c>
      <c r="C2527" s="13" t="inlineStr">
        <is>
          <t>Uncommon / Incomum</t>
        </is>
      </c>
      <c r="D2527" s="13"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527" s="13" t="inlineStr">
        <is>
          <t>{3}{B}</t>
        </is>
      </c>
      <c r="F2527" s="13" t="inlineStr">
        <is>
          <t>Preto</t>
        </is>
      </c>
      <c r="G2527" s="8" t="n">
        <v>0.05</v>
      </c>
      <c r="H2527" s="13" t="inlineStr">
        <is>
          <t>Journey into Nyx (JOU)</t>
        </is>
      </c>
      <c r="I2527" s="13" t="inlineStr">
        <is>
          <t>Não</t>
        </is>
      </c>
      <c r="J2527" s="13" t="n">
        <v>2014</v>
      </c>
      <c r="L2527" s="13" t="n">
        <v>1</v>
      </c>
      <c r="M2527" s="8">
        <f>L2527*G2527</f>
        <v/>
      </c>
      <c r="P2527" s="9" t="n"/>
    </row>
    <row r="2528">
      <c r="A2528" s="13" t="inlineStr">
        <is>
          <t>River Heralds' Boon / Bênção dos Arautos do Rio</t>
        </is>
      </c>
      <c r="B2528" s="13" t="inlineStr">
        <is>
          <t>Instant / Mágica Instantânea</t>
        </is>
      </c>
      <c r="C2528" s="13" t="inlineStr">
        <is>
          <t>Common / Comum</t>
        </is>
      </c>
      <c r="D2528" s="13" t="inlineStr">
        <is>
          <t>Put a +1/+1 counter on target creature and a +1/+1 counter on up to one target Merfolk. / Coloque um marcador +1/+1 na criatura alvo e um marcador +1/+1 em até um Tritão alvo.</t>
        </is>
      </c>
      <c r="E2528" s="13" t="inlineStr">
        <is>
          <t>{1}{G}</t>
        </is>
      </c>
      <c r="F2528" s="13" t="inlineStr">
        <is>
          <t>Verde</t>
        </is>
      </c>
      <c r="G2528" s="8" t="n">
        <v>0.03</v>
      </c>
      <c r="H2528" s="13" t="inlineStr">
        <is>
          <t>Ixalan (XLN)</t>
        </is>
      </c>
      <c r="I2528" s="13" t="inlineStr">
        <is>
          <t>Não</t>
        </is>
      </c>
      <c r="J2528" s="13" t="n">
        <v>2017</v>
      </c>
      <c r="L2528" s="13" t="n">
        <v>1</v>
      </c>
      <c r="M2528" s="8">
        <f>L2528*G2528</f>
        <v/>
      </c>
      <c r="P2528" s="9" t="n"/>
    </row>
    <row r="2529">
      <c r="A2529" s="13" t="inlineStr">
        <is>
          <t>River's Grasp / Garras do Rio</t>
        </is>
      </c>
      <c r="B2529" s="13" t="inlineStr">
        <is>
          <t>Sorcery / Feitiço</t>
        </is>
      </c>
      <c r="C2529" s="13" t="inlineStr">
        <is>
          <t>Uncommon / Incomum</t>
        </is>
      </c>
      <c r="D2529" s="13"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2529" s="13" t="inlineStr">
        <is>
          <t>{3}{U/B}</t>
        </is>
      </c>
      <c r="F2529" s="13" t="inlineStr">
        <is>
          <t>Preto, Azul</t>
        </is>
      </c>
      <c r="G2529" s="8" t="n">
        <v>0.06</v>
      </c>
      <c r="H2529" s="13" t="inlineStr">
        <is>
          <t>Shadowmoor (SHM)</t>
        </is>
      </c>
      <c r="I2529" s="13" t="inlineStr">
        <is>
          <t>Não</t>
        </is>
      </c>
      <c r="J2529" s="13" t="n">
        <v>2008</v>
      </c>
      <c r="L2529" s="13" t="n">
        <v>2</v>
      </c>
      <c r="M2529" s="8">
        <f>L2529*G2529</f>
        <v/>
      </c>
      <c r="P2529" s="9" t="n"/>
    </row>
    <row r="2530">
      <c r="A2530" s="13" t="inlineStr">
        <is>
          <t>Riveteers Overlook / Mirante dos Rebiteiros</t>
        </is>
      </c>
      <c r="B2530" s="13" t="inlineStr">
        <is>
          <t>Land / Terreno</t>
        </is>
      </c>
      <c r="C2530" s="13" t="inlineStr">
        <is>
          <t>Common / Comum</t>
        </is>
      </c>
      <c r="D2530" s="13"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2530" s="13" t="inlineStr">
        <is>
          <t>Incolor</t>
        </is>
      </c>
      <c r="G2530" s="8" t="n">
        <v>0.61</v>
      </c>
      <c r="H2530" s="13" t="inlineStr">
        <is>
          <t>Streets of New Capenna (SNC)</t>
        </is>
      </c>
      <c r="I2530" s="13" t="inlineStr">
        <is>
          <t>Não</t>
        </is>
      </c>
      <c r="J2530" s="13" t="n">
        <v>2022</v>
      </c>
      <c r="L2530" s="13" t="n">
        <v>2</v>
      </c>
      <c r="M2530" s="8">
        <f>L2530*G2530</f>
        <v/>
      </c>
      <c r="P2530" s="9" t="n"/>
    </row>
    <row r="2531">
      <c r="A2531" s="13" t="inlineStr">
        <is>
          <t>Rix Maadi Reveler / Farrista de Rix Maadi</t>
        </is>
      </c>
      <c r="B2531" s="13" t="inlineStr">
        <is>
          <t>Criatura — Humano Xamã</t>
        </is>
      </c>
      <c r="C2531" s="13" t="inlineStr">
        <is>
          <t>Raro</t>
        </is>
      </c>
      <c r="D2531" s="13"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2531" s="13" t="inlineStr">
        <is>
          <t>1{R}</t>
        </is>
      </c>
      <c r="F2531" s="13" t="inlineStr">
        <is>
          <t>Vermelho</t>
        </is>
      </c>
      <c r="G2531" s="8" t="n">
        <v>0.18</v>
      </c>
      <c r="H2531" s="13" t="inlineStr">
        <is>
          <t>Ravnica Allegiance</t>
        </is>
      </c>
      <c r="I2531" s="13" t="inlineStr">
        <is>
          <t>Não</t>
        </is>
      </c>
      <c r="J2531" s="13" t="n">
        <v>2019</v>
      </c>
      <c r="K2531" s="10" t="n">
        <v>46055</v>
      </c>
      <c r="L2531" s="13" t="n">
        <v>4</v>
      </c>
      <c r="M2531" s="8">
        <f>L2531*G2531</f>
        <v/>
      </c>
      <c r="P2531" s="9" t="n"/>
    </row>
    <row r="2532">
      <c r="A2532" s="13" t="inlineStr">
        <is>
          <t>Roc of Kher Ridges</t>
        </is>
      </c>
      <c r="B2532" s="13" t="inlineStr">
        <is>
          <t>Creature — Bird</t>
        </is>
      </c>
      <c r="C2532" s="13" t="inlineStr">
        <is>
          <t>Rare / Rara</t>
        </is>
      </c>
      <c r="D2532" s="13" t="inlineStr">
        <is>
          <t>Flying</t>
        </is>
      </c>
      <c r="E2532" s="13" t="inlineStr">
        <is>
          <t>{3}{R}</t>
        </is>
      </c>
      <c r="F2532" s="13" t="inlineStr">
        <is>
          <t>Vermelho</t>
        </is>
      </c>
      <c r="G2532" s="8" t="n">
        <v>3.75</v>
      </c>
      <c r="H2532" s="13" t="inlineStr">
        <is>
          <t>Revised Edition</t>
        </is>
      </c>
      <c r="I2532" s="13" t="inlineStr">
        <is>
          <t>Não</t>
        </is>
      </c>
      <c r="J2532" s="13" t="n">
        <v>1994</v>
      </c>
      <c r="K2532" s="10" t="n">
        <v>46084</v>
      </c>
      <c r="L2532" s="13" t="n">
        <v>1</v>
      </c>
      <c r="M2532" s="8">
        <f>L2532*G2532</f>
        <v/>
      </c>
      <c r="P2532" s="9" t="n"/>
    </row>
    <row r="2533">
      <c r="A2533" s="13" t="inlineStr">
        <is>
          <t>Rock Basilisk / Basilisco das Rochas</t>
        </is>
      </c>
      <c r="B2533" s="13" t="inlineStr">
        <is>
          <t>Creature — Basilisk</t>
        </is>
      </c>
      <c r="C2533" s="13" t="inlineStr">
        <is>
          <t>Rare / Rara</t>
        </is>
      </c>
      <c r="D2533" s="13" t="inlineStr">
        <is>
          <t>Whenever this creature blocks or becomes blocked by a non-Wall creature, destroy that creature at end of combat.</t>
        </is>
      </c>
      <c r="E2533" s="13" t="inlineStr">
        <is>
          <t>{4}{R}{G}</t>
        </is>
      </c>
      <c r="F2533" s="13" t="inlineStr">
        <is>
          <t>Verde, Vermelho</t>
        </is>
      </c>
      <c r="G2533" s="8" t="n">
        <v>3.49</v>
      </c>
      <c r="H2533" s="13" t="inlineStr">
        <is>
          <t>Mirage (MIR)</t>
        </is>
      </c>
      <c r="I2533" s="13" t="inlineStr">
        <is>
          <t>Não</t>
        </is>
      </c>
      <c r="J2533" s="13" t="n">
        <v>1996</v>
      </c>
      <c r="K2533" s="10" t="n">
        <v>46146</v>
      </c>
      <c r="L2533" s="13" t="n">
        <v>1</v>
      </c>
      <c r="M2533" s="8">
        <f>L2533*G2533</f>
        <v/>
      </c>
      <c r="N2533" s="13" t="inlineStr">
        <is>
          <t>Pasta</t>
        </is>
      </c>
      <c r="P2533" s="9" t="n"/>
    </row>
    <row r="2534">
      <c r="A2534" s="13" t="inlineStr">
        <is>
          <t>Rock Jockey / Jóquei de Pedras</t>
        </is>
      </c>
      <c r="B2534" s="13" t="inlineStr">
        <is>
          <t>Creature — Goblin / Criatura — Goblin</t>
        </is>
      </c>
      <c r="C2534" s="13" t="inlineStr">
        <is>
          <t>Common / Comum</t>
        </is>
      </c>
      <c r="D2534" s="13"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534" s="13" t="inlineStr">
        <is>
          <t>{2}{R}</t>
        </is>
      </c>
      <c r="F2534" s="13" t="inlineStr">
        <is>
          <t>Vermelho</t>
        </is>
      </c>
      <c r="G2534" s="8" t="n">
        <v>0.06</v>
      </c>
      <c r="H2534" s="13" t="inlineStr">
        <is>
          <t>Scourge (SCG)</t>
        </is>
      </c>
      <c r="I2534" s="13" t="inlineStr">
        <is>
          <t>Não</t>
        </is>
      </c>
      <c r="J2534" s="13" t="n">
        <v>2003</v>
      </c>
      <c r="K2534" s="10" t="n">
        <v>46084</v>
      </c>
      <c r="L2534" s="13" t="n">
        <v>1</v>
      </c>
      <c r="M2534" s="8">
        <f>L2534*G2534</f>
        <v/>
      </c>
      <c r="P2534" s="9" t="n"/>
    </row>
    <row r="2535">
      <c r="A2535" s="13" t="inlineStr">
        <is>
          <t>Rock Soldiers</t>
        </is>
      </c>
      <c r="B2535" s="13" t="inlineStr">
        <is>
          <t>Artifact Creature — Elemental Soldier</t>
        </is>
      </c>
      <c r="C2535" s="13" t="inlineStr">
        <is>
          <t>Common / Comum</t>
        </is>
      </c>
      <c r="D2535" s="13" t="inlineStr">
        <is>
          <t>When this creature enters, destroy up to one target noncreature artifact.</t>
        </is>
      </c>
      <c r="E2535" s="13" t="inlineStr">
        <is>
          <t>{3}{R}</t>
        </is>
      </c>
      <c r="F2535" s="13" t="inlineStr">
        <is>
          <t>Vermelho</t>
        </is>
      </c>
      <c r="G2535" s="8" t="n">
        <v>0.1</v>
      </c>
      <c r="H2535" s="13" t="inlineStr">
        <is>
          <t>Teenage Mutant Ninja Turtles (TMT)</t>
        </is>
      </c>
      <c r="I2535" s="13" t="inlineStr">
        <is>
          <t>Não</t>
        </is>
      </c>
      <c r="J2535" s="13" t="n">
        <v>2026</v>
      </c>
      <c r="K2535" s="10" t="n">
        <v>46085</v>
      </c>
      <c r="L2535" s="13" t="n">
        <v>1</v>
      </c>
      <c r="M2535" s="8">
        <f>L2535*G2535</f>
        <v/>
      </c>
      <c r="P2535" s="9" t="n"/>
    </row>
    <row r="2536">
      <c r="A2536" s="13" t="inlineStr">
        <is>
          <t>Rocksteady, Crash Courser</t>
        </is>
      </c>
      <c r="B2536" s="13" t="inlineStr">
        <is>
          <t>Legendary Creature — Rhino Mutant</t>
        </is>
      </c>
      <c r="C2536" s="13" t="inlineStr">
        <is>
          <t>Common / Comum</t>
        </is>
      </c>
      <c r="D2536" s="13" t="inlineStr">
        <is>
          <t>Rocksteady can't be blocked by more than one creature. Boars you control can't be blocked by more than one creature. Forestcycling {2} ({2}, Discard this card: Search your library for a Forest card, reveal it, put it into your hand, then shuffle.)</t>
        </is>
      </c>
      <c r="E2536" s="13" t="inlineStr">
        <is>
          <t>{4}{G}{G}</t>
        </is>
      </c>
      <c r="F2536" s="13" t="inlineStr">
        <is>
          <t>Verde</t>
        </is>
      </c>
      <c r="G2536" s="8" t="n">
        <v>0.1</v>
      </c>
      <c r="H2536" s="13" t="inlineStr">
        <is>
          <t>Teenage Mutant Ninja Turtles (TMT)</t>
        </is>
      </c>
      <c r="I2536" s="13" t="inlineStr">
        <is>
          <t>Não</t>
        </is>
      </c>
      <c r="J2536" s="13" t="n">
        <v>2026</v>
      </c>
      <c r="K2536" s="10" t="n">
        <v>46210</v>
      </c>
      <c r="L2536" s="13" t="n">
        <v>2</v>
      </c>
      <c r="M2536" s="8">
        <f>L2536*G2536</f>
        <v/>
      </c>
      <c r="P2536" s="9" t="n"/>
    </row>
    <row r="2537">
      <c r="A2537" s="13" t="inlineStr">
        <is>
          <t>Rocky Rebuke</t>
        </is>
      </c>
      <c r="B2537" s="13" t="inlineStr">
        <is>
          <t>Instant</t>
        </is>
      </c>
      <c r="C2537" s="13" t="inlineStr">
        <is>
          <t>Common / Comum</t>
        </is>
      </c>
      <c r="D2537" s="13" t="inlineStr">
        <is>
          <t>Target creature you control deals damage equal to its power to target creature an opponent controls.</t>
        </is>
      </c>
      <c r="E2537" s="13" t="inlineStr">
        <is>
          <t>{1}{G}</t>
        </is>
      </c>
      <c r="F2537" s="13" t="inlineStr">
        <is>
          <t>Verde</t>
        </is>
      </c>
      <c r="G2537" s="8" t="n">
        <v>0.08</v>
      </c>
      <c r="H2537" s="13" t="inlineStr">
        <is>
          <t>Avatar: The Last Airbender (TLA)</t>
        </is>
      </c>
      <c r="I2537" s="13" t="inlineStr">
        <is>
          <t>Não</t>
        </is>
      </c>
      <c r="J2537" s="13" t="n">
        <v>2025</v>
      </c>
      <c r="L2537" s="13" t="n">
        <v>2</v>
      </c>
      <c r="M2537" s="8">
        <f>L2537*G2537</f>
        <v/>
      </c>
      <c r="P2537" s="9" t="n"/>
    </row>
    <row r="2538">
      <c r="A2538" s="13" t="inlineStr">
        <is>
          <t>Rod of Ruin / Bastão da Ruína</t>
        </is>
      </c>
      <c r="B2538" s="13" t="inlineStr">
        <is>
          <t>Artifact</t>
        </is>
      </c>
      <c r="C2538" s="13" t="inlineStr">
        <is>
          <t>Incomum / Uncommon</t>
        </is>
      </c>
      <c r="D2538" s="13" t="inlineStr">
        <is>
          <t>{3}, {T}: Rod of Ruin deals 1 damage to target creature or player.</t>
        </is>
      </c>
      <c r="E2538" s="13" t="inlineStr">
        <is>
          <t>{4}</t>
        </is>
      </c>
      <c r="F2538" s="13" t="inlineStr">
        <is>
          <t>Incolor</t>
        </is>
      </c>
      <c r="G2538" s="8" t="n">
        <v>0.08</v>
      </c>
      <c r="H2538" s="13" t="inlineStr">
        <is>
          <t>Fourth Edition</t>
        </is>
      </c>
      <c r="I2538" s="13" t="inlineStr">
        <is>
          <t>Não</t>
        </is>
      </c>
      <c r="J2538" s="13" t="n">
        <v>1995</v>
      </c>
      <c r="L2538" s="13" t="n">
        <v>1</v>
      </c>
      <c r="M2538" s="8">
        <f>L2538*G2538</f>
        <v/>
      </c>
      <c r="P2538" s="9" t="n"/>
    </row>
    <row r="2539">
      <c r="A2539" s="13" t="inlineStr">
        <is>
          <t>Rod of Ruin / Bastão da Ruína</t>
        </is>
      </c>
      <c r="B2539" s="13" t="inlineStr">
        <is>
          <t>Artifact</t>
        </is>
      </c>
      <c r="C2539" s="13" t="inlineStr">
        <is>
          <t>Incomum / Uncommon</t>
        </is>
      </c>
      <c r="D2539" s="13" t="inlineStr">
        <is>
          <t>{3}, {T}: Rod of Ruin deals 1 damage to target creature or player.</t>
        </is>
      </c>
      <c r="E2539" s="13" t="inlineStr">
        <is>
          <t>{4}</t>
        </is>
      </c>
      <c r="F2539" s="13" t="inlineStr">
        <is>
          <t>Incolor</t>
        </is>
      </c>
      <c r="G2539" s="8" t="n">
        <v>0.49</v>
      </c>
      <c r="H2539" s="13" t="inlineStr">
        <is>
          <t>Fourth Edition (BB)</t>
        </is>
      </c>
      <c r="I2539" s="13" t="inlineStr">
        <is>
          <t>Não</t>
        </is>
      </c>
      <c r="J2539" s="13" t="n">
        <v>1995</v>
      </c>
      <c r="L2539" s="13" t="n">
        <v>2</v>
      </c>
      <c r="M2539" s="8">
        <f>L2539*G2539</f>
        <v/>
      </c>
      <c r="P2539" s="9" t="n"/>
    </row>
    <row r="2540">
      <c r="A2540" s="13" t="inlineStr">
        <is>
          <t>Rod of Ruin / Vara da Ruína</t>
        </is>
      </c>
      <c r="B2540" s="13" t="inlineStr">
        <is>
          <t>Artifact / Artefato</t>
        </is>
      </c>
      <c r="C2540" s="13" t="inlineStr">
        <is>
          <t>Uncommon / Incomum</t>
        </is>
      </c>
      <c r="D2540" s="13" t="inlineStr">
        <is>
          <t>{3}, {T}: Rod of Ruin deals 1 damage to target creature or player. / {3}, {T}: Vara da Ruína causa 1 ponto de dano à criatura ou jogador alvo.</t>
        </is>
      </c>
      <c r="E2540" s="13" t="inlineStr">
        <is>
          <t>{4}</t>
        </is>
      </c>
      <c r="F2540" s="13" t="inlineStr">
        <is>
          <t>Incolor</t>
        </is>
      </c>
      <c r="G2540" s="8" t="n">
        <v>0.09</v>
      </c>
      <c r="H2540" s="13" t="inlineStr">
        <is>
          <t>Sixth Edition (6ED)</t>
        </is>
      </c>
      <c r="I2540" s="13" t="inlineStr">
        <is>
          <t>No</t>
        </is>
      </c>
      <c r="J2540" s="13" t="n">
        <v>1999</v>
      </c>
      <c r="L2540" s="13" t="n">
        <v>1</v>
      </c>
      <c r="M2540" s="8">
        <f>L2540*G2540</f>
        <v/>
      </c>
      <c r="P2540" s="9" t="n"/>
    </row>
    <row r="2541">
      <c r="A2541" s="13" t="inlineStr">
        <is>
          <t>Roil Cartographer / Cartógrafa do Turbillhão</t>
        </is>
      </c>
      <c r="B2541" s="13" t="inlineStr">
        <is>
          <t>Creature — Merfolk Rogue / Criatura — Tritão Ladino</t>
        </is>
      </c>
      <c r="C2541" s="13" t="inlineStr">
        <is>
          <t>Uncommon / Incomum</t>
        </is>
      </c>
      <c r="D2541" s="13" t="inlineStr">
        <is>
          <t>Landfall — Whenever a land you control enters, you get {E} (an energy counter). {T}, Pay six {E}: Draw three cards. / Aterragem — Toda vez que um terreno entra no campo de batalha sob seu controle, você recebe {E} (um marcador de energia). {T}, pague seis {E}: Compre três cards.</t>
        </is>
      </c>
      <c r="E2541" s="13" t="inlineStr">
        <is>
          <t>{1}{U}</t>
        </is>
      </c>
      <c r="F2541" s="13" t="inlineStr">
        <is>
          <t>Azul</t>
        </is>
      </c>
      <c r="G2541" s="8" t="n">
        <v>0.1</v>
      </c>
      <c r="H2541" s="13" t="inlineStr">
        <is>
          <t>Modern Horizons 3 (MH3)</t>
        </is>
      </c>
      <c r="I2541" s="13" t="inlineStr">
        <is>
          <t>Sim</t>
        </is>
      </c>
      <c r="J2541" s="13" t="n">
        <v>2024</v>
      </c>
      <c r="K2541" s="10" t="n">
        <v>46082</v>
      </c>
      <c r="L2541" s="13" t="n">
        <v>1</v>
      </c>
      <c r="M2541" s="8">
        <f>L2541*G2541</f>
        <v/>
      </c>
      <c r="P2541" s="9" t="n"/>
    </row>
    <row r="2542">
      <c r="A2542" s="13" t="inlineStr">
        <is>
          <t>Rompe-Correntes / Chainbreaker</t>
        </is>
      </c>
      <c r="B2542" s="13" t="inlineStr">
        <is>
          <t>Artifact Creature — Scarecrow / Criatura Artefato — Espantalho</t>
        </is>
      </c>
      <c r="C2542" s="13" t="inlineStr">
        <is>
          <t>Common / Comum</t>
        </is>
      </c>
      <c r="D2542" s="13" t="inlineStr">
        <is>
          <t>Rompe-Correntes enters the battlefield with two -1/-1 counters on it. {3}, {T}: Remove a -1/-1 counter from target creature. / Rompe-Correntes entra em jogo com dois marcadores -1/-1. {3}, {T}: Remova um marcador -1/-1 da criatura alvo.</t>
        </is>
      </c>
      <c r="E2542" s="13" t="inlineStr">
        <is>
          <t>{2}</t>
        </is>
      </c>
      <c r="F2542" s="13" t="inlineStr">
        <is>
          <t>Incolor</t>
        </is>
      </c>
      <c r="G2542" s="8" t="n">
        <v>0.08</v>
      </c>
      <c r="H2542" s="13" t="inlineStr">
        <is>
          <t>Shadowmoor (SHM)</t>
        </is>
      </c>
      <c r="I2542" s="13" t="inlineStr">
        <is>
          <t>No</t>
        </is>
      </c>
      <c r="J2542" s="13" t="n">
        <v>2008</v>
      </c>
      <c r="K2542" s="10" t="n">
        <v>46084</v>
      </c>
      <c r="L2542" s="13" t="n">
        <v>1</v>
      </c>
      <c r="M2542" s="8">
        <f>L2542*G2542</f>
        <v/>
      </c>
      <c r="P2542" s="9" t="n"/>
    </row>
    <row r="2543">
      <c r="A2543" s="13" t="inlineStr">
        <is>
          <t>Rona, Sheoldred's Faithful / Rona, Devota de Sheoldred</t>
        </is>
      </c>
      <c r="B2543" s="13" t="inlineStr">
        <is>
          <t>Legendary Creature — Human Wizard / Criatura Lendária — Humano Mago</t>
        </is>
      </c>
      <c r="C2543" s="13" t="inlineStr">
        <is>
          <t>Uncommon / Incomum</t>
        </is>
      </c>
      <c r="D2543" s="13"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2543" s="13" t="inlineStr">
        <is>
          <t>{1}{U}{B}{B}</t>
        </is>
      </c>
      <c r="F2543" s="13" t="inlineStr">
        <is>
          <t>Preto, Azul</t>
        </is>
      </c>
      <c r="G2543" s="8" t="n">
        <v>0.1</v>
      </c>
      <c r="H2543" s="13" t="inlineStr">
        <is>
          <t>Dominaria United (DMU)</t>
        </is>
      </c>
      <c r="I2543" s="13" t="inlineStr">
        <is>
          <t>Não</t>
        </is>
      </c>
      <c r="J2543" s="13" t="n">
        <v>2022</v>
      </c>
      <c r="K2543" s="10" t="n">
        <v>46115</v>
      </c>
      <c r="L2543" s="13" t="n">
        <v>1</v>
      </c>
      <c r="M2543" s="8">
        <f>L2543*G2543</f>
        <v/>
      </c>
      <c r="P2543" s="9" t="n"/>
    </row>
    <row r="2544">
      <c r="A2544" s="13" t="inlineStr">
        <is>
          <t>Ronin, Shadow Stalker / Ronin, Perseguidor das Sombras</t>
        </is>
      </c>
      <c r="B2544" s="13" t="inlineStr">
        <is>
          <t>Criatura Lendária — Humano Ladino Herói</t>
        </is>
      </c>
      <c r="C2544" s="13" t="inlineStr">
        <is>
          <t>Incomum</t>
        </is>
      </c>
      <c r="D2544" s="13"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2544" s="13" t="inlineStr">
        <is>
          <t>2{B}</t>
        </is>
      </c>
      <c r="F2544" s="13" t="inlineStr">
        <is>
          <t>Preto</t>
        </is>
      </c>
      <c r="G2544" s="8" t="n">
        <v>0.79</v>
      </c>
      <c r="H2544" s="13" t="inlineStr">
        <is>
          <t>Marvel</t>
        </is>
      </c>
      <c r="I2544" s="13" t="inlineStr">
        <is>
          <t>Não</t>
        </is>
      </c>
      <c r="J2544" s="13" t="n">
        <v>2026</v>
      </c>
      <c r="K2544" s="10" t="n">
        <v>46084</v>
      </c>
      <c r="L2544" s="13" t="n">
        <v>1</v>
      </c>
      <c r="M2544" s="8">
        <f>L2544*G2544</f>
        <v/>
      </c>
      <c r="P2544" s="9" t="n"/>
    </row>
    <row r="2545">
      <c r="A2545" s="13" t="inlineStr">
        <is>
          <t>Rook Turret / Torre de Torreão</t>
        </is>
      </c>
      <c r="B2545" s="13" t="inlineStr">
        <is>
          <t>Criatura Artefato — Construto</t>
        </is>
      </c>
      <c r="C2545" s="13" t="inlineStr">
        <is>
          <t>Comum</t>
        </is>
      </c>
      <c r="D2545" s="13" t="inlineStr">
        <is>
          <t>Voar. Sempre que outro artefato que você controla entrar, você poderá comprar um card. Se fizer isso, descarte um card.</t>
        </is>
      </c>
      <c r="E2545" s="13" t="inlineStr">
        <is>
          <t>3{U}</t>
        </is>
      </c>
      <c r="F2545" s="13" t="inlineStr">
        <is>
          <t>Azul</t>
        </is>
      </c>
      <c r="G2545" s="8" t="n">
        <v>0.05</v>
      </c>
      <c r="H2545" s="13" t="inlineStr">
        <is>
          <t>Final Fantasy</t>
        </is>
      </c>
      <c r="I2545" s="13" t="inlineStr">
        <is>
          <t>Não</t>
        </is>
      </c>
      <c r="J2545" s="13" t="n">
        <v>2025</v>
      </c>
      <c r="K2545" s="10" t="n">
        <v>46084</v>
      </c>
      <c r="L2545" s="13" t="n">
        <v>4</v>
      </c>
      <c r="M2545" s="8">
        <f>L2545*G2545</f>
        <v/>
      </c>
      <c r="P2545" s="9" t="n"/>
    </row>
    <row r="2546">
      <c r="A2546" s="13" t="inlineStr">
        <is>
          <t>Rook Turret / Torre de Torreão</t>
        </is>
      </c>
      <c r="B2546" s="13" t="inlineStr">
        <is>
          <t>Criatura Artefato — Construto</t>
        </is>
      </c>
      <c r="C2546" s="13" t="inlineStr">
        <is>
          <t>Comum</t>
        </is>
      </c>
      <c r="D2546" s="13" t="inlineStr">
        <is>
          <t>Voar. Sempre que outro artefato que você controla entrar, você poderá comprar um card. Se fizer isso, descarte um card.</t>
        </is>
      </c>
      <c r="E2546" s="13" t="inlineStr">
        <is>
          <t>3{U}</t>
        </is>
      </c>
      <c r="F2546" s="13" t="inlineStr">
        <is>
          <t>Azul</t>
        </is>
      </c>
      <c r="G2546" s="8" t="n">
        <v>0.4</v>
      </c>
      <c r="H2546" s="13" t="inlineStr">
        <is>
          <t>Final Fantasy</t>
        </is>
      </c>
      <c r="I2546" s="13" t="inlineStr">
        <is>
          <t>Sim</t>
        </is>
      </c>
      <c r="J2546" s="13" t="n">
        <v>2025</v>
      </c>
      <c r="K2546" s="10" t="n">
        <v>46084</v>
      </c>
      <c r="L2546" s="13" t="n">
        <v>2</v>
      </c>
      <c r="M2546" s="8">
        <f>L2546*G2546</f>
        <v/>
      </c>
      <c r="P2546" s="9" t="n"/>
    </row>
    <row r="2547">
      <c r="A2547" s="13" t="inlineStr">
        <is>
          <t>Root Out / Arrancar pela Raiz</t>
        </is>
      </c>
      <c r="B2547" s="13" t="inlineStr">
        <is>
          <t>Sorcery / Feitiço</t>
        </is>
      </c>
      <c r="C2547" s="13" t="inlineStr">
        <is>
          <t>Common / Comum</t>
        </is>
      </c>
      <c r="D2547" s="13"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2547" s="13" t="inlineStr">
        <is>
          <t>{2}{G}</t>
        </is>
      </c>
      <c r="F2547" s="13" t="inlineStr">
        <is>
          <t>Verde</t>
        </is>
      </c>
      <c r="G2547" s="8" t="n">
        <v>0.06</v>
      </c>
      <c r="H2547" s="13" t="inlineStr">
        <is>
          <t>Shadows over Innistrad (SOI)</t>
        </is>
      </c>
      <c r="I2547" s="13" t="inlineStr">
        <is>
          <t>Não</t>
        </is>
      </c>
      <c r="J2547" s="13" t="n">
        <v>2016</v>
      </c>
      <c r="L2547" s="13" t="n">
        <v>1</v>
      </c>
      <c r="M2547" s="8">
        <f>L2547*G2547</f>
        <v/>
      </c>
      <c r="P2547" s="9" t="n"/>
    </row>
    <row r="2548">
      <c r="A2548" s="13" t="inlineStr">
        <is>
          <t>Root Snare / Armadilha de Raízes</t>
        </is>
      </c>
      <c r="B2548" s="13" t="inlineStr">
        <is>
          <t>Instant / Mágica Instantânea</t>
        </is>
      </c>
      <c r="C2548" s="13" t="inlineStr">
        <is>
          <t>Common / Comum</t>
        </is>
      </c>
      <c r="D2548" s="13" t="inlineStr">
        <is>
          <t>Prevent all combat damage that would be dealt this turn. / Previna todo o dano de combate que seria causado neste turno.</t>
        </is>
      </c>
      <c r="E2548" s="13" t="inlineStr">
        <is>
          <t>{1}{G}</t>
        </is>
      </c>
      <c r="F2548" s="13" t="inlineStr">
        <is>
          <t>Verde</t>
        </is>
      </c>
      <c r="G2548" s="8" t="n">
        <v>0.06</v>
      </c>
      <c r="H2548" s="13" t="inlineStr">
        <is>
          <t>Ravnica Allegiance (RNA)</t>
        </is>
      </c>
      <c r="I2548" s="13" t="inlineStr">
        <is>
          <t>Não</t>
        </is>
      </c>
      <c r="J2548" s="13" t="n">
        <v>2019</v>
      </c>
      <c r="L2548" s="13" t="n">
        <v>1</v>
      </c>
      <c r="M2548" s="8">
        <f>L2548*G2548</f>
        <v/>
      </c>
      <c r="N2548" s="13" t="inlineStr">
        <is>
          <t>Bulk Shopee</t>
        </is>
      </c>
      <c r="P2548" s="9" t="n"/>
    </row>
    <row r="2549">
      <c r="A2549" s="13" t="inlineStr">
        <is>
          <t>Rosa Villa da Alameda Sul / Rosie Cotton of South Lane</t>
        </is>
      </c>
      <c r="B2549" s="13" t="inlineStr">
        <is>
          <t>Criatura Lendária — Pequenino Plebeu</t>
        </is>
      </c>
      <c r="C2549" s="13" t="inlineStr">
        <is>
          <t>Incomum</t>
        </is>
      </c>
      <c r="D2549" s="13" t="inlineStr">
        <is>
          <t>Quando Rosa Villa da Alameda Sul entrar no campo de batalha, crie uma ficha de Comida. Toda vez que você criar uma ficha, coloque um marcador +1/+1 na criatura alvo que você controla que não seja Rosa.</t>
        </is>
      </c>
      <c r="E2549" s="13" t="inlineStr">
        <is>
          <t>2{W}</t>
        </is>
      </c>
      <c r="F2549" s="13" t="inlineStr">
        <is>
          <t>Branco</t>
        </is>
      </c>
      <c r="G2549" s="8" t="n">
        <v>1.43</v>
      </c>
      <c r="H2549" s="13" t="inlineStr">
        <is>
          <t>The Lord of the Rings: Tales of Middle-earth (LTR)</t>
        </is>
      </c>
      <c r="I2549" s="13" t="inlineStr">
        <is>
          <t>Não</t>
        </is>
      </c>
      <c r="J2549" s="13" t="n">
        <v>2023</v>
      </c>
      <c r="K2549" s="10" t="n">
        <v>46023</v>
      </c>
      <c r="L2549" s="13" t="n">
        <v>1</v>
      </c>
      <c r="M2549" s="8">
        <f>L2549*G2549</f>
        <v/>
      </c>
      <c r="P2549" s="9" t="n"/>
    </row>
    <row r="2550">
      <c r="A2550" s="13" t="inlineStr">
        <is>
          <t>Rosie Cotton of South Lane / Rosa Villa da Alameda Sul</t>
        </is>
      </c>
      <c r="B2550" s="13" t="inlineStr">
        <is>
          <t>Legendary Creature — Halfling Peasant / Criatura Lendária — Pequenino Plebeu</t>
        </is>
      </c>
      <c r="C2550" s="13" t="inlineStr">
        <is>
          <t>Uncommon / Incomum</t>
        </is>
      </c>
      <c r="D2550" s="13"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2550" s="13" t="inlineStr">
        <is>
          <t>{2}{W}</t>
        </is>
      </c>
      <c r="F2550" s="13" t="inlineStr">
        <is>
          <t>Branco</t>
        </is>
      </c>
      <c r="G2550" s="8" t="n">
        <v>0.5</v>
      </c>
      <c r="H2550" s="13" t="inlineStr">
        <is>
          <t>The Lord of the Rings: Tales of Middle-earth (LTR)</t>
        </is>
      </c>
      <c r="I2550" s="13" t="inlineStr">
        <is>
          <t>Não</t>
        </is>
      </c>
      <c r="J2550" s="13" t="n">
        <v>2023</v>
      </c>
      <c r="K2550" s="10" t="n">
        <v>46023</v>
      </c>
      <c r="L2550" s="13" t="n">
        <v>2</v>
      </c>
      <c r="M2550" s="8">
        <f>L2550*G2550</f>
        <v/>
      </c>
      <c r="P2550" s="9" t="n"/>
    </row>
    <row r="2551">
      <c r="A2551" s="13" t="inlineStr">
        <is>
          <t>Roterothopter / Roterotóptero</t>
        </is>
      </c>
      <c r="B2551" s="13" t="inlineStr">
        <is>
          <t>Artifact Creature — Thopter</t>
        </is>
      </c>
      <c r="C2551" s="13" t="inlineStr">
        <is>
          <t>Common / Comum</t>
        </is>
      </c>
      <c r="D2551" s="13" t="inlineStr">
        <is>
          <t>Flying {2}: This creature gets +1/+0 until end of turn. Activate no more than twice each turn.</t>
        </is>
      </c>
      <c r="E2551" s="13" t="inlineStr">
        <is>
          <t>{1}</t>
        </is>
      </c>
      <c r="F2551" s="13" t="inlineStr">
        <is>
          <t>Incolor</t>
        </is>
      </c>
      <c r="G2551" s="8" t="n">
        <v>0.18</v>
      </c>
      <c r="H2551" s="13" t="inlineStr">
        <is>
          <t>Homelands (HML)</t>
        </is>
      </c>
      <c r="I2551" s="13" t="inlineStr">
        <is>
          <t>Não</t>
        </is>
      </c>
      <c r="J2551" s="13" t="n">
        <v>1995</v>
      </c>
      <c r="K2551" s="13" t="inlineStr">
        <is>
          <t>0/2</t>
        </is>
      </c>
      <c r="L2551" s="13" t="n">
        <v>2</v>
      </c>
      <c r="M2551" s="8">
        <f>L2551*G2551</f>
        <v/>
      </c>
      <c r="P2551" s="9" t="n"/>
    </row>
    <row r="2552">
      <c r="A2552" s="13" t="inlineStr">
        <is>
          <t>Rotted Hulk / Brutamontes Apodrecido</t>
        </is>
      </c>
      <c r="B2552" s="13" t="inlineStr">
        <is>
          <t>Creature — Elemental / Criatura — Elemental</t>
        </is>
      </c>
      <c r="C2552" s="13" t="inlineStr">
        <is>
          <t>Common / Comum</t>
        </is>
      </c>
      <c r="E2552" s="13" t="inlineStr">
        <is>
          <t>{3}{B}</t>
        </is>
      </c>
      <c r="F2552" s="13" t="inlineStr">
        <is>
          <t>Preto</t>
        </is>
      </c>
      <c r="G2552" s="8" t="n">
        <v>0.03</v>
      </c>
      <c r="H2552" s="13" t="inlineStr">
        <is>
          <t>Journey into Nyx (JOU)</t>
        </is>
      </c>
      <c r="I2552" s="13" t="inlineStr">
        <is>
          <t>Não</t>
        </is>
      </c>
      <c r="J2552" s="13" t="n">
        <v>2014</v>
      </c>
      <c r="K2552" s="10" t="n">
        <v>46144</v>
      </c>
      <c r="L2552" s="13" t="n">
        <v>2</v>
      </c>
      <c r="M2552" s="8">
        <f>L2552*G2552</f>
        <v/>
      </c>
      <c r="P2552" s="9" t="n"/>
    </row>
    <row r="2553">
      <c r="A2553" s="13" t="inlineStr">
        <is>
          <t>Rotten Reunion / Reunião Apodrecida</t>
        </is>
      </c>
      <c r="B2553" s="13" t="inlineStr">
        <is>
          <t>Instant / Mágica Instantânea</t>
        </is>
      </c>
      <c r="C2553" s="13" t="inlineStr">
        <is>
          <t>Common / Comum</t>
        </is>
      </c>
      <c r="D2553" s="13"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2553" s="13" t="inlineStr">
        <is>
          <t>{B}</t>
        </is>
      </c>
      <c r="F2553" s="13" t="inlineStr">
        <is>
          <t>Preto</t>
        </is>
      </c>
      <c r="G2553" s="8" t="n">
        <v>1.25</v>
      </c>
      <c r="H2553" s="13" t="inlineStr">
        <is>
          <t>Innistrad: Midnight Hunt (MID)</t>
        </is>
      </c>
      <c r="I2553" s="13" t="inlineStr">
        <is>
          <t>Não</t>
        </is>
      </c>
      <c r="J2553" s="13" t="n">
        <v>2021</v>
      </c>
      <c r="L2553" s="13" t="n">
        <v>1</v>
      </c>
      <c r="M2553" s="8">
        <f>L2553*G2553</f>
        <v/>
      </c>
      <c r="N2553" s="13" t="inlineStr">
        <is>
          <t>Pasta</t>
        </is>
      </c>
      <c r="P2553" s="9" t="n"/>
    </row>
    <row r="2554">
      <c r="A2554" s="13" t="inlineStr">
        <is>
          <t>Roubar um Pedaço / Thief of Blood</t>
        </is>
      </c>
      <c r="B2554" s="13" t="inlineStr">
        <is>
          <t>Feitiço Tribal — Ladino / Tribal Sorcery — Rogue</t>
        </is>
      </c>
      <c r="C2554" s="13" t="inlineStr">
        <is>
          <t>Comum / Common</t>
        </is>
      </c>
      <c r="D2554" s="13"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2554" s="13" t="inlineStr">
        <is>
          <t>{2}{B}</t>
        </is>
      </c>
      <c r="F2554" s="13" t="inlineStr">
        <is>
          <t>Preto / Black</t>
        </is>
      </c>
      <c r="G2554" s="8" t="n">
        <v>0.19</v>
      </c>
      <c r="H2554" s="13" t="inlineStr">
        <is>
          <t>Magic Origins (ORI)</t>
        </is>
      </c>
      <c r="I2554" s="13" t="inlineStr">
        <is>
          <t>Não</t>
        </is>
      </c>
      <c r="J2554" s="13" t="n">
        <v>2015</v>
      </c>
      <c r="L2554" s="13" t="n">
        <v>4</v>
      </c>
      <c r="M2554" s="8">
        <f>L2554*G2554</f>
        <v/>
      </c>
      <c r="P2554" s="9" t="n"/>
    </row>
    <row r="2555">
      <c r="A2555" s="13" t="inlineStr">
        <is>
          <t>Rough Rhino Cavalry</t>
        </is>
      </c>
      <c r="B2555" s="13" t="inlineStr">
        <is>
          <t>Creature — Human Mercenary</t>
        </is>
      </c>
      <c r="C2555" s="13" t="inlineStr">
        <is>
          <t>Common / Comum</t>
        </is>
      </c>
      <c r="D2555" s="13" t="inlineStr">
        <is>
          <t>Firebending 2 (Whenever this creature attacks, add {R}{R}. This mana lasts until end of combat.) Exhaust — {8}: Put two +1/+1 counters on this creature. It gains trample until end of turn. (Activate each exhaust ability only once.)</t>
        </is>
      </c>
      <c r="E2555" s="13" t="inlineStr">
        <is>
          <t>{4}{R}</t>
        </is>
      </c>
      <c r="F2555" s="13" t="inlineStr">
        <is>
          <t>Vermelho</t>
        </is>
      </c>
      <c r="G2555" s="8" t="n">
        <v>0.03</v>
      </c>
      <c r="H2555" s="13" t="inlineStr">
        <is>
          <t>Avatar: The Last Airbender (TLA)</t>
        </is>
      </c>
      <c r="I2555" s="13" t="inlineStr">
        <is>
          <t>Não</t>
        </is>
      </c>
      <c r="J2555" s="13" t="n">
        <v>2025</v>
      </c>
      <c r="K2555" s="10" t="n">
        <v>46147</v>
      </c>
      <c r="L2555" s="13" t="n">
        <v>2</v>
      </c>
      <c r="M2555" s="8">
        <f>L2555*G2555</f>
        <v/>
      </c>
      <c r="P2555" s="9" t="n"/>
    </row>
    <row r="2556">
      <c r="A2556" s="13" t="inlineStr">
        <is>
          <t>Roving Actuator / Atuador Itinerante</t>
        </is>
      </c>
      <c r="B2556" s="13" t="inlineStr">
        <is>
          <t>Criatura Artefato — Robô</t>
        </is>
      </c>
      <c r="C2556" s="13" t="inlineStr">
        <is>
          <t>Incomum</t>
        </is>
      </c>
      <c r="D2556" s="13"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2556" s="13" t="inlineStr">
        <is>
          <t>3{R}</t>
        </is>
      </c>
      <c r="F2556" s="13" t="inlineStr">
        <is>
          <t>Vermelho</t>
        </is>
      </c>
      <c r="G2556" s="8" t="n">
        <v>0.11</v>
      </c>
      <c r="H2556" s="13" t="inlineStr">
        <is>
          <t>Edge of Eternity</t>
        </is>
      </c>
      <c r="I2556" s="13" t="inlineStr">
        <is>
          <t>Não</t>
        </is>
      </c>
      <c r="J2556" s="13" t="n">
        <v>2025</v>
      </c>
      <c r="K2556" s="10" t="n">
        <v>46115</v>
      </c>
      <c r="L2556" s="13" t="n">
        <v>2</v>
      </c>
      <c r="M2556" s="8">
        <f>L2556*G2556</f>
        <v/>
      </c>
      <c r="P2556" s="9" t="n"/>
    </row>
    <row r="2557">
      <c r="A2557" s="13" t="inlineStr">
        <is>
          <t>Rowdy Snowballers</t>
        </is>
      </c>
      <c r="B2557" s="13" t="inlineStr">
        <is>
          <t>Creature — Human Peasant Ally</t>
        </is>
      </c>
      <c r="C2557" s="13" t="inlineStr">
        <is>
          <t>Common / Comum</t>
        </is>
      </c>
      <c r="D2557" s="13" t="inlineStr">
        <is>
          <t>When this creature enters, tap target creature an opponent controls and put a stun counter on it. (If a permanent with a stun counter would become untapped, remove one from it instead.)</t>
        </is>
      </c>
      <c r="E2557" s="13" t="inlineStr">
        <is>
          <t>{2}{U}</t>
        </is>
      </c>
      <c r="F2557" s="13" t="inlineStr">
        <is>
          <t>Azul</t>
        </is>
      </c>
      <c r="G2557" s="8" t="n">
        <v>0.05</v>
      </c>
      <c r="H2557" s="13" t="inlineStr">
        <is>
          <t>Avatar: The Last Airbender (TLA)</t>
        </is>
      </c>
      <c r="I2557" s="13" t="inlineStr">
        <is>
          <t>Não</t>
        </is>
      </c>
      <c r="J2557" s="13" t="n">
        <v>2025</v>
      </c>
      <c r="K2557" s="10" t="n">
        <v>46055</v>
      </c>
      <c r="L2557" s="13" t="n">
        <v>3</v>
      </c>
      <c r="M2557" s="8">
        <f>L2557*G2557</f>
        <v/>
      </c>
      <c r="P2557" s="9" t="n"/>
    </row>
    <row r="2558">
      <c r="A2558" s="13" t="inlineStr">
        <is>
          <t>Roxxon Brutes / Brutos da Roxxon</t>
        </is>
      </c>
      <c r="B2558" s="13" t="inlineStr">
        <is>
          <t>Criatura — Humano Berserker Vilão</t>
        </is>
      </c>
      <c r="C2558" s="13" t="inlineStr">
        <is>
          <t>Comum</t>
        </is>
      </c>
      <c r="D2558" s="13"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2558" s="13" t="inlineStr">
        <is>
          <t>4{B}</t>
        </is>
      </c>
      <c r="F2558" s="13" t="inlineStr">
        <is>
          <t>Preto</t>
        </is>
      </c>
      <c r="G2558" s="8" t="n">
        <v>0.13</v>
      </c>
      <c r="H2558" s="13" t="inlineStr">
        <is>
          <t>Marvel</t>
        </is>
      </c>
      <c r="I2558" s="13" t="inlineStr">
        <is>
          <t>Não</t>
        </is>
      </c>
      <c r="J2558" s="13" t="n">
        <v>2026</v>
      </c>
      <c r="K2558" s="10" t="n">
        <v>46116</v>
      </c>
      <c r="L2558" s="13" t="n">
        <v>1</v>
      </c>
      <c r="M2558" s="8">
        <f>L2558*G2558</f>
        <v/>
      </c>
      <c r="P2558" s="9" t="n"/>
    </row>
    <row r="2559">
      <c r="A2559" s="13" t="inlineStr">
        <is>
          <t>Rufus Shinra / Rufus Shinra</t>
        </is>
      </c>
      <c r="B2559" s="13" t="inlineStr">
        <is>
          <t>Criatura Lendária — Humano Nobre</t>
        </is>
      </c>
      <c r="C2559" s="13" t="inlineStr">
        <is>
          <t>Incomum</t>
        </is>
      </c>
      <c r="D2559" s="13" t="inlineStr">
        <is>
          <t>Sempre que Rufus Shinra atacar, se você não controlar uma criatura chamada Darkstar, crie Darkstar, uma ficha de criatura lendária Cão branca e preta 2/2.</t>
        </is>
      </c>
      <c r="E2559" s="13" t="inlineStr">
        <is>
          <t>1WB</t>
        </is>
      </c>
      <c r="F2559" s="13" t="inlineStr">
        <is>
          <t>Branco e Preto</t>
        </is>
      </c>
      <c r="G2559" s="8" t="n">
        <v>0.15</v>
      </c>
      <c r="H2559" s="13" t="inlineStr">
        <is>
          <t>Final Fantasy</t>
        </is>
      </c>
      <c r="I2559" s="13" t="inlineStr">
        <is>
          <t>Não</t>
        </is>
      </c>
      <c r="J2559" s="13" t="n">
        <v>2025</v>
      </c>
      <c r="K2559" s="10" t="n">
        <v>46114</v>
      </c>
      <c r="L2559" s="13" t="n">
        <v>6</v>
      </c>
      <c r="M2559" s="8">
        <f>L2559*G2559</f>
        <v/>
      </c>
      <c r="P2559" s="9" t="n"/>
    </row>
    <row r="2560">
      <c r="A2560" s="13" t="inlineStr">
        <is>
          <t>Rufus Shinra / Rufus Shinra</t>
        </is>
      </c>
      <c r="B2560" s="13" t="inlineStr">
        <is>
          <t>Criatura Lendária — Humano Nobre</t>
        </is>
      </c>
      <c r="C2560" s="13" t="inlineStr">
        <is>
          <t>Incomum</t>
        </is>
      </c>
      <c r="D2560" s="13" t="inlineStr">
        <is>
          <t>Sempre que Rufus Shinra atacar, se você não controlar uma criatura chamada Darkstar, crie Darkstar, uma ficha de criatura lendária Cão branca e preta 2/2.</t>
        </is>
      </c>
      <c r="E2560" s="13" t="inlineStr">
        <is>
          <t>1WB</t>
        </is>
      </c>
      <c r="F2560" s="13" t="inlineStr">
        <is>
          <t>Branco e Preto</t>
        </is>
      </c>
      <c r="G2560" s="8" t="n">
        <v>0.4</v>
      </c>
      <c r="H2560" s="13" t="inlineStr">
        <is>
          <t>Final Fantasy</t>
        </is>
      </c>
      <c r="I2560" s="13" t="inlineStr">
        <is>
          <t>Sim</t>
        </is>
      </c>
      <c r="J2560" s="13" t="n">
        <v>2025</v>
      </c>
      <c r="K2560" s="10" t="n">
        <v>46114</v>
      </c>
      <c r="L2560" s="13" t="n">
        <v>1</v>
      </c>
      <c r="M2560" s="8">
        <f>L2560*G2560</f>
        <v/>
      </c>
      <c r="P2560" s="9" t="n"/>
    </row>
    <row r="2561">
      <c r="A2561" s="13" t="inlineStr">
        <is>
          <t>Rugged Highlands / Planalto Acidentado</t>
        </is>
      </c>
      <c r="B2561" s="13" t="inlineStr">
        <is>
          <t>Land / Terreno</t>
        </is>
      </c>
      <c r="C2561" s="13" t="inlineStr">
        <is>
          <t>Common / Comum</t>
        </is>
      </c>
      <c r="D2561" s="13"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2561" s="13" t="inlineStr">
        <is>
          <t>Incolor</t>
        </is>
      </c>
      <c r="G2561" s="8" t="n">
        <v>0.12</v>
      </c>
      <c r="H2561" s="13" t="inlineStr">
        <is>
          <t>Kamigawa: Neon Dynasty (NEO)</t>
        </is>
      </c>
      <c r="I2561" s="13" t="inlineStr">
        <is>
          <t>Não</t>
        </is>
      </c>
      <c r="J2561" s="13" t="n">
        <v>2022</v>
      </c>
      <c r="L2561" s="13" t="n">
        <v>3</v>
      </c>
      <c r="M2561" s="8">
        <f>L2561*G2561</f>
        <v/>
      </c>
      <c r="P2561" s="9" t="n"/>
    </row>
    <row r="2562">
      <c r="A2562" s="13" t="inlineStr">
        <is>
          <t>Rugged Highlands / Planalto Acidentado</t>
        </is>
      </c>
      <c r="B2562" s="13" t="inlineStr">
        <is>
          <t>Land / Terreno</t>
        </is>
      </c>
      <c r="C2562" s="13" t="inlineStr">
        <is>
          <t>Common / Comum</t>
        </is>
      </c>
      <c r="D2562" s="13" t="inlineStr">
        <is>
          <t>This land enters tapped. When this land enters, you gain 1 life. {T}: Add {R} or {G}. / Planalto Acidentado entra no campo de batalha virado. Quando Planalto Acidentado entra no campo de batalha, você ganha 1 ponto de vida. {T}: Adicione {R} ou {G}.</t>
        </is>
      </c>
      <c r="F2562" s="13" t="inlineStr">
        <is>
          <t>Verde, Vermelho</t>
        </is>
      </c>
      <c r="G2562" s="8" t="n">
        <v>0.14</v>
      </c>
      <c r="H2562" s="13" t="inlineStr">
        <is>
          <t>Kamigawa: Neon Dynasty (NEO)</t>
        </is>
      </c>
      <c r="I2562" s="13" t="inlineStr">
        <is>
          <t>Não</t>
        </is>
      </c>
      <c r="J2562" s="13" t="n">
        <v>2022</v>
      </c>
      <c r="L2562" s="13" t="n">
        <v>1</v>
      </c>
      <c r="M2562" s="8">
        <f>L2562*G2562</f>
        <v/>
      </c>
      <c r="P2562" s="9" t="n"/>
    </row>
    <row r="2563">
      <c r="A2563" s="13" t="inlineStr">
        <is>
          <t>Ruinous Waterbending</t>
        </is>
      </c>
      <c r="B2563" s="13" t="inlineStr">
        <is>
          <t>Sorcery — Lesson</t>
        </is>
      </c>
      <c r="C2563" s="13" t="inlineStr">
        <is>
          <t>Uncommon / Incomum</t>
        </is>
      </c>
      <c r="D2563" s="13"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2563" s="13" t="inlineStr">
        <is>
          <t>{1}{B}{B}</t>
        </is>
      </c>
      <c r="F2563" s="13" t="inlineStr">
        <is>
          <t>Preto</t>
        </is>
      </c>
      <c r="G2563" s="8" t="n">
        <v>0.15</v>
      </c>
      <c r="H2563" s="13" t="inlineStr">
        <is>
          <t>Avatar: The Last Airbender (TLA)</t>
        </is>
      </c>
      <c r="I2563" s="13" t="inlineStr">
        <is>
          <t>Não</t>
        </is>
      </c>
      <c r="J2563" s="13" t="n">
        <v>2025</v>
      </c>
      <c r="L2563" s="13" t="n">
        <v>1</v>
      </c>
      <c r="M2563" s="8">
        <f>L2563*G2563</f>
        <v/>
      </c>
      <c r="P2563" s="9" t="n"/>
    </row>
    <row r="2564">
      <c r="A2564" s="13" t="inlineStr">
        <is>
          <t>Ruins of Oran-Rief / Ruínas de Oran-Rief</t>
        </is>
      </c>
      <c r="B2564" s="13" t="inlineStr">
        <is>
          <t>Land / Terreno</t>
        </is>
      </c>
      <c r="C2564" s="13" t="inlineStr">
        <is>
          <t>Rare / Rara</t>
        </is>
      </c>
      <c r="D2564" s="13"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2564" s="13" t="inlineStr">
        <is>
          <t>Incolor</t>
        </is>
      </c>
      <c r="G2564" s="8" t="n">
        <v>0.17</v>
      </c>
      <c r="H2564" s="13" t="inlineStr">
        <is>
          <t>Oath of the Gatewatch (OGW)</t>
        </is>
      </c>
      <c r="I2564" s="13" t="inlineStr">
        <is>
          <t>Não</t>
        </is>
      </c>
      <c r="J2564" s="13" t="n">
        <v>2016</v>
      </c>
      <c r="L2564" s="13" t="n">
        <v>1</v>
      </c>
      <c r="M2564" s="8">
        <f>L2564*G2564</f>
        <v/>
      </c>
      <c r="P2564" s="9" t="n"/>
    </row>
    <row r="2565">
      <c r="A2565" s="13" t="inlineStr">
        <is>
          <t>Rulik Mons, Warren Chief / Rulik Mons, Chefona do Viveiro</t>
        </is>
      </c>
      <c r="B2565" s="13" t="inlineStr">
        <is>
          <t>Legendary Creature — Goblin / Criatura Lendária — Goblin</t>
        </is>
      </c>
      <c r="C2565" s="13" t="inlineStr">
        <is>
          <t>Uncommon / Incomum</t>
        </is>
      </c>
      <c r="D2565" s="13"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2565" s="13" t="inlineStr">
        <is>
          <t>{1}{R}{G}{G}</t>
        </is>
      </c>
      <c r="F2565" s="13" t="inlineStr">
        <is>
          <t>Verde, Vermelho</t>
        </is>
      </c>
      <c r="G2565" s="8" t="n">
        <v>0.14</v>
      </c>
      <c r="H2565" s="13" t="inlineStr">
        <is>
          <t>Dominaria United (DMU)</t>
        </is>
      </c>
      <c r="I2565" s="13" t="inlineStr">
        <is>
          <t>Não</t>
        </is>
      </c>
      <c r="J2565" s="13" t="n">
        <v>2022</v>
      </c>
      <c r="K2565" s="10" t="n">
        <v>46084</v>
      </c>
      <c r="L2565" s="13" t="n">
        <v>1</v>
      </c>
      <c r="M2565" s="8">
        <f>L2565*G2565</f>
        <v/>
      </c>
      <c r="P2565" s="9" t="n"/>
    </row>
    <row r="2566">
      <c r="A2566" s="13" t="inlineStr">
        <is>
          <t>Rumbling Baloth</t>
        </is>
      </c>
      <c r="B2566" s="13" t="inlineStr">
        <is>
          <t>Creature — Beast</t>
        </is>
      </c>
      <c r="C2566" s="13" t="inlineStr">
        <is>
          <t>Common</t>
        </is>
      </c>
      <c r="D2566" s="13" t="inlineStr">
        <is>
          <t>None</t>
        </is>
      </c>
      <c r="E2566" s="13" t="inlineStr">
        <is>
          <t>{2}{G}{G}</t>
        </is>
      </c>
      <c r="F2566" s="13" t="inlineStr">
        <is>
          <t>Verde</t>
        </is>
      </c>
      <c r="G2566" s="8" t="n">
        <v>0.05</v>
      </c>
      <c r="H2566" s="8" t="inlineStr">
        <is>
          <t>Magic 2014 (M14)</t>
        </is>
      </c>
      <c r="I2566" s="13" t="inlineStr">
        <is>
          <t>Não</t>
        </is>
      </c>
      <c r="J2566" s="13" t="n">
        <v>2013</v>
      </c>
      <c r="K2566" s="10" t="n">
        <v>46116</v>
      </c>
      <c r="L2566" s="13" t="n">
        <v>1</v>
      </c>
      <c r="M2566" s="8">
        <f>L2566*G2566</f>
        <v/>
      </c>
      <c r="P2566" s="9" t="n"/>
    </row>
    <row r="2567">
      <c r="A2567" s="13" t="inlineStr">
        <is>
          <t>Rumbling Sentry / Sentinela Ribombante</t>
        </is>
      </c>
      <c r="B2567" s="13" t="inlineStr">
        <is>
          <t>Creature — Giant / Criatura — Gigante</t>
        </is>
      </c>
      <c r="C2567" s="13" t="inlineStr">
        <is>
          <t>Common / Comum</t>
        </is>
      </c>
      <c r="D2567" s="13" t="inlineStr">
        <is>
          <t>When this creature enters, scry 1. / Quando Sentinela Ribombante entrar no campo de batalha, use vidência 1.</t>
        </is>
      </c>
      <c r="E2567" s="13" t="inlineStr">
        <is>
          <t>{3}{W}{W}</t>
        </is>
      </c>
      <c r="F2567" s="13" t="inlineStr">
        <is>
          <t>Branco</t>
        </is>
      </c>
      <c r="G2567" s="8" t="n">
        <v>0.03</v>
      </c>
      <c r="H2567" s="13" t="inlineStr">
        <is>
          <t>Theros Beyond Death (THB)</t>
        </is>
      </c>
      <c r="I2567" s="13" t="inlineStr">
        <is>
          <t>Não</t>
        </is>
      </c>
      <c r="J2567" s="13" t="n">
        <v>2020</v>
      </c>
      <c r="K2567" s="10" t="n">
        <v>46176</v>
      </c>
      <c r="L2567" s="13" t="n">
        <v>8</v>
      </c>
      <c r="M2567" s="8">
        <f>L2567*G2567</f>
        <v/>
      </c>
      <c r="P2567" s="9" t="n"/>
    </row>
    <row r="2568">
      <c r="A2568" s="13" t="inlineStr">
        <is>
          <t>Run Behind / Correr Atrás</t>
        </is>
      </c>
      <c r="B2568" s="13" t="inlineStr">
        <is>
          <t>Instant / Instantânea</t>
        </is>
      </c>
      <c r="C2568" s="13" t="inlineStr">
        <is>
          <t>Common / Comum</t>
        </is>
      </c>
      <c r="D2568" s="13"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2568" s="13" t="inlineStr">
        <is>
          <t>{3}{U}</t>
        </is>
      </c>
      <c r="F2568" s="13" t="inlineStr">
        <is>
          <t>Azul</t>
        </is>
      </c>
      <c r="G2568" s="8" t="n">
        <v>0.04</v>
      </c>
      <c r="H2568" s="13" t="inlineStr">
        <is>
          <t>Shadows of Sothia (SOS)</t>
        </is>
      </c>
      <c r="I2568" s="13" t="inlineStr">
        <is>
          <t>No</t>
        </is>
      </c>
      <c r="J2568" s="13" t="n">
        <v>2026</v>
      </c>
      <c r="L2568" s="13" t="n">
        <v>2</v>
      </c>
      <c r="M2568" s="8">
        <f>L2568*G2568</f>
        <v/>
      </c>
      <c r="P2568" s="9" t="n"/>
    </row>
    <row r="2569">
      <c r="A2569" s="13" t="inlineStr">
        <is>
          <t>Run Behind / Correr Atrás</t>
        </is>
      </c>
      <c r="B2569" s="13" t="inlineStr">
        <is>
          <t>Instant / Instantânea</t>
        </is>
      </c>
      <c r="C2569" s="13" t="inlineStr">
        <is>
          <t>Common / Comum</t>
        </is>
      </c>
      <c r="D2569" s="13"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2569" s="13" t="inlineStr">
        <is>
          <t>{3}{U}</t>
        </is>
      </c>
      <c r="F2569" s="13" t="inlineStr">
        <is>
          <t>Azul</t>
        </is>
      </c>
      <c r="G2569" s="8" t="n">
        <v>0.2</v>
      </c>
      <c r="H2569" s="13" t="inlineStr">
        <is>
          <t>Shadows of Sothia (SOS)</t>
        </is>
      </c>
      <c r="I2569" s="13" t="inlineStr">
        <is>
          <t>Sim</t>
        </is>
      </c>
      <c r="J2569" s="13" t="n">
        <v>2026</v>
      </c>
      <c r="L2569" s="13" t="n">
        <v>1</v>
      </c>
      <c r="M2569" s="8">
        <f>L2569*G2569</f>
        <v/>
      </c>
      <c r="P2569" s="9" t="n"/>
    </row>
    <row r="2570">
      <c r="A2570" s="13" t="inlineStr">
        <is>
          <t>Runaway Boulder</t>
        </is>
      </c>
      <c r="B2570" s="13" t="inlineStr">
        <is>
          <t>Artifact</t>
        </is>
      </c>
      <c r="C2570" s="13" t="inlineStr">
        <is>
          <t>Common / Comum</t>
        </is>
      </c>
      <c r="D2570" s="13" t="inlineStr">
        <is>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is>
      </c>
      <c r="E2570" s="13" t="inlineStr">
        <is>
          <t>{6}</t>
        </is>
      </c>
      <c r="F2570" s="13" t="inlineStr">
        <is>
          <t>Incolor</t>
        </is>
      </c>
      <c r="G2570" s="8" t="n">
        <v>0.07000000000000001</v>
      </c>
      <c r="H2570" s="13" t="inlineStr">
        <is>
          <t>The Lost Caverns of Ixalan (LCI)</t>
        </is>
      </c>
      <c r="I2570" s="13" t="inlineStr">
        <is>
          <t>Não</t>
        </is>
      </c>
      <c r="J2570" s="13" t="n">
        <v>2023</v>
      </c>
      <c r="L2570" s="13" t="n">
        <v>1</v>
      </c>
      <c r="M2570" s="8">
        <f>L2570*G2570</f>
        <v/>
      </c>
      <c r="P2570" s="9" t="n"/>
    </row>
    <row r="2571">
      <c r="A2571" s="13" t="inlineStr">
        <is>
          <t>Rune-Sealed Wall</t>
        </is>
      </c>
      <c r="B2571" s="13" t="inlineStr">
        <is>
          <t>Artifact Creature — Wall</t>
        </is>
      </c>
      <c r="C2571" s="13" t="inlineStr">
        <is>
          <t>Uncommon / Incomum</t>
        </is>
      </c>
      <c r="D2571" s="13" t="inlineStr">
        <is>
          <t>Defender {T}: Surveil 1. (Look at the top card of your library. You may put it into your graveyard.)</t>
        </is>
      </c>
      <c r="E2571" s="13" t="inlineStr">
        <is>
          <t>{2}{U}</t>
        </is>
      </c>
      <c r="F2571" s="13" t="inlineStr">
        <is>
          <t>Azul</t>
        </is>
      </c>
      <c r="G2571" s="8" t="n">
        <v>0.05</v>
      </c>
      <c r="H2571" s="13" t="inlineStr">
        <is>
          <t>Foundations (FDN)</t>
        </is>
      </c>
      <c r="I2571" s="13" t="inlineStr">
        <is>
          <t>Não</t>
        </is>
      </c>
      <c r="J2571" s="13" t="n">
        <v>2026</v>
      </c>
      <c r="K2571" s="13" t="inlineStr">
        <is>
          <t>0/6</t>
        </is>
      </c>
      <c r="L2571" s="13" t="n">
        <v>1</v>
      </c>
      <c r="M2571" s="8">
        <f>L2571*G2571</f>
        <v/>
      </c>
      <c r="P2571" s="9" t="n"/>
    </row>
    <row r="2572">
      <c r="A2572" s="13" t="inlineStr">
        <is>
          <t>Runeclaw Bear / Urso Garra de Runa</t>
        </is>
      </c>
      <c r="B2572" s="13" t="inlineStr">
        <is>
          <t>Creature — Bear / Criatura — Urso</t>
        </is>
      </c>
      <c r="C2572" s="13" t="inlineStr">
        <is>
          <t>Common / Comum</t>
        </is>
      </c>
      <c r="E2572" s="13" t="inlineStr">
        <is>
          <t>{1}{G}</t>
        </is>
      </c>
      <c r="F2572" s="13" t="inlineStr">
        <is>
          <t>Verde</t>
        </is>
      </c>
      <c r="G2572" s="8" t="n">
        <v>0.09</v>
      </c>
      <c r="H2572" s="13" t="inlineStr">
        <is>
          <t>Magic 20105 (M15)</t>
        </is>
      </c>
      <c r="I2572" s="13" t="inlineStr">
        <is>
          <t>Não</t>
        </is>
      </c>
      <c r="J2572" s="13" t="n">
        <v>2014</v>
      </c>
      <c r="K2572" s="10" t="n">
        <v>46055</v>
      </c>
      <c r="L2572" s="13" t="n">
        <v>2</v>
      </c>
      <c r="M2572" s="8">
        <f>L2572*G2572</f>
        <v/>
      </c>
      <c r="P2572" s="9" t="n"/>
    </row>
    <row r="2573">
      <c r="A2573" s="13" t="inlineStr">
        <is>
          <t>Runesword</t>
        </is>
      </c>
      <c r="B2573" s="13" t="inlineStr">
        <is>
          <t>Artifact</t>
        </is>
      </c>
      <c r="C2573" s="13" t="inlineStr">
        <is>
          <t>Common / Comum</t>
        </is>
      </c>
      <c r="D2573" s="13"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2573" s="13" t="inlineStr">
        <is>
          <t>{6}</t>
        </is>
      </c>
      <c r="F2573" s="13" t="inlineStr">
        <is>
          <t>Incolor</t>
        </is>
      </c>
      <c r="G2573" s="8" t="n">
        <v>0.08</v>
      </c>
      <c r="H2573" s="13" t="inlineStr">
        <is>
          <t>Chronicles (CHR)</t>
        </is>
      </c>
      <c r="I2573" s="13" t="inlineStr">
        <is>
          <t>Não</t>
        </is>
      </c>
      <c r="J2573" s="13" t="n">
        <v>1995</v>
      </c>
      <c r="L2573" s="13" t="n">
        <v>1</v>
      </c>
      <c r="M2573" s="8">
        <f>L2573*G2573</f>
        <v/>
      </c>
      <c r="P2573" s="9" t="n"/>
    </row>
    <row r="2574">
      <c r="A2574" s="13" t="inlineStr">
        <is>
          <t>Runic Shot / Tiro Rúnico</t>
        </is>
      </c>
      <c r="B2574" s="13" t="inlineStr">
        <is>
          <t>Sorcery / Feitiço</t>
        </is>
      </c>
      <c r="C2574" s="13" t="inlineStr">
        <is>
          <t>Uncommon / Incomum</t>
        </is>
      </c>
      <c r="D2574" s="13"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2574" s="13" t="inlineStr">
        <is>
          <t>{W}</t>
        </is>
      </c>
      <c r="F2574" s="13" t="inlineStr">
        <is>
          <t>Branco</t>
        </is>
      </c>
      <c r="G2574" s="8" t="n">
        <v>0.04</v>
      </c>
      <c r="H2574" s="13" t="inlineStr">
        <is>
          <t>Dominaria United (DMU)</t>
        </is>
      </c>
      <c r="I2574" s="13" t="inlineStr">
        <is>
          <t>Não</t>
        </is>
      </c>
      <c r="J2574" s="13" t="n">
        <v>2022</v>
      </c>
      <c r="L2574" s="13" t="n">
        <v>1</v>
      </c>
      <c r="M2574" s="8">
        <f>L2574*G2574</f>
        <v/>
      </c>
      <c r="P2574" s="9" t="n"/>
    </row>
    <row r="2575">
      <c r="A2575" s="13" t="inlineStr">
        <is>
          <t>Rupture Spire</t>
        </is>
      </c>
      <c r="B2575" s="13" t="inlineStr">
        <is>
          <t>Land</t>
        </is>
      </c>
      <c r="C2575" s="13" t="inlineStr">
        <is>
          <t>Common</t>
        </is>
      </c>
      <c r="D2575" s="13" t="inlineStr">
        <is>
          <t>Rupture Spire enters the battlefield tapped. When Rupture Spire enters the battlefield, sacrifice it unless you pay {1}. {T}: Add one mana of any color to your mana pool.</t>
        </is>
      </c>
      <c r="E2575" s="13" t="inlineStr">
        <is>
          <t>N/A</t>
        </is>
      </c>
      <c r="F2575" s="13" t="inlineStr">
        <is>
          <t>Incolor</t>
        </is>
      </c>
      <c r="G2575" s="8" t="n">
        <v>0.21</v>
      </c>
      <c r="H2575" s="13" t="inlineStr">
        <is>
          <t>Commander 2011 (CMD)</t>
        </is>
      </c>
      <c r="I2575" s="13" t="inlineStr">
        <is>
          <t>No</t>
        </is>
      </c>
      <c r="J2575" s="13" t="n">
        <v>2011</v>
      </c>
      <c r="L2575" s="13" t="n">
        <v>1</v>
      </c>
      <c r="M2575" s="8">
        <f>L2575*G2575</f>
        <v/>
      </c>
      <c r="P2575" s="9" t="n"/>
    </row>
    <row r="2576">
      <c r="A2576" s="13" t="inlineStr">
        <is>
          <t>Rural Recruit / Recruta Rural</t>
        </is>
      </c>
      <c r="B2576" s="13" t="inlineStr">
        <is>
          <t>Creature — Human Peasant / Criatura — Humano Plebeu</t>
        </is>
      </c>
      <c r="C2576" s="13" t="inlineStr">
        <is>
          <t>Common / Comum</t>
        </is>
      </c>
      <c r="D2576" s="13"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2576" s="13" t="inlineStr">
        <is>
          <t>{3}{G}</t>
        </is>
      </c>
      <c r="F2576" s="13" t="inlineStr">
        <is>
          <t>Verde</t>
        </is>
      </c>
      <c r="G2576" s="8" t="n">
        <v>0.1</v>
      </c>
      <c r="H2576" s="13" t="inlineStr">
        <is>
          <t>Innistrad: Crimson Vow (VOW)</t>
        </is>
      </c>
      <c r="I2576" s="13" t="inlineStr">
        <is>
          <t>Não</t>
        </is>
      </c>
      <c r="J2576" s="13" t="n">
        <v>2021</v>
      </c>
      <c r="K2576" s="10" t="n">
        <v>46023</v>
      </c>
      <c r="L2576" s="13" t="n">
        <v>1</v>
      </c>
      <c r="M2576" s="8">
        <f>L2576*G2576</f>
        <v/>
      </c>
      <c r="P2576" s="9" t="n"/>
    </row>
    <row r="2577">
      <c r="A2577" s="13" t="inlineStr">
        <is>
          <t>Russet Wolves / Lobos Castanhos</t>
        </is>
      </c>
      <c r="B2577" s="13" t="inlineStr">
        <is>
          <t>Creature — Wolf / Criatura — Lobo</t>
        </is>
      </c>
      <c r="C2577" s="13" t="inlineStr">
        <is>
          <t>Common / Comum</t>
        </is>
      </c>
      <c r="E2577" s="13" t="inlineStr">
        <is>
          <t>{3}{R}</t>
        </is>
      </c>
      <c r="F2577" s="13" t="inlineStr">
        <is>
          <t>Vermelho</t>
        </is>
      </c>
      <c r="G2577" s="8" t="n">
        <v>0.06</v>
      </c>
      <c r="H2577" s="13" t="inlineStr">
        <is>
          <t>Dark Ascension (DKA)</t>
        </is>
      </c>
      <c r="I2577" s="13" t="inlineStr">
        <is>
          <t>Não</t>
        </is>
      </c>
      <c r="J2577" s="13" t="n">
        <v>2012</v>
      </c>
      <c r="K2577" s="10" t="n">
        <v>46084</v>
      </c>
      <c r="L2577" s="13" t="n">
        <v>1</v>
      </c>
      <c r="M2577" s="8">
        <f>L2577*G2577</f>
        <v/>
      </c>
      <c r="P2577" s="9" t="n"/>
    </row>
    <row r="2578">
      <c r="A2578" s="13" t="inlineStr">
        <is>
          <t>Rust-Shield Rampager</t>
        </is>
      </c>
      <c r="B2578" s="13" t="inlineStr">
        <is>
          <t>Creature — Raccoon Warrior</t>
        </is>
      </c>
      <c r="C2578" s="13" t="inlineStr">
        <is>
          <t>Common</t>
        </is>
      </c>
      <c r="D2578" s="13" t="inlineStr">
        <is>
          <t>Offspring 2 (You may pay an additional 2 as you cast this spell. If you do, when this creature enters, create a 1/1 token copy of it.) This creature can't be blocked by creatures with power 2 or less.</t>
        </is>
      </c>
      <c r="E2578" s="13" t="inlineStr">
        <is>
          <t>{3}{G}</t>
        </is>
      </c>
      <c r="F2578" s="13" t="inlineStr">
        <is>
          <t>Verde</t>
        </is>
      </c>
      <c r="G2578" s="8" t="n">
        <v>0.1</v>
      </c>
      <c r="H2578" s="8" t="inlineStr">
        <is>
          <t>Bloomburrow (BLB)</t>
        </is>
      </c>
      <c r="I2578" s="13" t="inlineStr">
        <is>
          <t>Não</t>
        </is>
      </c>
      <c r="J2578" s="13" t="n">
        <v>2024</v>
      </c>
      <c r="K2578" s="10" t="n">
        <v>46116</v>
      </c>
      <c r="L2578" s="13" t="n">
        <v>1</v>
      </c>
      <c r="M2578" s="8">
        <f>L2578*G2578</f>
        <v/>
      </c>
      <c r="P2578" s="9" t="n"/>
    </row>
    <row r="2579">
      <c r="A2579" s="13" t="inlineStr">
        <is>
          <t>Rusted Relic</t>
        </is>
      </c>
      <c r="B2579" s="13" t="inlineStr">
        <is>
          <t>Artifact</t>
        </is>
      </c>
      <c r="C2579" s="13" t="inlineStr">
        <is>
          <t>Common</t>
        </is>
      </c>
      <c r="D2579" s="13" t="inlineStr">
        <is>
          <t>Metalcraft — Rusted Relic is a 5/5 Golem artifact creature as long as you control three or more artifacts.</t>
        </is>
      </c>
      <c r="E2579" s="13" t="inlineStr">
        <is>
          <t>{4}</t>
        </is>
      </c>
      <c r="F2579" s="13" t="inlineStr">
        <is>
          <t>Colorless</t>
        </is>
      </c>
      <c r="G2579" s="8" t="n">
        <v>0.03</v>
      </c>
      <c r="H2579" s="13" t="inlineStr">
        <is>
          <t>Modern Masters 2015 (MM2)</t>
        </is>
      </c>
      <c r="I2579" s="13" t="inlineStr">
        <is>
          <t>No</t>
        </is>
      </c>
      <c r="J2579" s="13" t="n">
        <v>2015</v>
      </c>
      <c r="K2579" s="10" t="n">
        <v>46147</v>
      </c>
      <c r="L2579" s="13" t="n">
        <v>1</v>
      </c>
      <c r="M2579" s="8">
        <f>L2579*G2579</f>
        <v/>
      </c>
      <c r="P2579" s="9" t="n"/>
    </row>
    <row r="2580">
      <c r="A2580" s="13" t="inlineStr">
        <is>
          <t>Rustwing Falcon / Falcão da Asa Rubiginosa</t>
        </is>
      </c>
      <c r="B2580" s="13" t="inlineStr">
        <is>
          <t>Creature — Bird / Criatura — Ave</t>
        </is>
      </c>
      <c r="C2580" s="13" t="inlineStr">
        <is>
          <t>Common / Comum</t>
        </is>
      </c>
      <c r="D2580" s="13" t="inlineStr">
        <is>
          <t>Flying / Voar</t>
        </is>
      </c>
      <c r="E2580" s="13" t="inlineStr">
        <is>
          <t>{W}</t>
        </is>
      </c>
      <c r="F2580" s="13" t="inlineStr">
        <is>
          <t>Branco</t>
        </is>
      </c>
      <c r="G2580" s="8" t="n">
        <v>0.03</v>
      </c>
      <c r="H2580" s="13" t="inlineStr">
        <is>
          <t>Core Set 2019 (M19)</t>
        </is>
      </c>
      <c r="I2580" s="13" t="inlineStr">
        <is>
          <t>Não</t>
        </is>
      </c>
      <c r="J2580" s="13" t="n">
        <v>2018</v>
      </c>
      <c r="K2580" s="10" t="n">
        <v>46054</v>
      </c>
      <c r="L2580" s="13" t="n">
        <v>2</v>
      </c>
      <c r="M2580" s="8">
        <f>L2580*G2580</f>
        <v/>
      </c>
      <c r="P2580" s="9" t="n"/>
    </row>
    <row r="2581">
      <c r="A2581" s="13" t="inlineStr">
        <is>
          <t>Ruthless Negotiation</t>
        </is>
      </c>
      <c r="B2581" s="13" t="inlineStr">
        <is>
          <t>Sorcery</t>
        </is>
      </c>
      <c r="C2581" s="13" t="inlineStr">
        <is>
          <t>Uncommon / Incomum</t>
        </is>
      </c>
      <c r="D2581" s="13" t="inlineStr">
        <is>
          <t>Target opponent exiles a card from their hand. If this spell was cast from a graveyard, draw a card. Flashback {4}{B} (You may cast this card from your graveyard for its flashback cost. Then exile it.)</t>
        </is>
      </c>
      <c r="E2581" s="13" t="inlineStr">
        <is>
          <t>{B}</t>
        </is>
      </c>
      <c r="F2581" s="13" t="inlineStr">
        <is>
          <t>Preto</t>
        </is>
      </c>
      <c r="G2581" s="8" t="n">
        <v>0.23</v>
      </c>
      <c r="H2581" s="13" t="inlineStr">
        <is>
          <t>Bloomburrow (BLB)</t>
        </is>
      </c>
      <c r="I2581" s="13" t="inlineStr">
        <is>
          <t>Não</t>
        </is>
      </c>
      <c r="J2581" s="13" t="n">
        <v>2024</v>
      </c>
      <c r="L2581" s="13" t="n">
        <v>1</v>
      </c>
      <c r="M2581" s="8">
        <f>L2581*G2581</f>
        <v/>
      </c>
      <c r="P2581" s="9" t="n"/>
    </row>
    <row r="2582">
      <c r="A2582" s="13" t="inlineStr">
        <is>
          <t>Rydia, Summoner of Mist / Rydia, Invocadora de Névoa</t>
        </is>
      </c>
      <c r="B2582" s="13" t="inlineStr">
        <is>
          <t>Criatura Lendária — Humano Xamã</t>
        </is>
      </c>
      <c r="C2582" s="13" t="inlineStr">
        <is>
          <t>Incomum</t>
        </is>
      </c>
      <c r="D2582" s="13"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2582" s="13" t="inlineStr">
        <is>
          <t>RG</t>
        </is>
      </c>
      <c r="F2582" s="13" t="inlineStr">
        <is>
          <t>Vermelho e Verde</t>
        </is>
      </c>
      <c r="G2582" s="8" t="n">
        <v>0.15</v>
      </c>
      <c r="H2582" s="13" t="inlineStr">
        <is>
          <t>Final Fantasy</t>
        </is>
      </c>
      <c r="I2582" s="13" t="inlineStr">
        <is>
          <t>Não</t>
        </is>
      </c>
      <c r="J2582" s="13" t="n">
        <v>2025</v>
      </c>
      <c r="K2582" s="10" t="n">
        <v>46054</v>
      </c>
      <c r="L2582" s="13" t="n">
        <v>2</v>
      </c>
      <c r="M2582" s="8">
        <f>L2582*G2582</f>
        <v/>
      </c>
      <c r="P2582" s="9" t="n"/>
    </row>
    <row r="2583">
      <c r="A2583" s="13" t="inlineStr">
        <is>
          <t>Rydia's Return / O Retorno de Rydia</t>
        </is>
      </c>
      <c r="B2583" s="13" t="inlineStr">
        <is>
          <t>Feitiço</t>
        </is>
      </c>
      <c r="C2583" s="13" t="inlineStr">
        <is>
          <t>Incomum</t>
        </is>
      </c>
      <c r="D2583" s="13" t="inlineStr">
        <is>
          <t>Escolha um — • As criaturas que você controla recebem +3/+3 até o final do turno. • Devolva até dois cards de permanente alvo de seu cemitério para sua mão.</t>
        </is>
      </c>
      <c r="E2583" s="13" t="inlineStr">
        <is>
          <t>3{G}{G}</t>
        </is>
      </c>
      <c r="F2583" s="13" t="inlineStr">
        <is>
          <t>Verde</t>
        </is>
      </c>
      <c r="G2583" s="8" t="n">
        <v>0.2</v>
      </c>
      <c r="H2583" s="13" t="inlineStr">
        <is>
          <t>Final Fantasy</t>
        </is>
      </c>
      <c r="I2583" s="13" t="inlineStr">
        <is>
          <t>Não</t>
        </is>
      </c>
      <c r="J2583" s="13" t="n">
        <v>2025</v>
      </c>
      <c r="L2583" s="13" t="n">
        <v>1</v>
      </c>
      <c r="M2583" s="8">
        <f>L2583*G2583</f>
        <v/>
      </c>
      <c r="P2583" s="9" t="n"/>
    </row>
    <row r="2584">
      <c r="A2584" s="13" t="inlineStr">
        <is>
          <t>S.H.I.E.L.D. Deployment Drone / Drone de Implantação da S.H.I.E.L.D.</t>
        </is>
      </c>
      <c r="B2584" s="13" t="inlineStr">
        <is>
          <t>Criatura Artefato — Robô</t>
        </is>
      </c>
      <c r="C2584" s="13" t="inlineStr">
        <is>
          <t>Comum</t>
        </is>
      </c>
      <c r="D2584" s="13" t="inlineStr">
        <is>
          <t>Voar. Quando esta criatura entrar, crie uma ficha de criatura Soldado branca 1/1.</t>
        </is>
      </c>
      <c r="E2584" s="13" t="inlineStr">
        <is>
          <t>2{U}</t>
        </is>
      </c>
      <c r="F2584" s="13" t="inlineStr">
        <is>
          <t>Azul</t>
        </is>
      </c>
      <c r="G2584" s="8" t="n">
        <v>0.13</v>
      </c>
      <c r="H2584" s="13" t="inlineStr">
        <is>
          <t>Marvel</t>
        </is>
      </c>
      <c r="I2584" s="13" t="inlineStr">
        <is>
          <t>Não</t>
        </is>
      </c>
      <c r="J2584" s="13" t="n">
        <v>2026</v>
      </c>
      <c r="K2584" s="10" t="n">
        <v>46055</v>
      </c>
      <c r="L2584" s="13" t="n">
        <v>1</v>
      </c>
      <c r="M2584" s="8">
        <f>L2584*G2584</f>
        <v/>
      </c>
      <c r="P2584" s="9" t="n"/>
    </row>
    <row r="2585">
      <c r="A2585" s="13" t="inlineStr">
        <is>
          <t>Saber-Tooth Moose-Lion</t>
        </is>
      </c>
      <c r="B2585" s="13" t="inlineStr">
        <is>
          <t>Creature — Elk Cat</t>
        </is>
      </c>
      <c r="C2585" s="13" t="inlineStr">
        <is>
          <t>Common / Comum</t>
        </is>
      </c>
      <c r="D2585" s="13" t="inlineStr">
        <is>
          <t>Reach Forestcycling {2} ({2}, Discard this card: Search your library for a Forest card, reveal it, put it into your hand, then shuffle.)</t>
        </is>
      </c>
      <c r="E2585" s="13" t="inlineStr">
        <is>
          <t>{4}{G}{G}</t>
        </is>
      </c>
      <c r="F2585" s="13" t="inlineStr">
        <is>
          <t>Verde</t>
        </is>
      </c>
      <c r="G2585" s="8" t="n">
        <v>0.04</v>
      </c>
      <c r="H2585" s="13" t="inlineStr">
        <is>
          <t>Avatar: The Last Airbender (TLA)</t>
        </is>
      </c>
      <c r="I2585" s="13" t="inlineStr">
        <is>
          <t>Não</t>
        </is>
      </c>
      <c r="J2585" s="13" t="n">
        <v>2025</v>
      </c>
      <c r="K2585" s="10" t="n">
        <v>46210</v>
      </c>
      <c r="L2585" s="13" t="n">
        <v>5</v>
      </c>
      <c r="M2585" s="8">
        <f>L2585*G2585</f>
        <v/>
      </c>
      <c r="P2585" s="9" t="n"/>
    </row>
    <row r="2586">
      <c r="A2586" s="13" t="inlineStr">
        <is>
          <t>Saber-Tooth Moose-Lion</t>
        </is>
      </c>
      <c r="B2586" s="13" t="inlineStr">
        <is>
          <t>Creature — Elk Cat</t>
        </is>
      </c>
      <c r="C2586" s="13" t="inlineStr">
        <is>
          <t>Common / Comum</t>
        </is>
      </c>
      <c r="D2586" s="13" t="inlineStr">
        <is>
          <t>Reach Forestcycling {2} ({2}, Discard this card: Search your library for a Forest card, reveal it, put it into your hand, then shuffle.)</t>
        </is>
      </c>
      <c r="E2586" s="13" t="inlineStr">
        <is>
          <t>{4}{G}{G}</t>
        </is>
      </c>
      <c r="F2586" s="13" t="inlineStr">
        <is>
          <t>Verde</t>
        </is>
      </c>
      <c r="G2586" s="8" t="n">
        <v>0.34</v>
      </c>
      <c r="H2586" s="13" t="inlineStr">
        <is>
          <t>Avatar: The Last Airbender (TLA)</t>
        </is>
      </c>
      <c r="I2586" s="13" t="inlineStr">
        <is>
          <t>Sim</t>
        </is>
      </c>
      <c r="J2586" s="13" t="n">
        <v>2025</v>
      </c>
      <c r="K2586" s="10" t="n">
        <v>46210</v>
      </c>
      <c r="L2586" s="13" t="n">
        <v>1</v>
      </c>
      <c r="M2586" s="8">
        <f>L2586*G2586</f>
        <v/>
      </c>
      <c r="P2586" s="9" t="n"/>
    </row>
    <row r="2587">
      <c r="A2587" s="13" t="inlineStr">
        <is>
          <t>Sabotender</t>
        </is>
      </c>
      <c r="B2587" s="13" t="inlineStr">
        <is>
          <t>Criatura — Planta</t>
        </is>
      </c>
      <c r="C2587" s="13" t="inlineStr">
        <is>
          <t>Comum</t>
        </is>
      </c>
      <c r="D2587" s="13" t="inlineStr">
        <is>
          <t>Alcance. Terrente — Sempre que um terreno entra sob o seu controle, esta criatura causa 1 de dano a cada oponente.</t>
        </is>
      </c>
      <c r="E2587" s="13" t="inlineStr">
        <is>
          <t>1R</t>
        </is>
      </c>
      <c r="F2587" s="13" t="inlineStr">
        <is>
          <t>Vermelho</t>
        </is>
      </c>
      <c r="G2587" s="8" t="n">
        <v>0.17</v>
      </c>
      <c r="H2587" s="13" t="inlineStr">
        <is>
          <t>Final Fantasy</t>
        </is>
      </c>
      <c r="I2587" s="13" t="inlineStr">
        <is>
          <t>Não</t>
        </is>
      </c>
      <c r="J2587" s="13" t="n">
        <v>2025</v>
      </c>
      <c r="K2587" s="10" t="n">
        <v>46024</v>
      </c>
      <c r="L2587" s="13" t="n">
        <v>10</v>
      </c>
      <c r="M2587" s="8">
        <f>L2587*G2587</f>
        <v/>
      </c>
      <c r="P2587" s="9" t="n"/>
    </row>
    <row r="2588">
      <c r="A2588" s="13" t="inlineStr">
        <is>
          <t>Sabotender</t>
        </is>
      </c>
      <c r="B2588" s="13" t="inlineStr">
        <is>
          <t>Criatura — Planta</t>
        </is>
      </c>
      <c r="C2588" s="13" t="inlineStr">
        <is>
          <t>Comum</t>
        </is>
      </c>
      <c r="D2588" s="13" t="inlineStr">
        <is>
          <t>Alcance. Terrente — Sempre que um terreno entra sob o seu controle, esta criatura causa 1 de dano a cada oponente.</t>
        </is>
      </c>
      <c r="E2588" s="13" t="inlineStr">
        <is>
          <t>1R</t>
        </is>
      </c>
      <c r="F2588" s="13" t="inlineStr">
        <is>
          <t>Vermelho</t>
        </is>
      </c>
      <c r="G2588" s="8" t="n">
        <v>0.24</v>
      </c>
      <c r="H2588" s="13" t="inlineStr">
        <is>
          <t>Final Fantasy</t>
        </is>
      </c>
      <c r="I2588" s="13" t="inlineStr">
        <is>
          <t>Sim</t>
        </is>
      </c>
      <c r="J2588" s="13" t="n">
        <v>2025</v>
      </c>
      <c r="K2588" s="10" t="n">
        <v>46024</v>
      </c>
      <c r="L2588" s="13" t="n">
        <v>1</v>
      </c>
      <c r="M2588" s="8">
        <f>L2588*G2588</f>
        <v/>
      </c>
      <c r="P2588" s="9" t="n"/>
    </row>
    <row r="2589">
      <c r="A2589" s="13" t="inlineStr">
        <is>
          <t>Sabretooth Tiger / Tigre Dentes-de-sabre</t>
        </is>
      </c>
      <c r="B2589" s="13" t="inlineStr">
        <is>
          <t>Creature — Cat / Criatura — Gato</t>
        </is>
      </c>
      <c r="C2589" s="13" t="inlineStr">
        <is>
          <t>Common / Comum</t>
        </is>
      </c>
      <c r="D2589" s="13" t="inlineStr">
        <is>
          <t>First strike / Iniciativa (Esta criatura causa dano de combate antes de criaturas sem a habilidade de iniciativa.)</t>
        </is>
      </c>
      <c r="E2589" s="13" t="inlineStr">
        <is>
          <t>{2}{R}</t>
        </is>
      </c>
      <c r="F2589" s="13" t="inlineStr">
        <is>
          <t>Vermelho</t>
        </is>
      </c>
      <c r="G2589" s="8" t="n">
        <v>0.05</v>
      </c>
      <c r="H2589" s="13" t="inlineStr">
        <is>
          <t>Ice Age (ICE)</t>
        </is>
      </c>
      <c r="I2589" s="13" t="inlineStr">
        <is>
          <t>Não</t>
        </is>
      </c>
      <c r="J2589" s="13" t="n">
        <v>1995</v>
      </c>
      <c r="K2589" s="10" t="n">
        <v>46024</v>
      </c>
      <c r="L2589" s="13" t="n">
        <v>3</v>
      </c>
      <c r="M2589" s="8">
        <f>L2589*G2589</f>
        <v/>
      </c>
      <c r="P2589" s="9" t="n"/>
    </row>
    <row r="2590">
      <c r="A2590" s="13" t="inlineStr">
        <is>
          <t>Sadistic Obsession / Obsessão Sádica</t>
        </is>
      </c>
      <c r="B2590" s="13" t="inlineStr">
        <is>
          <t>Enchantment — Aura / Encantamento — Aura</t>
        </is>
      </c>
      <c r="C2590" s="13" t="inlineStr">
        <is>
          <t>Uncommon / Incomum</t>
        </is>
      </c>
      <c r="D2590" s="13" t="inlineStr">
        <is>
          <t>Enchant creature Enchanted creature has "{B}, {T}: Put a -1/-1 counter on target creature." / Encantar criatura A criatura encantada tem "{B}, {T}: Coloque um marcador -1/-1 na criatura alvo."</t>
        </is>
      </c>
      <c r="E2590" s="13" t="inlineStr">
        <is>
          <t>{3}{B}</t>
        </is>
      </c>
      <c r="F2590" s="13" t="inlineStr">
        <is>
          <t>Preto</t>
        </is>
      </c>
      <c r="G2590" s="8" t="n">
        <v>0.06</v>
      </c>
      <c r="H2590" s="13" t="inlineStr">
        <is>
          <t>Modern Horizons (MH1)</t>
        </is>
      </c>
      <c r="I2590" s="13" t="inlineStr">
        <is>
          <t>Não</t>
        </is>
      </c>
      <c r="J2590" s="13" t="n">
        <v>2019</v>
      </c>
      <c r="L2590" s="13" t="n">
        <v>1</v>
      </c>
      <c r="M2590" s="8">
        <f>L2590*G2590</f>
        <v/>
      </c>
      <c r="P2590" s="9" t="n"/>
    </row>
    <row r="2591">
      <c r="A2591" s="13" t="inlineStr">
        <is>
          <t>Safewright Cavalry</t>
        </is>
      </c>
      <c r="B2591" s="13" t="inlineStr">
        <is>
          <t>Creature — Elf Warrior</t>
        </is>
      </c>
      <c r="C2591" s="13" t="inlineStr">
        <is>
          <t>Common</t>
        </is>
      </c>
      <c r="D2591" s="13" t="inlineStr">
        <is>
          <t>This creature can't be blocked by more than one creature. {5}: Target Elf you control gets +2/+2 until end of turn.</t>
        </is>
      </c>
      <c r="E2591" s="13" t="inlineStr">
        <is>
          <t>{3}{G}</t>
        </is>
      </c>
      <c r="F2591" s="13" t="inlineStr">
        <is>
          <t>Verde</t>
        </is>
      </c>
      <c r="G2591" s="8" t="n">
        <v>0.1</v>
      </c>
      <c r="H2591" s="13" t="inlineStr">
        <is>
          <t>Lorwyn Eclipsed (ECL)</t>
        </is>
      </c>
      <c r="I2591" s="13" t="inlineStr">
        <is>
          <t>Não</t>
        </is>
      </c>
      <c r="J2591" s="13" t="n">
        <v>2026</v>
      </c>
      <c r="K2591" s="10" t="n">
        <v>46116</v>
      </c>
      <c r="L2591" s="13" t="n">
        <v>2</v>
      </c>
      <c r="M2591" s="8">
        <f>L2591*G2591</f>
        <v/>
      </c>
      <c r="P2591" s="9" t="n"/>
    </row>
    <row r="2592">
      <c r="A2592" s="13" t="inlineStr">
        <is>
          <t>Sage's Nouliths / Nouliths do Sábio</t>
        </is>
      </c>
      <c r="B2592" s="13" t="inlineStr">
        <is>
          <t>Artefato — Equipamento</t>
        </is>
      </c>
      <c r="C2592" s="13" t="inlineStr">
        <is>
          <t>Comum</t>
        </is>
      </c>
      <c r="D2592" s="13"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2592" s="13" t="inlineStr">
        <is>
          <t>1{U}</t>
        </is>
      </c>
      <c r="F2592" s="13" t="inlineStr">
        <is>
          <t>Azul</t>
        </is>
      </c>
      <c r="G2592" s="8" t="n">
        <v>0.09</v>
      </c>
      <c r="H2592" s="13" t="inlineStr">
        <is>
          <t>Final Fantasy</t>
        </is>
      </c>
      <c r="I2592" s="13" t="inlineStr">
        <is>
          <t>Não</t>
        </is>
      </c>
      <c r="J2592" s="13" t="n">
        <v>2025</v>
      </c>
      <c r="L2592" s="13" t="n">
        <v>5</v>
      </c>
      <c r="M2592" s="8">
        <f>L2592*G2592</f>
        <v/>
      </c>
      <c r="P2592" s="9" t="n"/>
    </row>
    <row r="2593">
      <c r="A2593" s="13" t="inlineStr">
        <is>
          <t>Sage's Row Denizen / Habitante da Travessa dos Sábios</t>
        </is>
      </c>
      <c r="B2593" s="13" t="inlineStr">
        <is>
          <t>Creature — Vedalken Wizard / Criatura — Vedalkeano Mago</t>
        </is>
      </c>
      <c r="C2593" s="13" t="inlineStr">
        <is>
          <t>Common / Comum</t>
        </is>
      </c>
      <c r="D2593" s="13" t="inlineStr">
        <is>
          <t>Whenever another blue creature you control enters, target player mills two cards. / Toda vez que outra criatura azul entra no campo de batalha sob o seu controle, o jogador alvo coloca os dois cards do topo do grimório dele no próprio cemitério.</t>
        </is>
      </c>
      <c r="E2593" s="13" t="inlineStr">
        <is>
          <t>{2}{U}</t>
        </is>
      </c>
      <c r="F2593" s="13" t="inlineStr">
        <is>
          <t>Azul</t>
        </is>
      </c>
      <c r="G2593" s="8" t="n">
        <v>0.09</v>
      </c>
      <c r="H2593" s="13" t="inlineStr">
        <is>
          <t>Gatecrash (GTC)</t>
        </is>
      </c>
      <c r="I2593" s="13" t="inlineStr">
        <is>
          <t>Não</t>
        </is>
      </c>
      <c r="J2593" s="13" t="n">
        <v>2013</v>
      </c>
      <c r="K2593" s="10" t="n">
        <v>46083</v>
      </c>
      <c r="L2593" s="13" t="n">
        <v>1</v>
      </c>
      <c r="M2593" s="8">
        <f>L2593*G2593</f>
        <v/>
      </c>
      <c r="P2593" s="9" t="n"/>
    </row>
    <row r="2594">
      <c r="A2594" s="13" t="inlineStr">
        <is>
          <t>Sagu Archer / Arqueiro de Sagu</t>
        </is>
      </c>
      <c r="B2594" s="13" t="inlineStr">
        <is>
          <t>Creature — Snake Archer / Criatura — Naga Arqueiro</t>
        </is>
      </c>
      <c r="C2594" s="13" t="inlineStr">
        <is>
          <t>Common / Comum</t>
        </is>
      </c>
      <c r="D2594" s="13"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2594" s="13" t="inlineStr">
        <is>
          <t>{4}{G}</t>
        </is>
      </c>
      <c r="F2594" s="13" t="inlineStr">
        <is>
          <t>Verde</t>
        </is>
      </c>
      <c r="G2594" s="8" t="n">
        <v>0.06</v>
      </c>
      <c r="H2594" s="13" t="inlineStr">
        <is>
          <t>Khans of Tarkir (KTK)</t>
        </is>
      </c>
      <c r="I2594" s="13" t="inlineStr">
        <is>
          <t>Não</t>
        </is>
      </c>
      <c r="J2594" s="13" t="n">
        <v>2014</v>
      </c>
      <c r="K2594" s="10" t="n">
        <v>46144</v>
      </c>
      <c r="L2594" s="13" t="n">
        <v>1</v>
      </c>
      <c r="M2594" s="8">
        <f>L2594*G2594</f>
        <v/>
      </c>
      <c r="P2594" s="9" t="n"/>
    </row>
    <row r="2595">
      <c r="A2595" s="13" t="inlineStr">
        <is>
          <t>Sahagin</t>
        </is>
      </c>
      <c r="B2595" s="13" t="inlineStr">
        <is>
          <t>Creature — Merfolk Warrior</t>
        </is>
      </c>
      <c r="C2595" s="13" t="inlineStr">
        <is>
          <t>Comum</t>
        </is>
      </c>
      <c r="D2595" s="13" t="inlineStr">
        <is>
          <t>Whenever you cast a noncreature spell, if at least four mana was spent to cast it, put a +1/+1 counter on this creature and it can't be blocked this turn.</t>
        </is>
      </c>
      <c r="E2595" s="13" t="inlineStr">
        <is>
          <t>1U</t>
        </is>
      </c>
      <c r="F2595" s="13" t="inlineStr">
        <is>
          <t>Azul</t>
        </is>
      </c>
      <c r="G2595" s="8" t="n">
        <v>0.05</v>
      </c>
      <c r="H2595" s="13" t="inlineStr">
        <is>
          <t>Final Fantasy (FFXIV)</t>
        </is>
      </c>
      <c r="I2595" s="13" t="inlineStr">
        <is>
          <t>Não</t>
        </is>
      </c>
      <c r="J2595" s="13" t="n">
        <v>2025</v>
      </c>
      <c r="K2595" s="10" t="n">
        <v>46082</v>
      </c>
      <c r="L2595" s="13" t="n">
        <v>6</v>
      </c>
      <c r="M2595" s="8">
        <f>L2595*G2595</f>
        <v/>
      </c>
      <c r="P2595" s="9" t="n"/>
    </row>
    <row r="2596">
      <c r="A2596" s="13" t="inlineStr">
        <is>
          <t>Sahagin</t>
        </is>
      </c>
      <c r="B2596" s="13" t="inlineStr">
        <is>
          <t>Creature — Merfolk Warrior</t>
        </is>
      </c>
      <c r="C2596" s="13" t="inlineStr">
        <is>
          <t>Comum</t>
        </is>
      </c>
      <c r="D2596" s="13" t="inlineStr">
        <is>
          <t>Whenever you cast a noncreature spell, if at least four mana was spent to cast it, put a +1/+1 counter on this creature and it can't be blocked this turn.</t>
        </is>
      </c>
      <c r="E2596" s="13" t="inlineStr">
        <is>
          <t>1U</t>
        </is>
      </c>
      <c r="F2596" s="13" t="inlineStr">
        <is>
          <t>Azul</t>
        </is>
      </c>
      <c r="G2596" s="8" t="n">
        <v>0.05</v>
      </c>
      <c r="H2596" s="13" t="inlineStr">
        <is>
          <t>Final Fantasy (FFXIV)</t>
        </is>
      </c>
      <c r="I2596" s="13" t="inlineStr">
        <is>
          <t>Sim</t>
        </is>
      </c>
      <c r="J2596" s="13" t="n">
        <v>2025</v>
      </c>
      <c r="K2596" s="10" t="n">
        <v>46082</v>
      </c>
      <c r="L2596" s="13" t="n">
        <v>1</v>
      </c>
      <c r="M2596" s="8">
        <f>L2596*G2596</f>
        <v/>
      </c>
      <c r="P2596" s="9" t="n"/>
    </row>
    <row r="2597">
      <c r="A2597" s="13" t="inlineStr">
        <is>
          <t>Saheeli, Sublime Artificer / Saheeli, Artífice Sublime</t>
        </is>
      </c>
      <c r="B2597" s="13" t="inlineStr">
        <is>
          <t>Legendary Planeswalker — Saheeli / Planeswalker Lendário — Saheeli</t>
        </is>
      </c>
      <c r="C2597" s="13" t="inlineStr">
        <is>
          <t>Uncommon / Incomum</t>
        </is>
      </c>
      <c r="D2597" s="13"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2597" s="13" t="inlineStr">
        <is>
          <t>{1}{U/R}{U/R}</t>
        </is>
      </c>
      <c r="F2597" s="13" t="inlineStr">
        <is>
          <t>Vermelho, Azul</t>
        </is>
      </c>
      <c r="G2597" s="8" t="n">
        <v>0.43</v>
      </c>
      <c r="H2597" s="13" t="inlineStr">
        <is>
          <t>War of the Spark (WAR)</t>
        </is>
      </c>
      <c r="I2597" s="13" t="inlineStr">
        <is>
          <t>Não</t>
        </is>
      </c>
      <c r="J2597" s="13" t="n">
        <v>2019</v>
      </c>
      <c r="L2597" s="13" t="n">
        <v>4</v>
      </c>
      <c r="M2597" s="8">
        <f>L2597*G2597</f>
        <v/>
      </c>
      <c r="P2597" s="9" t="n"/>
    </row>
    <row r="2598">
      <c r="A2598" s="13" t="inlineStr">
        <is>
          <t>Salt Marsh / Pântano Salgado</t>
        </is>
      </c>
      <c r="B2598" s="13" t="inlineStr">
        <is>
          <t>Land / Terreno</t>
        </is>
      </c>
      <c r="C2598" s="13" t="inlineStr">
        <is>
          <t>Uncommon / Incomum</t>
        </is>
      </c>
      <c r="D2598" s="13" t="inlineStr">
        <is>
          <t>This land enters tapped. {T}: Add {U} or {B}. / Pântano Salgado entra em jogo virado. {T}: Adiciona {U} ou {B} à sua reserva de mana.</t>
        </is>
      </c>
      <c r="F2598" s="13" t="inlineStr">
        <is>
          <t>Preto, Azul</t>
        </is>
      </c>
      <c r="G2598" s="8" t="n">
        <v>0.6</v>
      </c>
      <c r="H2598" s="13" t="inlineStr">
        <is>
          <t>Eighth Edition (8ED)</t>
        </is>
      </c>
      <c r="I2598" s="13" t="inlineStr">
        <is>
          <t>Não</t>
        </is>
      </c>
      <c r="J2598" s="13" t="n">
        <v>2003</v>
      </c>
      <c r="L2598" s="13" t="n">
        <v>1</v>
      </c>
      <c r="M2598" s="8">
        <f>L2598*G2598</f>
        <v/>
      </c>
      <c r="P2598" s="9" t="n"/>
    </row>
    <row r="2599">
      <c r="A2599" s="13" t="inlineStr">
        <is>
          <t>Salta-fogo Goblin / Goblin Fireleaper</t>
        </is>
      </c>
      <c r="B2599" s="13" t="inlineStr">
        <is>
          <t>Criatura — Goblin Guerreiro</t>
        </is>
      </c>
      <c r="C2599" s="13" t="inlineStr">
        <is>
          <t>Incomum</t>
        </is>
      </c>
      <c r="D2599" s="13" t="inlineStr">
        <is>
          <t>{1}{R}: Salta-fogo Goblin recebe +1/+0 até o final do turno. Quando Salta-fogo Goblin ataca, ele causa uma quantidade de dano igual ao próprio poder à criatura alvo que um oponente controla.</t>
        </is>
      </c>
      <c r="E2599" s="13" t="inlineStr">
        <is>
          <t>1{R}</t>
        </is>
      </c>
      <c r="F2599" s="13" t="inlineStr">
        <is>
          <t>Vermelho</t>
        </is>
      </c>
      <c r="G2599" s="8" t="n">
        <v>0.09</v>
      </c>
      <c r="H2599" s="13" t="inlineStr">
        <is>
          <t>The Lord of the Rings: Tales of Middle-earth (LTR)</t>
        </is>
      </c>
      <c r="I2599" s="13" t="inlineStr">
        <is>
          <t>Não</t>
        </is>
      </c>
      <c r="J2599" s="13" t="n">
        <v>2023</v>
      </c>
      <c r="K2599" s="10" t="n">
        <v>46023</v>
      </c>
      <c r="L2599" s="13" t="n">
        <v>1</v>
      </c>
      <c r="M2599" s="8">
        <f>L2599*G2599</f>
        <v/>
      </c>
      <c r="P2599" s="9" t="n"/>
    </row>
    <row r="2600">
      <c r="A2600" s="13" t="inlineStr">
        <is>
          <t>Sami's Curiosity / Curiosidade de Sami</t>
        </is>
      </c>
      <c r="B2600" s="13" t="inlineStr">
        <is>
          <t>Feitiço</t>
        </is>
      </c>
      <c r="C2600" s="13" t="inlineStr">
        <is>
          <t>Comum</t>
        </is>
      </c>
      <c r="D2600" s="13" t="inlineStr">
        <is>
          <t>Você ganha 2 pontos de vida. Crie uma ficha de Módulo de Pouso. (É um artefato com "{2}, {T}, Sacrifique esta ficha: Procure em seu grimório por um card de terreno básico, coloque-o no campo de batalha virado e depois embaralhe.")</t>
        </is>
      </c>
      <c r="E2600" s="13" t="inlineStr">
        <is>
          <t>{G}</t>
        </is>
      </c>
      <c r="F2600" s="13" t="inlineStr">
        <is>
          <t>Verde</t>
        </is>
      </c>
      <c r="G2600" s="8" t="n">
        <v>0.05</v>
      </c>
      <c r="H2600" s="13" t="inlineStr">
        <is>
          <t>Edge of Eternity</t>
        </is>
      </c>
      <c r="I2600" s="13" t="inlineStr">
        <is>
          <t>Não</t>
        </is>
      </c>
      <c r="J2600" s="13" t="n">
        <v>2025</v>
      </c>
      <c r="L2600" s="13" t="n">
        <v>1</v>
      </c>
      <c r="M2600" s="8">
        <f>L2600*G2600</f>
        <v/>
      </c>
      <c r="P2600" s="9" t="n"/>
    </row>
    <row r="2601">
      <c r="A2601" s="13" t="inlineStr">
        <is>
          <t>Samite Alchemist / Alquimista Samita</t>
        </is>
      </c>
      <c r="B2601" s="13" t="inlineStr">
        <is>
          <t>Creature — Alchemist / Criatura — Alquimista</t>
        </is>
      </c>
      <c r="C2601" s="13" t="inlineStr">
        <is>
          <t>Rare / Rara</t>
        </is>
      </c>
      <c r="D2601" s="13"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2601" s="13" t="inlineStr">
        <is>
          <t>{3}{W}</t>
        </is>
      </c>
      <c r="F2601" s="13" t="inlineStr">
        <is>
          <t>Branco</t>
        </is>
      </c>
      <c r="G2601" s="8" t="n">
        <v>0.06</v>
      </c>
      <c r="H2601" s="13" t="inlineStr">
        <is>
          <t>Homelands (HML)</t>
        </is>
      </c>
      <c r="I2601" s="13" t="inlineStr">
        <is>
          <t>No</t>
        </is>
      </c>
      <c r="J2601" s="13" t="n">
        <v>1995</v>
      </c>
      <c r="K2601" s="13" t="inlineStr">
        <is>
          <t>0/2</t>
        </is>
      </c>
      <c r="L2601" s="13" t="n">
        <v>1</v>
      </c>
      <c r="M2601" s="8">
        <f>L2601*G2601</f>
        <v/>
      </c>
      <c r="P2601" s="9" t="n"/>
    </row>
    <row r="2602">
      <c r="A2602" s="13" t="inlineStr">
        <is>
          <t>Samite Herbalist / Herborista Samita</t>
        </is>
      </c>
      <c r="B2602" s="13" t="inlineStr">
        <is>
          <t>Creature — Human Cleric / Criatura — Humano Clérigo</t>
        </is>
      </c>
      <c r="C2602" s="13" t="inlineStr">
        <is>
          <t>Common / Comum</t>
        </is>
      </c>
      <c r="D2602" s="13"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2602" s="13" t="inlineStr">
        <is>
          <t>{1}{W}</t>
        </is>
      </c>
      <c r="F2602" s="13" t="inlineStr">
        <is>
          <t>Branco</t>
        </is>
      </c>
      <c r="G2602" s="8" t="n">
        <v>0.15</v>
      </c>
      <c r="H2602" s="13" t="inlineStr">
        <is>
          <t>Dominaria United (DMU)</t>
        </is>
      </c>
      <c r="I2602" s="13" t="inlineStr">
        <is>
          <t>Sim</t>
        </is>
      </c>
      <c r="J2602" s="13" t="n">
        <v>2022</v>
      </c>
      <c r="K2602" s="10" t="n">
        <v>46024</v>
      </c>
      <c r="L2602" s="13" t="n">
        <v>1</v>
      </c>
      <c r="M2602" s="8">
        <f>L2602*G2602</f>
        <v/>
      </c>
      <c r="P2602" s="9" t="n"/>
    </row>
    <row r="2603">
      <c r="A2603" s="13" t="inlineStr">
        <is>
          <t>Samite Herbalist / Herborista Samita</t>
        </is>
      </c>
      <c r="B2603" s="13" t="inlineStr">
        <is>
          <t>Creature — Human Cleric / Criatura — Humano Clérigo</t>
        </is>
      </c>
      <c r="C2603" s="13" t="inlineStr">
        <is>
          <t>Common / Comum</t>
        </is>
      </c>
      <c r="D2603" s="13"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2603" s="13" t="inlineStr">
        <is>
          <t>{1}{W}</t>
        </is>
      </c>
      <c r="F2603" s="13" t="inlineStr">
        <is>
          <t>Branco</t>
        </is>
      </c>
      <c r="G2603" s="8" t="n">
        <v>0.06</v>
      </c>
      <c r="H2603" s="13" t="inlineStr">
        <is>
          <t>Dominaria United (DMU)</t>
        </is>
      </c>
      <c r="I2603" s="13" t="inlineStr">
        <is>
          <t>Não</t>
        </is>
      </c>
      <c r="J2603" s="13" t="n">
        <v>2022</v>
      </c>
      <c r="K2603" s="10" t="n">
        <v>46024</v>
      </c>
      <c r="L2603" s="13" t="n">
        <v>2</v>
      </c>
      <c r="M2603" s="8">
        <f>L2603*G2603</f>
        <v/>
      </c>
      <c r="P2603" s="9" t="n"/>
    </row>
    <row r="2604">
      <c r="A2604" s="13" t="inlineStr">
        <is>
          <t>Samurai's Katana / Katana do Samurai</t>
        </is>
      </c>
      <c r="B2604" s="13" t="inlineStr">
        <is>
          <t>Artefato — Equipamento</t>
        </is>
      </c>
      <c r="C2604" s="13" t="inlineStr">
        <is>
          <t>Incomum</t>
        </is>
      </c>
      <c r="D2604" s="13" t="inlineStr">
        <is>
          <t>Seleção de classe (Quando este Equipamento entrar, crie uma ficha de criatura Herói incolor 1/1 e depois anexe isto a ela.) A criatura equipada recebe +2/+2, tem atropelar e ímpeto, e é um Samurai além de seus outros tipos. Murasame — Equipar {5}</t>
        </is>
      </c>
      <c r="E2604" s="13" t="inlineStr">
        <is>
          <t>2R</t>
        </is>
      </c>
      <c r="F2604" s="13" t="inlineStr">
        <is>
          <t>Vermelho</t>
        </is>
      </c>
      <c r="G2604" s="8" t="n">
        <v>0.2</v>
      </c>
      <c r="H2604" s="13" t="inlineStr">
        <is>
          <t>Final Fantasy</t>
        </is>
      </c>
      <c r="I2604" s="13" t="inlineStr">
        <is>
          <t>Não</t>
        </is>
      </c>
      <c r="J2604" s="13" t="n">
        <v>2025</v>
      </c>
      <c r="L2604" s="13" t="n">
        <v>1</v>
      </c>
      <c r="M2604" s="8">
        <f>L2604*G2604</f>
        <v/>
      </c>
      <c r="P2604" s="9" t="n"/>
    </row>
    <row r="2605">
      <c r="A2605" s="13" t="inlineStr">
        <is>
          <t>Samwise the Stouthearted / Samwise, o Destemido</t>
        </is>
      </c>
      <c r="B2605" s="13" t="inlineStr">
        <is>
          <t>Legendary Creature — Halfling Peasant / Criatura Lendária — Pequenino Plebeu</t>
        </is>
      </c>
      <c r="C2605" s="13" t="inlineStr">
        <is>
          <t>Uncommon / Incomum</t>
        </is>
      </c>
      <c r="D2605" s="13"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2605" s="13" t="inlineStr">
        <is>
          <t>{1}{W}</t>
        </is>
      </c>
      <c r="F2605" s="13" t="inlineStr">
        <is>
          <t>Branco</t>
        </is>
      </c>
      <c r="G2605" s="8" t="n">
        <v>0.25</v>
      </c>
      <c r="H2605" s="13" t="inlineStr">
        <is>
          <t>The Lord of the Rings: Tales of Middle-earth (LTR)</t>
        </is>
      </c>
      <c r="I2605" s="13" t="inlineStr">
        <is>
          <t>Não</t>
        </is>
      </c>
      <c r="J2605" s="13" t="n">
        <v>2023</v>
      </c>
      <c r="K2605" s="10" t="n">
        <v>46024</v>
      </c>
      <c r="L2605" s="13" t="n">
        <v>2</v>
      </c>
      <c r="M2605" s="8">
        <f>L2605*G2605</f>
        <v/>
      </c>
      <c r="P2605" s="9" t="n"/>
    </row>
    <row r="2606">
      <c r="A2606" s="13" t="inlineStr">
        <is>
          <t>Sanar, Innovative First-Year</t>
        </is>
      </c>
      <c r="B2606" s="13" t="inlineStr">
        <is>
          <t>Legendary Creature — Goblin Sorcerer</t>
        </is>
      </c>
      <c r="C2606" s="13" t="inlineStr">
        <is>
          <t>Rare / Rara</t>
        </is>
      </c>
      <c r="D2606" s="13"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2606" s="13" t="inlineStr">
        <is>
          <t>{2}{U/R}{U/R}</t>
        </is>
      </c>
      <c r="F2606" s="13" t="inlineStr">
        <is>
          <t>Vermelho, Azul</t>
        </is>
      </c>
      <c r="G2606" s="8" t="n">
        <v>0.27</v>
      </c>
      <c r="H2606" s="13" t="inlineStr">
        <is>
          <t>Lorwyn Eclipsed (ECL)</t>
        </is>
      </c>
      <c r="I2606" s="13" t="inlineStr">
        <is>
          <t>Não</t>
        </is>
      </c>
      <c r="J2606" s="13" t="n">
        <v>2026</v>
      </c>
      <c r="K2606" s="10" t="n">
        <v>46114</v>
      </c>
      <c r="L2606" s="13" t="n">
        <v>1</v>
      </c>
      <c r="M2606" s="8">
        <f>L2606*G2606</f>
        <v/>
      </c>
      <c r="P2606" s="9" t="n"/>
    </row>
    <row r="2607">
      <c r="A2607" s="13" t="inlineStr">
        <is>
          <t>Sandbenders' Storm</t>
        </is>
      </c>
      <c r="B2607" s="13" t="inlineStr">
        <is>
          <t>Instant</t>
        </is>
      </c>
      <c r="C2607" s="13" t="inlineStr">
        <is>
          <t>Common / Comum</t>
        </is>
      </c>
      <c r="D2607" s="13" t="inlineStr">
        <is>
          <t>Choose one — • Destroy target creature with power 4 or greater. • Earthbend 3. (Target land you control becomes a 0/0 creature with haste that's still a land. Put three +1/+1 counters on it. When it dies or is exiled, return it to the battlefield tapped.)</t>
        </is>
      </c>
      <c r="E2607" s="13" t="inlineStr">
        <is>
          <t>{3}{W}</t>
        </is>
      </c>
      <c r="F2607" s="13" t="inlineStr">
        <is>
          <t>Branco</t>
        </is>
      </c>
      <c r="G2607" s="8" t="n">
        <v>0.1</v>
      </c>
      <c r="H2607" s="13" t="inlineStr">
        <is>
          <t>Avatar: The Last Airbender (TLA)</t>
        </is>
      </c>
      <c r="I2607" s="13" t="inlineStr">
        <is>
          <t>Não</t>
        </is>
      </c>
      <c r="J2607" s="13" t="n">
        <v>2025</v>
      </c>
      <c r="L2607" s="13" t="n">
        <v>1</v>
      </c>
      <c r="M2607" s="8">
        <f>L2607*G2607</f>
        <v/>
      </c>
      <c r="P2607" s="9" t="n"/>
    </row>
    <row r="2608">
      <c r="A2608" s="13" t="inlineStr">
        <is>
          <t>Sandstone Oracle / Oráculo de Arenito</t>
        </is>
      </c>
      <c r="B2608" s="13" t="inlineStr">
        <is>
          <t>Artifact Creature — Sphinx / Criatura Artefato — Esfinge</t>
        </is>
      </c>
      <c r="C2608" s="13" t="inlineStr">
        <is>
          <t>Uncommon / Incomum</t>
        </is>
      </c>
      <c r="D2608" s="13"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2608" s="13" t="inlineStr">
        <is>
          <t>{7}</t>
        </is>
      </c>
      <c r="F2608" s="13" t="inlineStr">
        <is>
          <t>Incolor</t>
        </is>
      </c>
      <c r="G2608" s="8" t="n">
        <v>0.15</v>
      </c>
      <c r="H2608" s="13" t="inlineStr">
        <is>
          <t>Commander Masters (CMM)</t>
        </is>
      </c>
      <c r="I2608" s="13" t="inlineStr">
        <is>
          <t>Não</t>
        </is>
      </c>
      <c r="J2608" s="13" t="n">
        <v>2023</v>
      </c>
      <c r="K2608" s="10" t="n">
        <v>46116</v>
      </c>
      <c r="L2608" s="13" t="n">
        <v>1</v>
      </c>
      <c r="M2608" s="8">
        <f>L2608*G2608</f>
        <v/>
      </c>
      <c r="P2608" s="9" t="n"/>
    </row>
    <row r="2609">
      <c r="A2609" s="13" t="inlineStr">
        <is>
          <t>Sandstorm Charger / Atacante da Tempestade de Areia</t>
        </is>
      </c>
      <c r="B2609" s="13" t="inlineStr">
        <is>
          <t>Creature — Beast / Criatura — Besta</t>
        </is>
      </c>
      <c r="C2609" s="13" t="inlineStr">
        <is>
          <t>Common / Comum</t>
        </is>
      </c>
      <c r="D2609" s="13"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2609" s="13" t="inlineStr">
        <is>
          <t>{4}{W}</t>
        </is>
      </c>
      <c r="F2609" s="13" t="inlineStr">
        <is>
          <t>Branco</t>
        </is>
      </c>
      <c r="G2609" s="8" t="n">
        <v>0.06</v>
      </c>
      <c r="H2609" s="13" t="inlineStr">
        <is>
          <t>Dragons of Tarkir (DTK)</t>
        </is>
      </c>
      <c r="I2609" s="13" t="inlineStr">
        <is>
          <t>Não</t>
        </is>
      </c>
      <c r="J2609" s="13" t="n">
        <v>2015</v>
      </c>
      <c r="K2609" s="10" t="n">
        <v>46115</v>
      </c>
      <c r="L2609" s="13" t="n">
        <v>3</v>
      </c>
      <c r="M2609" s="8">
        <f>L2609*G2609</f>
        <v/>
      </c>
      <c r="P2609" s="9" t="n"/>
    </row>
    <row r="2610">
      <c r="A2610" s="13" t="inlineStr">
        <is>
          <t>Sandworm</t>
        </is>
      </c>
      <c r="B2610" s="13" t="inlineStr">
        <is>
          <t>Creature — Worm</t>
        </is>
      </c>
      <c r="C2610" s="13" t="inlineStr">
        <is>
          <t>Incomum</t>
        </is>
      </c>
      <c r="D2610" s="13" t="inlineStr">
        <is>
          <t>Haste When this creature enters, destroy target land. Its controller may search their library for a basic land card, put it onto the battlefield tapped, then shuffle.</t>
        </is>
      </c>
      <c r="E2610" s="13" t="inlineStr">
        <is>
          <t>4R</t>
        </is>
      </c>
      <c r="F2610" s="13" t="inlineStr">
        <is>
          <t>Vermelha</t>
        </is>
      </c>
      <c r="G2610" s="8" t="n">
        <v>0.2</v>
      </c>
      <c r="H2610" s="13" t="inlineStr">
        <is>
          <t>Final Fantasy (FFV)</t>
        </is>
      </c>
      <c r="I2610" s="13" t="inlineStr">
        <is>
          <t>Não</t>
        </is>
      </c>
      <c r="J2610" s="13" t="n">
        <v>2025</v>
      </c>
      <c r="K2610" s="10" t="n">
        <v>46117</v>
      </c>
      <c r="L2610" s="13" t="n">
        <v>1</v>
      </c>
      <c r="M2610" s="8">
        <f>L2610*G2610</f>
        <v/>
      </c>
      <c r="P2610" s="9" t="n"/>
    </row>
    <row r="2611">
      <c r="A2611" s="13" t="inlineStr">
        <is>
          <t>Sanguine Syphoner</t>
        </is>
      </c>
      <c r="B2611" s="13" t="inlineStr">
        <is>
          <t>Creature — Vampire Warlock</t>
        </is>
      </c>
      <c r="C2611" s="13" t="inlineStr">
        <is>
          <t>Common / Comum</t>
        </is>
      </c>
      <c r="D2611" s="13" t="inlineStr">
        <is>
          <t>Whenever this creature attacks, each opponent loses 1 life and you gain 1 life.</t>
        </is>
      </c>
      <c r="E2611" s="13" t="inlineStr">
        <is>
          <t>{1}{B}</t>
        </is>
      </c>
      <c r="F2611" s="13" t="inlineStr">
        <is>
          <t>Preto</t>
        </is>
      </c>
      <c r="G2611" s="8" t="n">
        <v>0.08</v>
      </c>
      <c r="H2611" s="13" t="inlineStr">
        <is>
          <t>Foundations (FDN)</t>
        </is>
      </c>
      <c r="I2611" s="13" t="inlineStr">
        <is>
          <t>Não</t>
        </is>
      </c>
      <c r="J2611" s="13" t="n">
        <v>2024</v>
      </c>
      <c r="K2611" s="10" t="n">
        <v>46082</v>
      </c>
      <c r="L2611" s="13" t="n">
        <v>1</v>
      </c>
      <c r="M2611" s="8">
        <f>L2611*G2611</f>
        <v/>
      </c>
      <c r="P2611" s="9" t="n"/>
    </row>
    <row r="2612">
      <c r="A2612" s="13" t="inlineStr">
        <is>
          <t>Sanitarium Skeleton</t>
        </is>
      </c>
      <c r="B2612" s="13" t="inlineStr">
        <is>
          <t>Creature — Skeleton</t>
        </is>
      </c>
      <c r="C2612" s="13" t="inlineStr">
        <is>
          <t>Common</t>
        </is>
      </c>
      <c r="D2612" s="13" t="inlineStr">
        <is>
          <t>{2}{B}: Return Sanitarium Skeleton from your graveyard to your hand.</t>
        </is>
      </c>
      <c r="E2612" s="13" t="inlineStr">
        <is>
          <t>{B}</t>
        </is>
      </c>
      <c r="F2612" s="13" t="inlineStr">
        <is>
          <t>Black</t>
        </is>
      </c>
      <c r="G2612" s="8" t="n">
        <v>0.03</v>
      </c>
      <c r="H2612" s="13" t="inlineStr">
        <is>
          <t>Ultimate Masters (UMA)</t>
        </is>
      </c>
      <c r="I2612" s="13" t="inlineStr">
        <is>
          <t>No</t>
        </is>
      </c>
      <c r="J2612" s="13" t="n">
        <v>2018</v>
      </c>
      <c r="K2612" s="10" t="n">
        <v>46054</v>
      </c>
      <c r="L2612" s="13" t="n">
        <v>4</v>
      </c>
      <c r="M2612" s="8">
        <f>L2612*G2612</f>
        <v/>
      </c>
      <c r="P2612" s="9" t="n"/>
    </row>
    <row r="2613">
      <c r="A2613" s="13" t="inlineStr">
        <is>
          <t>Sanitarium Skeleton / Esqueleto do Sanatório</t>
        </is>
      </c>
      <c r="B2613" s="13" t="inlineStr">
        <is>
          <t>Creature — Skeleton / Criatura — Esqueleto</t>
        </is>
      </c>
      <c r="C2613" s="13" t="inlineStr">
        <is>
          <t>Common / Comum</t>
        </is>
      </c>
      <c r="D2613" s="13" t="inlineStr">
        <is>
          <t>{2}{B}: Return this card from your graveyard to your hand. / {2}{B}: Devolva Esqueleto do Sanatório de seu cemitério para sua mão.</t>
        </is>
      </c>
      <c r="E2613" s="13" t="inlineStr">
        <is>
          <t>{B}</t>
        </is>
      </c>
      <c r="F2613" s="13" t="inlineStr">
        <is>
          <t>Preto</t>
        </is>
      </c>
      <c r="G2613" s="8" t="n">
        <v>0.04</v>
      </c>
      <c r="H2613" s="13" t="inlineStr">
        <is>
          <t>Innistrad Remastered (INR)</t>
        </is>
      </c>
      <c r="I2613" s="13" t="inlineStr">
        <is>
          <t>Não</t>
        </is>
      </c>
      <c r="J2613" s="13" t="n">
        <v>2025</v>
      </c>
      <c r="K2613" s="10" t="n">
        <v>46054</v>
      </c>
      <c r="L2613" s="13" t="n">
        <v>1</v>
      </c>
      <c r="M2613" s="8">
        <f>L2613*G2613</f>
        <v/>
      </c>
      <c r="P2613" s="9" t="n"/>
    </row>
    <row r="2614">
      <c r="A2614" s="13" t="inlineStr">
        <is>
          <t>Sarpadian Simulacrum / Simulacro Sarpadiano</t>
        </is>
      </c>
      <c r="B2614" s="13" t="inlineStr">
        <is>
          <t>Artifact Creature — Goblin / Criatura Artefato — Goblin</t>
        </is>
      </c>
      <c r="C2614" s="13" t="inlineStr">
        <is>
          <t>Common / Comum</t>
        </is>
      </c>
      <c r="D2614" s="13" t="inlineStr">
        <is>
          <t>Haste {3}{R}, Sacrifice this creature: It deals 4 damage to target creature. / Ímpeto {3}{R}, sacrifique Simulacro Sarpadiano: Ele causa 4 pontos de dano à criatura alvo.</t>
        </is>
      </c>
      <c r="E2614" s="13" t="inlineStr">
        <is>
          <t>{R}</t>
        </is>
      </c>
      <c r="F2614" s="13" t="inlineStr">
        <is>
          <t>Vermelho</t>
        </is>
      </c>
      <c r="G2614" s="8" t="n">
        <v>0.06</v>
      </c>
      <c r="H2614" s="13" t="inlineStr">
        <is>
          <t>Modern Horizons 3 (MH3)</t>
        </is>
      </c>
      <c r="I2614" s="13" t="inlineStr">
        <is>
          <t>Não</t>
        </is>
      </c>
      <c r="J2614" s="13" t="n">
        <v>2024</v>
      </c>
      <c r="K2614" s="10" t="n">
        <v>46023</v>
      </c>
      <c r="L2614" s="13" t="n">
        <v>1</v>
      </c>
      <c r="M2614" s="8">
        <f>L2614*G2614</f>
        <v/>
      </c>
      <c r="P2614" s="9" t="n"/>
    </row>
    <row r="2615">
      <c r="A2615" s="13" t="inlineStr">
        <is>
          <t>Saruli Caretaker / Guardiã de Saruli</t>
        </is>
      </c>
      <c r="B2615" s="13" t="inlineStr">
        <is>
          <t>Creature — Dryad / Criatura — Dríade</t>
        </is>
      </c>
      <c r="C2615" s="13" t="inlineStr">
        <is>
          <t>Common / Comum</t>
        </is>
      </c>
      <c r="D2615" s="13" t="inlineStr">
        <is>
          <t>Defender. {T}, Tap an untapped creature you control: Add one mana of any color. / Defensor. {T}, vire uma criatura desvirada que você controla: Adicione um mana de qualquer cor.</t>
        </is>
      </c>
      <c r="E2615" s="13" t="inlineStr">
        <is>
          <t>{G}</t>
        </is>
      </c>
      <c r="F2615" s="13" t="inlineStr">
        <is>
          <t>Verde</t>
        </is>
      </c>
      <c r="G2615" s="8" t="n">
        <v>0.25</v>
      </c>
      <c r="H2615" s="8" t="inlineStr">
        <is>
          <t>Ravnica Allegiance (RNA)</t>
        </is>
      </c>
      <c r="I2615" s="13" t="inlineStr">
        <is>
          <t>Não</t>
        </is>
      </c>
      <c r="J2615" s="13" t="n">
        <v>2019</v>
      </c>
      <c r="K2615" s="13" t="inlineStr">
        <is>
          <t>0/3</t>
        </is>
      </c>
      <c r="L2615" s="13" t="n">
        <v>1</v>
      </c>
      <c r="M2615" s="8">
        <f>L2615*G2615</f>
        <v/>
      </c>
      <c r="P2615" s="9" t="n"/>
    </row>
    <row r="2616">
      <c r="A2616" s="13" t="inlineStr">
        <is>
          <t>Saruman, o Branco / Saruman the White</t>
        </is>
      </c>
      <c r="B2616" s="13" t="inlineStr">
        <is>
          <t>Criatura Lendária — Avatar Mago</t>
        </is>
      </c>
      <c r="C2616" s="13" t="inlineStr">
        <is>
          <t>Incomum</t>
        </is>
      </c>
      <c r="D2616" s="13"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2616" s="13" t="inlineStr">
        <is>
          <t>4{U}</t>
        </is>
      </c>
      <c r="F2616" s="13" t="inlineStr">
        <is>
          <t>Azul</t>
        </is>
      </c>
      <c r="G2616" s="8" t="n">
        <v>0.25</v>
      </c>
      <c r="H2616" s="13" t="inlineStr">
        <is>
          <t>The Lord of the Rings: Tales of Middle-earth (LTR)</t>
        </is>
      </c>
      <c r="I2616" s="13" t="inlineStr">
        <is>
          <t>Não</t>
        </is>
      </c>
      <c r="J2616" s="13" t="n">
        <v>2023</v>
      </c>
      <c r="K2616" s="10" t="n">
        <v>46116</v>
      </c>
      <c r="L2616" s="13" t="n">
        <v>1</v>
      </c>
      <c r="M2616" s="8">
        <f>L2616*G2616</f>
        <v/>
      </c>
      <c r="P2616" s="9" t="n"/>
    </row>
    <row r="2617">
      <c r="A2617" s="13" t="inlineStr">
        <is>
          <t>Satyr Grovedancer / Sátiro Dançarino do Bosque</t>
        </is>
      </c>
      <c r="B2617" s="13" t="inlineStr">
        <is>
          <t>Creature — Satyr Shaman / Criatura — Sátiro Xamã</t>
        </is>
      </c>
      <c r="C2617" s="13" t="inlineStr">
        <is>
          <t>Common / Comum</t>
        </is>
      </c>
      <c r="D2617" s="13" t="inlineStr">
        <is>
          <t>When this creature enters, put a +1/+1 counter on target creature. / Quando Sátiro Dançarino do Bosque entrar no campo de batalha, coloque um marcador +1/+1 na criatura alvo.</t>
        </is>
      </c>
      <c r="E2617" s="13" t="inlineStr">
        <is>
          <t>{1}{G}</t>
        </is>
      </c>
      <c r="F2617" s="13" t="inlineStr">
        <is>
          <t>Verde</t>
        </is>
      </c>
      <c r="G2617" s="8" t="n">
        <v>0.03</v>
      </c>
      <c r="H2617" s="13" t="inlineStr">
        <is>
          <t>Journey into Nyx (JOU)</t>
        </is>
      </c>
      <c r="I2617" s="13" t="inlineStr">
        <is>
          <t>Não</t>
        </is>
      </c>
      <c r="J2617" s="13" t="n">
        <v>2014</v>
      </c>
      <c r="K2617" s="10" t="n">
        <v>46023</v>
      </c>
      <c r="L2617" s="13" t="n">
        <v>4</v>
      </c>
      <c r="M2617" s="8">
        <f>L2617*G2617</f>
        <v/>
      </c>
      <c r="P2617" s="9" t="n"/>
    </row>
    <row r="2618">
      <c r="A2618" s="13" t="inlineStr">
        <is>
          <t>Savage Hunger / Fome Selvagem</t>
        </is>
      </c>
      <c r="B2618" s="13" t="inlineStr">
        <is>
          <t>Enchantment — Aura / Encantamento — Aura</t>
        </is>
      </c>
      <c r="C2618" s="13" t="inlineStr">
        <is>
          <t>Common / Comum</t>
        </is>
      </c>
      <c r="D2618" s="13" t="inlineStr">
        <is>
          <t>Enchant creature Enchanted creature gets +1/+0 and has trample. Cycling {2} ({2}, Discard this card: Draw a card.) / Encantar criatura A criatura encantada recebe +1/+0 e tem atropelar. Reciclar {2} ({2}, Descarte este card: Compre um card.)</t>
        </is>
      </c>
      <c r="E2618" s="13" t="inlineStr">
        <is>
          <t>{2}{G}</t>
        </is>
      </c>
      <c r="F2618" s="13" t="inlineStr">
        <is>
          <t>Verde</t>
        </is>
      </c>
      <c r="G2618" s="8" t="n">
        <v>0.03</v>
      </c>
      <c r="H2618" s="13" t="inlineStr">
        <is>
          <t>Shards of Alara (ALA)</t>
        </is>
      </c>
      <c r="I2618" s="13" t="inlineStr">
        <is>
          <t>Não</t>
        </is>
      </c>
      <c r="J2618" s="13" t="n">
        <v>2008</v>
      </c>
      <c r="L2618" s="13" t="n">
        <v>1</v>
      </c>
      <c r="M2618" s="8">
        <f>L2618*G2618</f>
        <v/>
      </c>
      <c r="P2618" s="9" t="n"/>
    </row>
    <row r="2619">
      <c r="A2619" s="13" t="inlineStr">
        <is>
          <t>Savannah Lions / Leões da Savana</t>
        </is>
      </c>
      <c r="B2619" s="13" t="inlineStr">
        <is>
          <t>Creature — Cat / Criatura — Felino</t>
        </is>
      </c>
      <c r="C2619" s="13" t="inlineStr">
        <is>
          <t>Common / Comum</t>
        </is>
      </c>
      <c r="E2619" s="13" t="inlineStr">
        <is>
          <t>{W}</t>
        </is>
      </c>
      <c r="F2619" s="13" t="inlineStr">
        <is>
          <t>Branco</t>
        </is>
      </c>
      <c r="G2619" s="8" t="n">
        <v>0.8</v>
      </c>
      <c r="H2619" s="13" t="inlineStr">
        <is>
          <t>Masters 25 (A25)</t>
        </is>
      </c>
      <c r="I2619" s="13" t="inlineStr">
        <is>
          <t>Sim</t>
        </is>
      </c>
      <c r="J2619" s="13" t="n">
        <v>2018</v>
      </c>
      <c r="K2619" s="10" t="n">
        <v>46024</v>
      </c>
      <c r="L2619" s="13" t="n">
        <v>1</v>
      </c>
      <c r="M2619" s="8">
        <f>L2619*G2619</f>
        <v/>
      </c>
      <c r="P2619" s="9" t="n"/>
    </row>
    <row r="2620">
      <c r="A2620" s="13" t="inlineStr">
        <is>
          <t>Savanti Romero, Time's Exile</t>
        </is>
      </c>
      <c r="B2620" s="13" t="inlineStr">
        <is>
          <t>Legendary Creature — Demon Wizard</t>
        </is>
      </c>
      <c r="C2620" s="13" t="inlineStr">
        <is>
          <t>Rare / Rara</t>
        </is>
      </c>
      <c r="D2620" s="13" t="inlineStr">
        <is>
          <t>Trample At the beginning of combat on your turn, put a +1/+1 counter on Savanti Romero. Then you draw X cards and lose X life, where X is the number of counters on Savanti Romero.</t>
        </is>
      </c>
      <c r="E2620" s="13" t="inlineStr">
        <is>
          <t>{3}{B}{B}</t>
        </is>
      </c>
      <c r="F2620" s="13" t="inlineStr">
        <is>
          <t>Preto</t>
        </is>
      </c>
      <c r="G2620" s="8" t="n">
        <v>0.9</v>
      </c>
      <c r="H2620" s="13" t="inlineStr">
        <is>
          <t>Teenage Mutant Ninja Turtles (TMT)</t>
        </is>
      </c>
      <c r="I2620" s="13" t="inlineStr">
        <is>
          <t>Não</t>
        </is>
      </c>
      <c r="J2620" s="13" t="n">
        <v>2026</v>
      </c>
      <c r="K2620" s="10" t="n">
        <v>46116</v>
      </c>
      <c r="L2620" s="13" t="n">
        <v>1</v>
      </c>
      <c r="M2620" s="8">
        <f>L2620*G2620</f>
        <v/>
      </c>
      <c r="P2620" s="9" t="n"/>
    </row>
    <row r="2621">
      <c r="A2621" s="13" t="inlineStr">
        <is>
          <t>Saved by the Shell</t>
        </is>
      </c>
      <c r="B2621" s="13" t="inlineStr">
        <is>
          <t>Instant</t>
        </is>
      </c>
      <c r="C2621" s="13" t="inlineStr">
        <is>
          <t>Uncommon / Incomum</t>
        </is>
      </c>
      <c r="D2621" s="13" t="inlineStr">
        <is>
          <t>This spell costs {1} less to cast if you control a Turtle. Put a +1/+1 counter on target creature you control. It gains trample, hexproof, and indestructible until end of turn.</t>
        </is>
      </c>
      <c r="E2621" s="13" t="inlineStr">
        <is>
          <t>{1}{G}</t>
        </is>
      </c>
      <c r="F2621" s="13" t="inlineStr">
        <is>
          <t>Verde</t>
        </is>
      </c>
      <c r="G2621" s="8" t="n">
        <v>0.1</v>
      </c>
      <c r="H2621" s="13" t="inlineStr">
        <is>
          <t>Teenage Mutant Ninja Turtles (TMT)</t>
        </is>
      </c>
      <c r="I2621" s="13" t="inlineStr">
        <is>
          <t>Não</t>
        </is>
      </c>
      <c r="J2621" s="13" t="n">
        <v>2026</v>
      </c>
      <c r="L2621" s="13" t="n">
        <v>2</v>
      </c>
      <c r="M2621" s="8">
        <f>L2621*G2621</f>
        <v/>
      </c>
      <c r="P2621" s="9" t="n"/>
    </row>
    <row r="2622">
      <c r="A2622" s="13" t="inlineStr">
        <is>
          <t>Saving Grasp / Mão Salvadora</t>
        </is>
      </c>
      <c r="B2622" s="13" t="inlineStr">
        <is>
          <t>Instant / Mágica Instantânea</t>
        </is>
      </c>
      <c r="C2622" s="13" t="inlineStr">
        <is>
          <t>Common / Comum</t>
        </is>
      </c>
      <c r="D2622" s="13"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2622" s="13" t="inlineStr">
        <is>
          <t>{U}</t>
        </is>
      </c>
      <c r="F2622" s="13" t="inlineStr">
        <is>
          <t>Azul</t>
        </is>
      </c>
      <c r="G2622" s="8" t="n">
        <v>0.04</v>
      </c>
      <c r="H2622" s="13" t="inlineStr">
        <is>
          <t>Dark Ascension (DKA)</t>
        </is>
      </c>
      <c r="I2622" s="13" t="inlineStr">
        <is>
          <t>Não</t>
        </is>
      </c>
      <c r="J2622" s="13" t="n">
        <v>2012</v>
      </c>
      <c r="L2622" s="13" t="n">
        <v>2</v>
      </c>
      <c r="M2622" s="8">
        <f>L2622*G2622</f>
        <v/>
      </c>
      <c r="P2622" s="9" t="n"/>
    </row>
    <row r="2623">
      <c r="A2623" s="13" t="inlineStr">
        <is>
          <t>Savor</t>
        </is>
      </c>
      <c r="B2623" s="13" t="inlineStr">
        <is>
          <t>Instant</t>
        </is>
      </c>
      <c r="C2623" s="13" t="inlineStr">
        <is>
          <t>Common / Comum</t>
        </is>
      </c>
      <c r="D2623" s="13" t="inlineStr">
        <is>
          <t>Target creature gets -2/-2 until end of turn. Create a Food token. (It's an artifact with "{2}, {T}, Sacrifice this token: You gain 3 life.")</t>
        </is>
      </c>
      <c r="E2623" s="13" t="inlineStr">
        <is>
          <t>{1}{B}</t>
        </is>
      </c>
      <c r="F2623" s="13" t="inlineStr">
        <is>
          <t>Preto</t>
        </is>
      </c>
      <c r="G2623" s="8" t="n">
        <v>0.18</v>
      </c>
      <c r="H2623" s="13" t="inlineStr">
        <is>
          <t>Bloomburrow (BLB)</t>
        </is>
      </c>
      <c r="I2623" s="13" t="inlineStr">
        <is>
          <t>Não</t>
        </is>
      </c>
      <c r="J2623" s="13" t="n">
        <v>2024</v>
      </c>
      <c r="L2623" s="13" t="n">
        <v>2</v>
      </c>
      <c r="M2623" s="8">
        <f>L2623*G2623</f>
        <v/>
      </c>
      <c r="P2623" s="9" t="n"/>
    </row>
    <row r="2624">
      <c r="A2624" s="13" t="inlineStr">
        <is>
          <t>Sawblade Slinger / Atiradora de Serras</t>
        </is>
      </c>
      <c r="B2624" s="13" t="inlineStr">
        <is>
          <t>Creature — Human Archer / Criatura — Humano Arqueiro</t>
        </is>
      </c>
      <c r="C2624" s="13" t="inlineStr">
        <is>
          <t>Uncommon / Incomum</t>
        </is>
      </c>
      <c r="D2624" s="13"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2624" s="13" t="inlineStr">
        <is>
          <t>{3}{G}</t>
        </is>
      </c>
      <c r="F2624" s="13" t="inlineStr">
        <is>
          <t>Verde</t>
        </is>
      </c>
      <c r="G2624" s="8" t="n">
        <v>0.1</v>
      </c>
      <c r="H2624" s="13" t="inlineStr">
        <is>
          <t>Innistrad: Crimson Vow (VOW)</t>
        </is>
      </c>
      <c r="I2624" s="13" t="inlineStr">
        <is>
          <t>Não</t>
        </is>
      </c>
      <c r="J2624" s="13" t="n">
        <v>2021</v>
      </c>
      <c r="K2624" s="10" t="n">
        <v>46085</v>
      </c>
      <c r="L2624" s="13" t="n">
        <v>1</v>
      </c>
      <c r="M2624" s="8">
        <f>L2624*G2624</f>
        <v/>
      </c>
      <c r="P2624" s="9" t="n"/>
    </row>
    <row r="2625">
      <c r="A2625" s="13" t="inlineStr">
        <is>
          <t>Say Its Name</t>
        </is>
      </c>
      <c r="B2625" s="13" t="inlineStr">
        <is>
          <t>Sorcery</t>
        </is>
      </c>
      <c r="C2625" s="13" t="inlineStr">
        <is>
          <t>Common / Comum</t>
        </is>
      </c>
      <c r="D2625" s="13"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2625" s="13" t="inlineStr">
        <is>
          <t>{1}{G}</t>
        </is>
      </c>
      <c r="F2625" s="13" t="inlineStr">
        <is>
          <t>Verde</t>
        </is>
      </c>
      <c r="G2625" s="8" t="n">
        <v>0.05</v>
      </c>
      <c r="H2625" s="13" t="inlineStr">
        <is>
          <t>Duskmourn: House of Horror (DSK)</t>
        </is>
      </c>
      <c r="I2625" s="13" t="inlineStr">
        <is>
          <t>Não</t>
        </is>
      </c>
      <c r="J2625" s="13" t="n">
        <v>2024</v>
      </c>
      <c r="L2625" s="13" t="n">
        <v>1</v>
      </c>
      <c r="M2625" s="8">
        <f>L2625*G2625</f>
        <v/>
      </c>
      <c r="P2625" s="9" t="n"/>
    </row>
    <row r="2626">
      <c r="A2626" s="13" t="inlineStr">
        <is>
          <t>Sazh Katzroy / Sazh Katzroy</t>
        </is>
      </c>
      <c r="B2626" s="13" t="inlineStr">
        <is>
          <t>Criatura Lendária — Humano Piloto</t>
        </is>
      </c>
      <c r="C2626" s="13" t="inlineStr">
        <is>
          <t>Rara</t>
        </is>
      </c>
      <c r="D2626" s="13"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626" s="13" t="inlineStr">
        <is>
          <t>3{G}</t>
        </is>
      </c>
      <c r="F2626" s="13" t="inlineStr">
        <is>
          <t>Verde</t>
        </is>
      </c>
      <c r="G2626" s="8" t="n">
        <v>2.85</v>
      </c>
      <c r="H2626" s="13" t="inlineStr">
        <is>
          <t>Final Fantasy</t>
        </is>
      </c>
      <c r="I2626" s="13" t="inlineStr">
        <is>
          <t>Não</t>
        </is>
      </c>
      <c r="J2626" s="13" t="n">
        <v>2025</v>
      </c>
      <c r="K2626" s="10" t="n">
        <v>46084</v>
      </c>
      <c r="L2626" s="13" t="n">
        <v>1</v>
      </c>
      <c r="M2626" s="8">
        <f>L2626*G2626</f>
        <v/>
      </c>
      <c r="P2626" s="9" t="n"/>
    </row>
    <row r="2627">
      <c r="A2627" s="13" t="inlineStr">
        <is>
          <t>Scab-Clan Giant</t>
        </is>
      </c>
      <c r="B2627" s="13" t="inlineStr">
        <is>
          <t>Creature — Giant Warrior</t>
        </is>
      </c>
      <c r="C2627" s="13" t="inlineStr">
        <is>
          <t>Uncommon / Incomum</t>
        </is>
      </c>
      <c r="D2627" s="13" t="inlineStr">
        <is>
          <t>When this creature enters, it fights target creature an opponent controls chosen at random.</t>
        </is>
      </c>
      <c r="E2627" s="13" t="inlineStr">
        <is>
          <t>{4}{R}{G}</t>
        </is>
      </c>
      <c r="F2627" s="13" t="inlineStr">
        <is>
          <t>Verde, Vermelho</t>
        </is>
      </c>
      <c r="G2627" s="8" t="n">
        <v>0.1</v>
      </c>
      <c r="H2627" s="13" t="inlineStr">
        <is>
          <t>Double Masters 2022 (2X2)</t>
        </is>
      </c>
      <c r="I2627" s="13" t="inlineStr">
        <is>
          <t>Não</t>
        </is>
      </c>
      <c r="J2627" s="13" t="n">
        <v>2022</v>
      </c>
      <c r="K2627" s="10" t="n">
        <v>46146</v>
      </c>
      <c r="L2627" s="13" t="n">
        <v>1</v>
      </c>
      <c r="M2627" s="8">
        <f>L2627*G2627</f>
        <v/>
      </c>
      <c r="P2627" s="9" t="n"/>
    </row>
    <row r="2628">
      <c r="A2628" s="13" t="inlineStr">
        <is>
          <t>Scale the Heights / Escalar as Alturas</t>
        </is>
      </c>
      <c r="B2628" s="13" t="inlineStr">
        <is>
          <t>Sorcery / Feitiço</t>
        </is>
      </c>
      <c r="C2628" s="13" t="inlineStr">
        <is>
          <t>Common / Comum</t>
        </is>
      </c>
      <c r="D2628" s="13"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2628" s="13" t="inlineStr">
        <is>
          <t>{2}{G}</t>
        </is>
      </c>
      <c r="F2628" s="13" t="inlineStr">
        <is>
          <t>Verde</t>
        </is>
      </c>
      <c r="G2628" s="8" t="n">
        <v>0.25</v>
      </c>
      <c r="H2628" s="13" t="inlineStr">
        <is>
          <t>Jumpstart 2022 (J22)</t>
        </is>
      </c>
      <c r="I2628" s="13" t="inlineStr">
        <is>
          <t>Não</t>
        </is>
      </c>
      <c r="J2628" s="13" t="n">
        <v>2022</v>
      </c>
      <c r="L2628" s="13" t="n">
        <v>1</v>
      </c>
      <c r="M2628" s="8">
        <f>L2628*G2628</f>
        <v/>
      </c>
      <c r="P2628" s="9" t="n"/>
    </row>
    <row r="2629">
      <c r="A2629" s="13" t="inlineStr">
        <is>
          <t>Scarblade Scout</t>
        </is>
      </c>
      <c r="B2629" s="13" t="inlineStr">
        <is>
          <t>Creature — Elf Scout</t>
        </is>
      </c>
      <c r="C2629" s="13" t="inlineStr">
        <is>
          <t>Common</t>
        </is>
      </c>
      <c r="D2629" s="13" t="inlineStr">
        <is>
          <t>Lifelink. When this creature enters, mill two cards. (Put the top two cards of your library into your graveyard.)</t>
        </is>
      </c>
      <c r="E2629" s="13" t="inlineStr">
        <is>
          <t>{1}{B}</t>
        </is>
      </c>
      <c r="F2629" s="13" t="inlineStr">
        <is>
          <t>Preto</t>
        </is>
      </c>
      <c r="G2629" s="8" t="n">
        <v>0.1</v>
      </c>
      <c r="H2629" s="13" t="inlineStr">
        <is>
          <t>Lorwyn Eclipsed (ECL)</t>
        </is>
      </c>
      <c r="I2629" s="13" t="inlineStr">
        <is>
          <t>Não</t>
        </is>
      </c>
      <c r="J2629" s="13" t="n">
        <v>2026</v>
      </c>
      <c r="K2629" s="10" t="n">
        <v>46055</v>
      </c>
      <c r="L2629" s="13" t="n">
        <v>1</v>
      </c>
      <c r="M2629" s="8">
        <f>L2629*G2629</f>
        <v/>
      </c>
      <c r="P2629" s="9" t="n"/>
    </row>
    <row r="2630">
      <c r="A2630" s="13" t="inlineStr">
        <is>
          <t>Scars of the Veteran / Cicatrizes do Veterano</t>
        </is>
      </c>
      <c r="B2630" s="13" t="inlineStr">
        <is>
          <t>Instant</t>
        </is>
      </c>
      <c r="C2630" s="13" t="inlineStr">
        <is>
          <t>Uncommon / Incomum</t>
        </is>
      </c>
      <c r="D2630" s="13" t="inlineStr">
        <is>
          <t>You may exile a white card from your hand rather than pay this spell's mana cost. Prevent the next 7 damage that would be dealt to any target this turn. If it's a creature, put a +0/+1 counter on it for each 1 damage prevented this way at the beginning of the next end step.</t>
        </is>
      </c>
      <c r="E2630" s="13" t="inlineStr">
        <is>
          <t>{4}{W}</t>
        </is>
      </c>
      <c r="F2630" s="13" t="inlineStr">
        <is>
          <t>Branco</t>
        </is>
      </c>
      <c r="G2630" s="8" t="n">
        <v>0.1</v>
      </c>
      <c r="H2630" s="13" t="inlineStr">
        <is>
          <t>Alliances (ALL)</t>
        </is>
      </c>
      <c r="I2630" s="13" t="inlineStr">
        <is>
          <t>Não</t>
        </is>
      </c>
      <c r="J2630" s="13" t="n">
        <v>1996</v>
      </c>
      <c r="L2630" s="13" t="n">
        <v>1</v>
      </c>
      <c r="M2630" s="8">
        <f>L2630*G2630</f>
        <v/>
      </c>
      <c r="P2630" s="9" t="n"/>
    </row>
    <row r="2631">
      <c r="A2631" s="13" t="inlineStr">
        <is>
          <t>Scarscale Ritual / Ritual de Escamo-Tatuagem</t>
        </is>
      </c>
      <c r="B2631" s="13" t="inlineStr">
        <is>
          <t>Sorcery / Feitiço</t>
        </is>
      </c>
      <c r="C2631" s="13" t="inlineStr">
        <is>
          <t>Common / Comum</t>
        </is>
      </c>
      <c r="D2631" s="13" t="inlineStr">
        <is>
          <t>As an additional cost to cast this spell, put a -1/-1 counter on a creature you control. Draw two cards. / Como custo adicional para jogar Ritual de Escamo-Tatuagem, coloque um marcador -1/-1 numa criatura que você controla. Compre dois cards.</t>
        </is>
      </c>
      <c r="E2631" s="13" t="inlineStr">
        <is>
          <t>{1}{U/B}</t>
        </is>
      </c>
      <c r="F2631" s="13" t="inlineStr">
        <is>
          <t>Preto, Azul</t>
        </is>
      </c>
      <c r="G2631" s="8" t="n">
        <v>0.15</v>
      </c>
      <c r="H2631" s="13" t="inlineStr">
        <is>
          <t>Shadowmoor (SHM)</t>
        </is>
      </c>
      <c r="I2631" s="13" t="inlineStr">
        <is>
          <t>Não</t>
        </is>
      </c>
      <c r="J2631" s="13" t="n">
        <v>2008</v>
      </c>
      <c r="L2631" s="13" t="n">
        <v>1</v>
      </c>
      <c r="M2631" s="8">
        <f>L2631*G2631</f>
        <v/>
      </c>
      <c r="P2631" s="9" t="n"/>
    </row>
    <row r="2632">
      <c r="A2632" s="13" t="inlineStr">
        <is>
          <t>Scathe Zombies / Zumbis de Scathe</t>
        </is>
      </c>
      <c r="B2632" s="13" t="inlineStr">
        <is>
          <t>Creature — Zombie / Criatura — Zumbi</t>
        </is>
      </c>
      <c r="C2632" s="13" t="inlineStr">
        <is>
          <t>Common / Comum</t>
        </is>
      </c>
      <c r="E2632" s="13" t="inlineStr">
        <is>
          <t>{2}{B}</t>
        </is>
      </c>
      <c r="F2632" s="13" t="inlineStr">
        <is>
          <t>Preto</t>
        </is>
      </c>
      <c r="G2632" s="8" t="n">
        <v>0.09</v>
      </c>
      <c r="H2632" s="13" t="inlineStr">
        <is>
          <t>Quarta Edição</t>
        </is>
      </c>
      <c r="I2632" s="13" t="inlineStr">
        <is>
          <t>Não</t>
        </is>
      </c>
      <c r="J2632" s="13" t="n">
        <v>1995</v>
      </c>
      <c r="K2632" s="10" t="n">
        <v>46055</v>
      </c>
      <c r="L2632" s="13" t="n">
        <v>6</v>
      </c>
      <c r="M2632" s="8">
        <f>L2632*G2632</f>
        <v/>
      </c>
      <c r="P2632" s="9" t="n"/>
    </row>
    <row r="2633">
      <c r="A2633" s="13" t="inlineStr">
        <is>
          <t>Scathe Zombies / Zumbis de Scathe</t>
        </is>
      </c>
      <c r="B2633" s="13" t="inlineStr">
        <is>
          <t>Creature — Zombie / Criatura — Zumbi</t>
        </is>
      </c>
      <c r="C2633" s="13" t="inlineStr">
        <is>
          <t>Common / Comum</t>
        </is>
      </c>
      <c r="E2633" s="13" t="inlineStr">
        <is>
          <t>{2}{B}</t>
        </is>
      </c>
      <c r="F2633" s="13" t="inlineStr">
        <is>
          <t>Preto</t>
        </is>
      </c>
      <c r="G2633" s="8" t="n">
        <v>0.22</v>
      </c>
      <c r="H2633" s="13" t="inlineStr">
        <is>
          <t>Revised Edition</t>
        </is>
      </c>
      <c r="I2633" s="13" t="inlineStr">
        <is>
          <t>Não</t>
        </is>
      </c>
      <c r="J2633" s="13" t="n">
        <v>1995</v>
      </c>
      <c r="K2633" s="10" t="n">
        <v>46055</v>
      </c>
      <c r="L2633" s="13" t="n">
        <v>2</v>
      </c>
      <c r="M2633" s="8">
        <f>L2633*G2633</f>
        <v/>
      </c>
      <c r="P2633" s="9" t="n"/>
    </row>
    <row r="2634">
      <c r="A2634" s="13" t="inlineStr">
        <is>
          <t>Scathe Zombies / Zumbis de Scathe</t>
        </is>
      </c>
      <c r="B2634" s="13" t="inlineStr">
        <is>
          <t>Creature — Zombie / Criatura — Zumbi</t>
        </is>
      </c>
      <c r="C2634" s="13" t="inlineStr">
        <is>
          <t>Common / Comum</t>
        </is>
      </c>
      <c r="E2634" s="13" t="inlineStr">
        <is>
          <t>{2}{B}</t>
        </is>
      </c>
      <c r="F2634" s="13" t="inlineStr">
        <is>
          <t>Preto</t>
        </is>
      </c>
      <c r="G2634" s="8" t="n">
        <v>0.09</v>
      </c>
      <c r="H2634" s="13" t="inlineStr">
        <is>
          <t>Seventh Edition (7ED)</t>
        </is>
      </c>
      <c r="I2634" s="13" t="inlineStr">
        <is>
          <t>Sim</t>
        </is>
      </c>
      <c r="J2634" s="13" t="n">
        <v>2001</v>
      </c>
      <c r="K2634" s="10" t="n">
        <v>46055</v>
      </c>
      <c r="L2634" s="13" t="n">
        <v>1</v>
      </c>
      <c r="M2634" s="8">
        <f>L2634*G2634</f>
        <v/>
      </c>
      <c r="P2634" s="9" t="n"/>
    </row>
    <row r="2635">
      <c r="A2635" s="13" t="inlineStr">
        <is>
          <t>Scavenged Blade / Lâmina Salvada</t>
        </is>
      </c>
      <c r="B2635" s="13" t="inlineStr">
        <is>
          <t>Artifact — Equipment / Artefato — Equipamento</t>
        </is>
      </c>
      <c r="C2635" s="13" t="inlineStr">
        <is>
          <t>Common / Comum</t>
        </is>
      </c>
      <c r="D2635" s="13"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2635" s="13" t="inlineStr">
        <is>
          <t>{1}{R}</t>
        </is>
      </c>
      <c r="F2635" s="13" t="inlineStr">
        <is>
          <t>Vermelho</t>
        </is>
      </c>
      <c r="G2635" s="8" t="n">
        <v>0.05</v>
      </c>
      <c r="H2635" s="13" t="inlineStr">
        <is>
          <t>Zendikar Rising (ZNR)</t>
        </is>
      </c>
      <c r="I2635" s="13" t="inlineStr">
        <is>
          <t>Não</t>
        </is>
      </c>
      <c r="J2635" s="13" t="n">
        <v>2020</v>
      </c>
      <c r="L2635" s="13" t="n">
        <v>1</v>
      </c>
      <c r="M2635" s="8">
        <f>L2635*G2635</f>
        <v/>
      </c>
      <c r="P2635" s="9" t="n"/>
    </row>
    <row r="2636">
      <c r="A2636" s="13" t="inlineStr">
        <is>
          <t>Scavenging Ghoul / Carniçal Necrófago</t>
        </is>
      </c>
      <c r="B2636" s="13" t="inlineStr">
        <is>
          <t>Creature — Zombie</t>
        </is>
      </c>
      <c r="C2636" s="13" t="inlineStr">
        <is>
          <t>Uncommon / Incomum</t>
        </is>
      </c>
      <c r="D2636" s="13" t="inlineStr">
        <is>
          <t>At the beginning of each end step, put a corpse counter on this creature for each creature that died this turn. Remove a corpse counter from this creature: Regenerate this creature.</t>
        </is>
      </c>
      <c r="E2636" s="13" t="inlineStr">
        <is>
          <t>{3}{B}</t>
        </is>
      </c>
      <c r="F2636" s="13" t="inlineStr">
        <is>
          <t>Preto</t>
        </is>
      </c>
      <c r="G2636" s="8" t="n">
        <v>0.06</v>
      </c>
      <c r="H2636" s="13" t="inlineStr">
        <is>
          <t>Quarta Edição</t>
        </is>
      </c>
      <c r="I2636" s="13" t="inlineStr">
        <is>
          <t>Não</t>
        </is>
      </c>
      <c r="J2636" s="13" t="n">
        <v>1995</v>
      </c>
      <c r="K2636" s="10" t="n">
        <v>46055</v>
      </c>
      <c r="L2636" s="13" t="n">
        <v>2</v>
      </c>
      <c r="M2636" s="8">
        <f>L2636*G2636</f>
        <v/>
      </c>
      <c r="P2636" s="9" t="n"/>
    </row>
    <row r="2637">
      <c r="A2637" s="13" t="inlineStr">
        <is>
          <t>Scavenging Ghoul / Carniçal Necrófago</t>
        </is>
      </c>
      <c r="B2637" s="13" t="inlineStr">
        <is>
          <t>Creature — Zombie</t>
        </is>
      </c>
      <c r="C2637" s="13" t="inlineStr">
        <is>
          <t>Uncommon / Incomum</t>
        </is>
      </c>
      <c r="D2637" s="13" t="inlineStr">
        <is>
          <t>At the beginning of each end step, put a corpse counter on this creature for each creature that died this turn. Remove a corpse counter from this creature: Regenerate this creature.</t>
        </is>
      </c>
      <c r="E2637" s="13" t="inlineStr">
        <is>
          <t>{3}{B}</t>
        </is>
      </c>
      <c r="F2637" s="13" t="inlineStr">
        <is>
          <t>Preto</t>
        </is>
      </c>
      <c r="G2637" s="8" t="n">
        <v>0.49</v>
      </c>
      <c r="H2637" s="13" t="inlineStr">
        <is>
          <t>Quarta Edição (BB)</t>
        </is>
      </c>
      <c r="I2637" s="13" t="inlineStr">
        <is>
          <t>Não</t>
        </is>
      </c>
      <c r="J2637" s="13" t="n">
        <v>1995</v>
      </c>
      <c r="K2637" s="10" t="n">
        <v>46055</v>
      </c>
      <c r="L2637" s="13" t="n">
        <v>3</v>
      </c>
      <c r="M2637" s="8">
        <f>L2637*G2637</f>
        <v/>
      </c>
      <c r="P2637" s="9" t="n"/>
    </row>
    <row r="2638">
      <c r="A2638" s="13" t="inlineStr">
        <is>
          <t>Scholar of Athreos / Escolástico de Atreos</t>
        </is>
      </c>
      <c r="B2638" s="13" t="inlineStr">
        <is>
          <t>Creature — Human Cleric / Criatura — Humano Clérigo</t>
        </is>
      </c>
      <c r="C2638" s="13" t="inlineStr">
        <is>
          <t>Common / Comum</t>
        </is>
      </c>
      <c r="D2638" s="13" t="inlineStr">
        <is>
          <t>{2}{B}: Each opponent loses 1 life. You gain life equal to the life lost this way. / {2}{B}: Cada oponente perde 1 ponto de vida. Você ganha uma quantidade de pontos de vida igual ao total de pontos de vida perdidos dessa maneira.</t>
        </is>
      </c>
      <c r="E2638" s="13" t="inlineStr">
        <is>
          <t>{2}{W}</t>
        </is>
      </c>
      <c r="F2638" s="13" t="inlineStr">
        <is>
          <t>Branco</t>
        </is>
      </c>
      <c r="G2638" s="8" t="n">
        <v>0.05</v>
      </c>
      <c r="H2638" s="13" t="inlineStr">
        <is>
          <t>Theros (THS)</t>
        </is>
      </c>
      <c r="I2638" s="13" t="inlineStr">
        <is>
          <t>Não</t>
        </is>
      </c>
      <c r="J2638" s="13" t="n">
        <v>2013</v>
      </c>
      <c r="K2638" s="10" t="n">
        <v>46113</v>
      </c>
      <c r="L2638" s="13" t="n">
        <v>1</v>
      </c>
      <c r="M2638" s="8">
        <f>L2638*G2638</f>
        <v/>
      </c>
      <c r="P2638" s="9" t="n"/>
    </row>
    <row r="2639">
      <c r="A2639" s="13" t="inlineStr">
        <is>
          <t>School of the Unseen / Escola do Ilusionismo</t>
        </is>
      </c>
      <c r="B2639" s="13" t="inlineStr">
        <is>
          <t>Terreno / Land</t>
        </is>
      </c>
      <c r="C2639" s="13" t="inlineStr">
        <is>
          <t>Incomum / Uncommon</t>
        </is>
      </c>
      <c r="D2639" s="13" t="inlineStr">
        <is>
          <t>{T}: Add one colorless mana to your mana pool. {2}, {T}: Add one mana of any color to your mana pool.</t>
        </is>
      </c>
      <c r="F2639" s="13" t="inlineStr">
        <is>
          <t>Incolor / Colorless</t>
        </is>
      </c>
      <c r="G2639" s="8" t="n">
        <v>0.18</v>
      </c>
      <c r="H2639" s="13" t="inlineStr">
        <is>
          <t>Alliances (ALL)</t>
        </is>
      </c>
      <c r="I2639" s="13" t="inlineStr">
        <is>
          <t>Não</t>
        </is>
      </c>
      <c r="J2639" s="13" t="n">
        <v>1996</v>
      </c>
      <c r="L2639" s="13" t="n">
        <v>1</v>
      </c>
      <c r="M2639" s="8">
        <f>L2639*G2639</f>
        <v/>
      </c>
      <c r="P2639" s="9" t="n"/>
    </row>
    <row r="2640">
      <c r="A2640" s="13" t="inlineStr">
        <is>
          <t>Scion of Halaster / Rebento de Halaster</t>
        </is>
      </c>
      <c r="B2640" s="13" t="inlineStr">
        <is>
          <t>Legendary Enchantment — Background / Encantamento Lendário — Antecedente</t>
        </is>
      </c>
      <c r="C2640" s="13" t="inlineStr">
        <is>
          <t>Common / Comum</t>
        </is>
      </c>
      <c r="D2640" s="13"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2640" s="13" t="inlineStr">
        <is>
          <t>{1}{B}</t>
        </is>
      </c>
      <c r="F2640" s="13" t="inlineStr">
        <is>
          <t>Preto</t>
        </is>
      </c>
      <c r="G2640" s="8" t="n">
        <v>0.04</v>
      </c>
      <c r="H2640" s="13" t="inlineStr">
        <is>
          <t>Commander Legends: Battle for Baldur's Gate (CLB)</t>
        </is>
      </c>
      <c r="I2640" s="13" t="inlineStr">
        <is>
          <t>Não</t>
        </is>
      </c>
      <c r="J2640" s="13" t="n">
        <v>2022</v>
      </c>
      <c r="L2640" s="13" t="n">
        <v>1</v>
      </c>
      <c r="M2640" s="8">
        <f>L2640*G2640</f>
        <v/>
      </c>
      <c r="P2640" s="9" t="n"/>
    </row>
    <row r="2641">
      <c r="A2641" s="13" t="inlineStr">
        <is>
          <t>Scolding Administrator / Administrador Repreensor</t>
        </is>
      </c>
      <c r="B2641" s="13" t="inlineStr">
        <is>
          <t>Criatura — Anão Clérigo</t>
        </is>
      </c>
      <c r="C2641" s="13" t="inlineStr">
        <is>
          <t>Incomum</t>
        </is>
      </c>
      <c r="D2641" s="13"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2641" s="13" t="inlineStr">
        <is>
          <t>{W}{B}</t>
        </is>
      </c>
      <c r="F2641" s="13" t="inlineStr">
        <is>
          <t>Multicolorido</t>
        </is>
      </c>
      <c r="G2641" s="8" t="n">
        <v>0.2</v>
      </c>
      <c r="H2641" s="13" t="inlineStr">
        <is>
          <t>Strixhaven: School of Mages (SOS)</t>
        </is>
      </c>
      <c r="I2641" s="13" t="inlineStr">
        <is>
          <t>Não</t>
        </is>
      </c>
      <c r="J2641" s="13" t="n">
        <v>2026</v>
      </c>
      <c r="K2641" s="10" t="n">
        <v>46055</v>
      </c>
      <c r="L2641" s="13" t="n">
        <v>1</v>
      </c>
      <c r="M2641" s="8">
        <f>L2641*G2641</f>
        <v/>
      </c>
      <c r="P2641" s="9" t="n"/>
    </row>
    <row r="2642">
      <c r="A2642" s="13" t="inlineStr">
        <is>
          <t>Scorching Dragonfire / Fogo Dracônico Escaldante</t>
        </is>
      </c>
      <c r="B2642" s="13" t="inlineStr">
        <is>
          <t>Instant / Mágica Instantânea</t>
        </is>
      </c>
      <c r="C2642" s="13" t="inlineStr">
        <is>
          <t>Common / Comum</t>
        </is>
      </c>
      <c r="D2642" s="13"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2642" s="13" t="inlineStr">
        <is>
          <t>{1}{R}</t>
        </is>
      </c>
      <c r="F2642" s="13" t="inlineStr">
        <is>
          <t>Vermelho</t>
        </is>
      </c>
      <c r="G2642" s="8" t="n">
        <v>0.06</v>
      </c>
      <c r="H2642" s="13" t="inlineStr">
        <is>
          <t>Throne of Eldraine (ELD)</t>
        </is>
      </c>
      <c r="I2642" s="13" t="inlineStr">
        <is>
          <t>Não</t>
        </is>
      </c>
      <c r="J2642" s="13" t="n">
        <v>2019</v>
      </c>
      <c r="L2642" s="13" t="n">
        <v>1</v>
      </c>
      <c r="M2642" s="8">
        <f>L2642*G2642</f>
        <v/>
      </c>
      <c r="P2642" s="9" t="n"/>
    </row>
    <row r="2643">
      <c r="A2643" s="13" t="inlineStr">
        <is>
          <t>Scorpion Sentinel / Sentinela Escorpião</t>
        </is>
      </c>
      <c r="B2643" s="13" t="inlineStr">
        <is>
          <t>Criatura Artefato — Robô Escorpião</t>
        </is>
      </c>
      <c r="C2643" s="13" t="inlineStr">
        <is>
          <t>Comum</t>
        </is>
      </c>
      <c r="D2643" s="13" t="inlineStr">
        <is>
          <t>Enquanto você controlar sete ou mais terrenos, esta criatura receberá +3/+0.</t>
        </is>
      </c>
      <c r="E2643" s="13" t="inlineStr">
        <is>
          <t>1{U}</t>
        </is>
      </c>
      <c r="F2643" s="13" t="inlineStr">
        <is>
          <t>Azul</t>
        </is>
      </c>
      <c r="G2643" s="8" t="n">
        <v>0.05</v>
      </c>
      <c r="H2643" s="13" t="inlineStr">
        <is>
          <t>Final Fantasy</t>
        </is>
      </c>
      <c r="I2643" s="13" t="inlineStr">
        <is>
          <t>Não</t>
        </is>
      </c>
      <c r="J2643" s="13" t="n">
        <v>2025</v>
      </c>
      <c r="K2643" s="10" t="n">
        <v>46113</v>
      </c>
      <c r="L2643" s="13" t="n">
        <v>5</v>
      </c>
      <c r="M2643" s="8">
        <f>L2643*G2643</f>
        <v/>
      </c>
      <c r="P2643" s="9" t="n"/>
    </row>
    <row r="2644">
      <c r="A2644" s="13" t="inlineStr">
        <is>
          <t>Scorpion Sentinel / Sentinela Escorpião</t>
        </is>
      </c>
      <c r="B2644" s="13" t="inlineStr">
        <is>
          <t>Criatura Artefato — Robô Escorpião</t>
        </is>
      </c>
      <c r="C2644" s="13" t="inlineStr">
        <is>
          <t>Comum</t>
        </is>
      </c>
      <c r="D2644" s="13" t="inlineStr">
        <is>
          <t>Enquanto você controlar sete ou mais terrenos, esta criatura receberá +3/+0.</t>
        </is>
      </c>
      <c r="E2644" s="13" t="inlineStr">
        <is>
          <t>1{U}</t>
        </is>
      </c>
      <c r="F2644" s="13" t="inlineStr">
        <is>
          <t>Azul</t>
        </is>
      </c>
      <c r="G2644" s="8" t="n">
        <v>0.24</v>
      </c>
      <c r="H2644" s="13" t="inlineStr">
        <is>
          <t>Final Fantasy</t>
        </is>
      </c>
      <c r="I2644" s="13" t="inlineStr">
        <is>
          <t>Sim</t>
        </is>
      </c>
      <c r="J2644" s="13" t="n">
        <v>2025</v>
      </c>
      <c r="K2644" s="10" t="n">
        <v>46113</v>
      </c>
      <c r="L2644" s="13" t="n">
        <v>1</v>
      </c>
      <c r="M2644" s="8">
        <f>L2644*G2644</f>
        <v/>
      </c>
      <c r="P2644" s="9" t="n"/>
    </row>
    <row r="2645">
      <c r="A2645" s="13" t="inlineStr">
        <is>
          <t>Scourge Devil / Diabo do Flagelo</t>
        </is>
      </c>
      <c r="B2645" s="13" t="inlineStr">
        <is>
          <t>Criatura — Diabo</t>
        </is>
      </c>
      <c r="C2645" s="13" t="inlineStr">
        <is>
          <t>Incomum</t>
        </is>
      </c>
      <c r="D2645" s="13"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2645" s="13" t="inlineStr">
        <is>
          <t>4R</t>
        </is>
      </c>
      <c r="F2645" s="13" t="inlineStr">
        <is>
          <t>Vermelho</t>
        </is>
      </c>
      <c r="G2645" s="8" t="n">
        <v>0.09</v>
      </c>
      <c r="H2645" s="13" t="inlineStr">
        <is>
          <t>Duel Decks: Speed vs. Cunning</t>
        </is>
      </c>
      <c r="I2645" s="13" t="inlineStr">
        <is>
          <t>Não</t>
        </is>
      </c>
      <c r="J2645" s="13" t="n">
        <v>2014</v>
      </c>
      <c r="K2645" s="10" t="n">
        <v>46084</v>
      </c>
      <c r="L2645" s="13" t="n">
        <v>1</v>
      </c>
      <c r="M2645" s="8">
        <f>L2645*G2645</f>
        <v/>
      </c>
      <c r="P2645" s="9" t="n"/>
    </row>
    <row r="2646">
      <c r="A2646" s="13" t="inlineStr">
        <is>
          <t>Scout the Borders / Explorar as Fronteiras</t>
        </is>
      </c>
      <c r="B2646" s="13" t="inlineStr">
        <is>
          <t>Sorcery / Feitiço</t>
        </is>
      </c>
      <c r="C2646" s="13" t="inlineStr">
        <is>
          <t>Common / Comum</t>
        </is>
      </c>
      <c r="D2646" s="13"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2646" s="13" t="inlineStr">
        <is>
          <t>{2}{G}</t>
        </is>
      </c>
      <c r="F2646" s="13" t="inlineStr">
        <is>
          <t>Verde</t>
        </is>
      </c>
      <c r="G2646" s="8" t="n">
        <v>0.05</v>
      </c>
      <c r="H2646" s="13" t="inlineStr">
        <is>
          <t>Khans of Tarkir (KTK)</t>
        </is>
      </c>
      <c r="I2646" s="13" t="inlineStr">
        <is>
          <t>Não</t>
        </is>
      </c>
      <c r="J2646" s="13" t="n">
        <v>2014</v>
      </c>
      <c r="L2646" s="13" t="n">
        <v>1</v>
      </c>
      <c r="M2646" s="8">
        <f>L2646*G2646</f>
        <v/>
      </c>
      <c r="P2646" s="9" t="n"/>
    </row>
    <row r="2647">
      <c r="A2647" s="13" t="inlineStr">
        <is>
          <t>Scrabbling Claws / Garras Esmiuçadoras</t>
        </is>
      </c>
      <c r="B2647" s="13" t="inlineStr">
        <is>
          <t>Artifact / Artefato</t>
        </is>
      </c>
      <c r="C2647" s="13" t="inlineStr">
        <is>
          <t>Uncommon / Incomum</t>
        </is>
      </c>
      <c r="D2647" s="13"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2647" s="13" t="inlineStr">
        <is>
          <t>{1}</t>
        </is>
      </c>
      <c r="F2647" s="13" t="inlineStr">
        <is>
          <t>Incolor</t>
        </is>
      </c>
      <c r="G2647" s="8" t="n">
        <v>0.06</v>
      </c>
      <c r="H2647" s="13" t="inlineStr">
        <is>
          <t>Ravnica Allegiance (RNA)</t>
        </is>
      </c>
      <c r="I2647" s="13" t="inlineStr">
        <is>
          <t>Não</t>
        </is>
      </c>
      <c r="J2647" s="13" t="n">
        <v>2019</v>
      </c>
      <c r="L2647" s="13" t="n">
        <v>1</v>
      </c>
      <c r="M2647" s="8">
        <f>L2647*G2647</f>
        <v/>
      </c>
      <c r="P2647" s="9" t="n"/>
    </row>
    <row r="2648">
      <c r="A2648" s="13" t="inlineStr">
        <is>
          <t>Screeching Skaab / Skaab Guinchante</t>
        </is>
      </c>
      <c r="B2648" s="13" t="inlineStr">
        <is>
          <t>Creature — Zombie / Criatura — Zumbi</t>
        </is>
      </c>
      <c r="C2648" s="13" t="inlineStr">
        <is>
          <t>Common / Comum</t>
        </is>
      </c>
      <c r="D2648" s="13" t="inlineStr">
        <is>
          <t>When this creature enters, mill two cards. / Quando Skaab Guinchante entrar no campo de batalha, coloque os dois cards do topo de seu grimório em seu cemitério.</t>
        </is>
      </c>
      <c r="E2648" s="13" t="inlineStr">
        <is>
          <t>{1}{U}</t>
        </is>
      </c>
      <c r="F2648" s="13" t="inlineStr">
        <is>
          <t>Azul</t>
        </is>
      </c>
      <c r="G2648" s="8" t="n">
        <v>0.05</v>
      </c>
      <c r="H2648" s="13" t="inlineStr">
        <is>
          <t>Dark Ascension (DKA)</t>
        </is>
      </c>
      <c r="I2648" s="13" t="inlineStr">
        <is>
          <t>Não</t>
        </is>
      </c>
      <c r="J2648" s="13" t="n">
        <v>2012</v>
      </c>
      <c r="K2648" s="10" t="n">
        <v>46024</v>
      </c>
      <c r="L2648" s="13" t="n">
        <v>1</v>
      </c>
      <c r="M2648" s="8">
        <f>L2648*G2648</f>
        <v/>
      </c>
      <c r="P2648" s="9" t="n"/>
    </row>
    <row r="2649">
      <c r="A2649" s="13" t="inlineStr">
        <is>
          <t>Scrounging Bandar / Bandar Surrupiador</t>
        </is>
      </c>
      <c r="B2649" s="13" t="inlineStr">
        <is>
          <t>Creature — Cat Monkey / Criatura — Felino Macaco</t>
        </is>
      </c>
      <c r="C2649" s="13" t="inlineStr">
        <is>
          <t>Common / Comum</t>
        </is>
      </c>
      <c r="D2649" s="13"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2649" s="13" t="inlineStr">
        <is>
          <t>{1}{G}</t>
        </is>
      </c>
      <c r="F2649" s="13" t="inlineStr">
        <is>
          <t>Verde</t>
        </is>
      </c>
      <c r="G2649" s="8" t="n">
        <v>0.05</v>
      </c>
      <c r="H2649" s="13" t="inlineStr">
        <is>
          <t>Commander Legends (CMR)</t>
        </is>
      </c>
      <c r="I2649" s="13" t="inlineStr">
        <is>
          <t>Não</t>
        </is>
      </c>
      <c r="J2649" s="13" t="n">
        <v>2020</v>
      </c>
      <c r="K2649" s="13" t="inlineStr">
        <is>
          <t>0/0</t>
        </is>
      </c>
      <c r="L2649" s="13" t="n">
        <v>1</v>
      </c>
      <c r="M2649" s="8">
        <f>L2649*G2649</f>
        <v/>
      </c>
      <c r="P2649" s="9" t="n"/>
    </row>
    <row r="2650">
      <c r="A2650" s="13" t="inlineStr">
        <is>
          <t>Scrounging Skyray</t>
        </is>
      </c>
      <c r="B2650" s="13" t="inlineStr">
        <is>
          <t>Creature — Fish Pirate</t>
        </is>
      </c>
      <c r="C2650" s="13" t="inlineStr">
        <is>
          <t>Uncommon / Incomum</t>
        </is>
      </c>
      <c r="D2650" s="13" t="inlineStr">
        <is>
          <t>Flying Whenever you discard one or more cards, put that many +1/+1 counters on this creature. Cycling {2} ({2}, Discard this card: Draw a card.)</t>
        </is>
      </c>
      <c r="E2650" s="13" t="inlineStr">
        <is>
          <t>{1}{U}</t>
        </is>
      </c>
      <c r="F2650" s="13" t="inlineStr">
        <is>
          <t>Azul</t>
        </is>
      </c>
      <c r="G2650" s="8" t="n">
        <v>0.25</v>
      </c>
      <c r="H2650" s="13" t="inlineStr">
        <is>
          <t>Aetherdrift (DFT)</t>
        </is>
      </c>
      <c r="I2650" s="13" t="inlineStr">
        <is>
          <t>Não</t>
        </is>
      </c>
      <c r="J2650" s="13" t="n">
        <v>2025</v>
      </c>
      <c r="K2650" s="10" t="n">
        <v>46054</v>
      </c>
      <c r="L2650" s="13" t="n">
        <v>1</v>
      </c>
      <c r="M2650" s="8">
        <f>L2650*G2650</f>
        <v/>
      </c>
      <c r="P2650" s="9" t="n"/>
    </row>
    <row r="2651">
      <c r="A2651" s="13" t="inlineStr">
        <is>
          <t>Scurry of Gremlins / Fuga dos Gremlins</t>
        </is>
      </c>
      <c r="B2651" s="13" t="inlineStr">
        <is>
          <t>Enchantment / Encantamento</t>
        </is>
      </c>
      <c r="C2651" s="13" t="inlineStr">
        <is>
          <t>Uncommon / Incomum</t>
        </is>
      </c>
      <c r="D2651" s="13"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2651" s="13" t="inlineStr">
        <is>
          <t>{2}{R}{W}</t>
        </is>
      </c>
      <c r="F2651" s="13" t="inlineStr">
        <is>
          <t>Vermelho, Branco</t>
        </is>
      </c>
      <c r="G2651" s="8" t="n">
        <v>0.06</v>
      </c>
      <c r="H2651" s="13" t="inlineStr">
        <is>
          <t>Modern Horizons 3 (MH3)</t>
        </is>
      </c>
      <c r="I2651" s="13" t="inlineStr">
        <is>
          <t>Não</t>
        </is>
      </c>
      <c r="J2651" s="13" t="n">
        <v>2024</v>
      </c>
      <c r="L2651" s="13" t="n">
        <v>1</v>
      </c>
      <c r="M2651" s="8">
        <f>L2651*G2651</f>
        <v/>
      </c>
      <c r="P2651" s="9" t="n"/>
    </row>
    <row r="2652">
      <c r="A2652" s="13" t="inlineStr">
        <is>
          <t>Scuttletide / Maré de Caranguejo</t>
        </is>
      </c>
      <c r="B2652" s="13" t="inlineStr">
        <is>
          <t>Enchantment / Encantamento</t>
        </is>
      </c>
      <c r="C2652" s="13" t="inlineStr">
        <is>
          <t>Uncommon / Incomum</t>
        </is>
      </c>
      <c r="D2652" s="13"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2652" s="13" t="inlineStr">
        <is>
          <t>{1}{U}</t>
        </is>
      </c>
      <c r="F2652" s="13" t="inlineStr">
        <is>
          <t>Azul</t>
        </is>
      </c>
      <c r="G2652" s="8" t="n">
        <v>0.1</v>
      </c>
      <c r="H2652" s="13" t="inlineStr">
        <is>
          <t>Modern Horizons 2 (MH2)</t>
        </is>
      </c>
      <c r="I2652" s="13" t="inlineStr">
        <is>
          <t>Não</t>
        </is>
      </c>
      <c r="J2652" s="13" t="n">
        <v>2021</v>
      </c>
      <c r="L2652" s="13" t="n">
        <v>1</v>
      </c>
      <c r="M2652" s="8">
        <f>L2652*G2652</f>
        <v/>
      </c>
      <c r="P2652" s="9" t="n"/>
    </row>
    <row r="2653">
      <c r="A2653" s="13" t="inlineStr">
        <is>
          <t>Scuttling Butler / Mordomo dos Passos Rápidos</t>
        </is>
      </c>
      <c r="B2653" s="13" t="inlineStr">
        <is>
          <t>Artifact Creature — Construct / Criatura Artefato — Constructo</t>
        </is>
      </c>
      <c r="C2653" s="13" t="inlineStr">
        <is>
          <t>Uncommon / Incomum</t>
        </is>
      </c>
      <c r="D2653" s="13"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2653" s="13" t="inlineStr">
        <is>
          <t>{3}</t>
        </is>
      </c>
      <c r="F2653" s="13" t="inlineStr">
        <is>
          <t>Incolor</t>
        </is>
      </c>
      <c r="G2653" s="8" t="n">
        <v>0.04</v>
      </c>
      <c r="H2653" s="13" t="inlineStr">
        <is>
          <t>Streets of New Capenna (SNC)</t>
        </is>
      </c>
      <c r="I2653" s="13" t="inlineStr">
        <is>
          <t>Não</t>
        </is>
      </c>
      <c r="J2653" s="13" t="n">
        <v>2022</v>
      </c>
      <c r="K2653" s="10" t="n">
        <v>46026</v>
      </c>
      <c r="L2653" s="13" t="n">
        <v>1</v>
      </c>
      <c r="M2653" s="8">
        <f>L2653*G2653</f>
        <v/>
      </c>
      <c r="P2653" s="9" t="n"/>
    </row>
    <row r="2654">
      <c r="A2654" s="13" t="inlineStr">
        <is>
          <t>Scythe Leopard</t>
        </is>
      </c>
      <c r="B2654" s="13" t="inlineStr">
        <is>
          <t>Creature — Cat</t>
        </is>
      </c>
      <c r="C2654" s="13" t="inlineStr">
        <is>
          <t>Common</t>
        </is>
      </c>
      <c r="D2654" s="13" t="inlineStr">
        <is>
          <t>Landfall — Whenever a land enters the battlefield under your control, Scythe Leopard gets +1/+1 until end of turn.</t>
        </is>
      </c>
      <c r="E2654" s="13" t="inlineStr">
        <is>
          <t>{G}</t>
        </is>
      </c>
      <c r="F2654" s="13" t="inlineStr">
        <is>
          <t>Verde</t>
        </is>
      </c>
      <c r="G2654" s="8" t="n">
        <v>0.23</v>
      </c>
      <c r="H2654" s="8" t="inlineStr">
        <is>
          <t>Battle for Zendikar (BFZ)</t>
        </is>
      </c>
      <c r="I2654" s="13" t="inlineStr">
        <is>
          <t>Sim</t>
        </is>
      </c>
      <c r="J2654" s="13" t="n">
        <v>2015</v>
      </c>
      <c r="K2654" s="10" t="n">
        <v>46023</v>
      </c>
      <c r="L2654" s="13" t="n">
        <v>1</v>
      </c>
      <c r="M2654" s="8">
        <f>L2654*G2654</f>
        <v/>
      </c>
      <c r="P2654" s="9" t="n"/>
    </row>
    <row r="2655">
      <c r="A2655" s="13" t="inlineStr">
        <is>
          <t>Sea Gate Wreckage / Escombros de Portão Marinho</t>
        </is>
      </c>
      <c r="B2655" s="13" t="inlineStr">
        <is>
          <t>Land / Terreno</t>
        </is>
      </c>
      <c r="C2655" s="13" t="inlineStr">
        <is>
          <t>Rare / Rara</t>
        </is>
      </c>
      <c r="D2655" s="13" t="inlineStr">
        <is>
          <t>{T}: Add {C}. ({C} represents colorless mana.) {2}{C}, {T}: Draw a card. Activate only if you have no cards in hand. / {T}: Adicione {C} à sua reserva de mana. ({C} representa mana incolor.) {2}{C}, {T}: Compre um card. Ative esta habilidade apenas se você não tiver nenhum card em sua mão.</t>
        </is>
      </c>
      <c r="F2655" s="13" t="inlineStr">
        <is>
          <t>Incolor</t>
        </is>
      </c>
      <c r="G2655" s="8" t="n">
        <v>0.3</v>
      </c>
      <c r="H2655" s="13" t="inlineStr">
        <is>
          <t>Oath of the Gatewatch (OGW)</t>
        </is>
      </c>
      <c r="I2655" s="13" t="inlineStr">
        <is>
          <t>Não</t>
        </is>
      </c>
      <c r="J2655" s="13" t="n">
        <v>2016</v>
      </c>
      <c r="L2655" s="13" t="n">
        <v>1</v>
      </c>
      <c r="M2655" s="8">
        <f>L2655*G2655</f>
        <v/>
      </c>
      <c r="P2655" s="9" t="n"/>
    </row>
    <row r="2656">
      <c r="A2656" s="13" t="inlineStr">
        <is>
          <t>Seal of Cleansing / Selo da Purificação</t>
        </is>
      </c>
      <c r="B2656" s="13" t="inlineStr">
        <is>
          <t>Enchantment</t>
        </is>
      </c>
      <c r="C2656" s="13" t="inlineStr">
        <is>
          <t>Common</t>
        </is>
      </c>
      <c r="D2656" s="13" t="inlineStr">
        <is>
          <t>Sacrifice Seal of Cleansing: Destroy target artifact or enchantment.</t>
        </is>
      </c>
      <c r="E2656" s="13" t="inlineStr">
        <is>
          <t>{1}{W}</t>
        </is>
      </c>
      <c r="F2656" s="13" t="inlineStr">
        <is>
          <t>White</t>
        </is>
      </c>
      <c r="G2656" s="8" t="n">
        <v>3.45</v>
      </c>
      <c r="H2656" s="13" t="inlineStr">
        <is>
          <t>Prophecy (PCY)</t>
        </is>
      </c>
      <c r="I2656" s="13" t="inlineStr">
        <is>
          <t>No</t>
        </is>
      </c>
      <c r="J2656" s="13" t="n">
        <v>2000</v>
      </c>
      <c r="L2656" s="13" t="n">
        <v>1</v>
      </c>
      <c r="M2656" s="8">
        <f>L2656*G2656</f>
        <v/>
      </c>
      <c r="P2656" s="9" t="n"/>
    </row>
    <row r="2657">
      <c r="A2657" s="13" t="inlineStr">
        <is>
          <t>Sear</t>
        </is>
      </c>
      <c r="B2657" s="13" t="inlineStr">
        <is>
          <t>Instant</t>
        </is>
      </c>
      <c r="C2657" s="13" t="inlineStr">
        <is>
          <t>Uncommon</t>
        </is>
      </c>
      <c r="D2657" s="13" t="inlineStr">
        <is>
          <t>Sear deals 4 damage to target creature or planeswalker.</t>
        </is>
      </c>
      <c r="E2657" s="13" t="inlineStr">
        <is>
          <t>{1}{R}</t>
        </is>
      </c>
      <c r="F2657" s="13" t="inlineStr">
        <is>
          <t>Vermelho</t>
        </is>
      </c>
      <c r="G2657" s="8" t="n">
        <v>0.34</v>
      </c>
      <c r="H2657" s="13" t="inlineStr">
        <is>
          <t>Lorwyn Eclipsed (ECL)</t>
        </is>
      </c>
      <c r="I2657" s="13" t="inlineStr">
        <is>
          <t>Não</t>
        </is>
      </c>
      <c r="J2657" s="13" t="n">
        <v>2026</v>
      </c>
      <c r="L2657" s="13" t="n">
        <v>2</v>
      </c>
      <c r="M2657" s="8">
        <f>L2657*G2657</f>
        <v/>
      </c>
      <c r="P2657" s="9" t="n"/>
    </row>
    <row r="2658">
      <c r="A2658" s="13" t="inlineStr">
        <is>
          <t>Searing Spear Askari / Askári da Lança Cauterizante</t>
        </is>
      </c>
      <c r="B2658" s="13" t="inlineStr">
        <is>
          <t>Creature - Human Knight</t>
        </is>
      </c>
      <c r="C2658" s="13" t="inlineStr">
        <is>
          <t>Common</t>
        </is>
      </c>
      <c r="D2658" s="13" t="inlineStr">
        <is>
          <t>Flanking (Whenever a creature without flanking is assigned to block this creature, the blocking creature gets -1/-1 until end of turn.) {1}{R}: Searing Spear Askari cannot be blocked by only one creature this turn.</t>
        </is>
      </c>
      <c r="E2658" s="13" t="inlineStr">
        <is>
          <t>{2}{R}</t>
        </is>
      </c>
      <c r="F2658" s="13" t="inlineStr">
        <is>
          <t>Vermelho</t>
        </is>
      </c>
      <c r="G2658" s="8" t="n">
        <v>0.05</v>
      </c>
      <c r="H2658" s="13" t="inlineStr">
        <is>
          <t>Miragem</t>
        </is>
      </c>
      <c r="I2658" s="13" t="inlineStr">
        <is>
          <t>Não</t>
        </is>
      </c>
      <c r="J2658" s="13" t="n">
        <v>1996</v>
      </c>
      <c r="K2658" s="10" t="n">
        <v>46055</v>
      </c>
      <c r="L2658" s="13" t="n">
        <v>1</v>
      </c>
      <c r="M2658" s="8">
        <f>L2658*G2658</f>
        <v/>
      </c>
      <c r="P2658" s="9" t="n"/>
    </row>
    <row r="2659">
      <c r="A2659" s="13" t="inlineStr">
        <is>
          <t>Season of Renewal / Temporada de Renovação</t>
        </is>
      </c>
      <c r="B2659" s="13" t="inlineStr">
        <is>
          <t>Instant / Mágica Instantânea</t>
        </is>
      </c>
      <c r="C2659" s="13" t="inlineStr">
        <is>
          <t>Common / Comum</t>
        </is>
      </c>
      <c r="D2659" s="13"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659" s="13" t="inlineStr">
        <is>
          <t>{2}{G}</t>
        </is>
      </c>
      <c r="F2659" s="13" t="inlineStr">
        <is>
          <t>Verde</t>
        </is>
      </c>
      <c r="G2659" s="8" t="n">
        <v>0.13</v>
      </c>
      <c r="H2659" s="13" t="inlineStr">
        <is>
          <t>Kamigawa: Neon Dynasty (NEO)</t>
        </is>
      </c>
      <c r="I2659" s="13" t="inlineStr">
        <is>
          <t>Não</t>
        </is>
      </c>
      <c r="J2659" s="13" t="n">
        <v>2022</v>
      </c>
      <c r="L2659" s="13" t="n">
        <v>1</v>
      </c>
      <c r="M2659" s="8">
        <f>L2659*G2659</f>
        <v/>
      </c>
      <c r="P2659" s="9" t="n"/>
    </row>
    <row r="2660">
      <c r="A2660" s="13" t="inlineStr">
        <is>
          <t>Sedge Scorpion / Escorpião de Grama</t>
        </is>
      </c>
      <c r="B2660" s="13" t="inlineStr">
        <is>
          <t>Creature — Scorpion / Criatura — Escorpião</t>
        </is>
      </c>
      <c r="C2660" s="13" t="inlineStr">
        <is>
          <t>Common / Comum</t>
        </is>
      </c>
      <c r="D2660" s="13" t="inlineStr">
        <is>
          <t>Deathtouch (Any amount of damage this deals to a creature is enough to destroy it.) / Toque mortífero (Qualquer quantidade de dano que esta criatura cause a uma criatura é suficiente para destruí-la.)</t>
        </is>
      </c>
      <c r="E2660" s="13" t="inlineStr">
        <is>
          <t>{G}</t>
        </is>
      </c>
      <c r="F2660" s="13" t="inlineStr">
        <is>
          <t>Verde</t>
        </is>
      </c>
      <c r="G2660" s="8" t="n">
        <v>0.06</v>
      </c>
      <c r="H2660" s="13" t="inlineStr">
        <is>
          <t>Theros (THS)</t>
        </is>
      </c>
      <c r="I2660" s="13" t="inlineStr">
        <is>
          <t>Não</t>
        </is>
      </c>
      <c r="J2660" s="13" t="n">
        <v>2013</v>
      </c>
      <c r="K2660" s="10" t="n">
        <v>46023</v>
      </c>
      <c r="L2660" s="13" t="n">
        <v>1</v>
      </c>
      <c r="M2660" s="8">
        <f>L2660*G2660</f>
        <v/>
      </c>
      <c r="P2660" s="9" t="n"/>
    </row>
    <row r="2661">
      <c r="A2661" s="13" t="inlineStr">
        <is>
          <t>Seedship Broodtender / Cuidador da Ninhada da Nave Semente</t>
        </is>
      </c>
      <c r="B2661" s="13" t="inlineStr">
        <is>
          <t>Criatura — Inseto Cidadão</t>
        </is>
      </c>
      <c r="C2661" s="13" t="inlineStr">
        <is>
          <t>Incomum</t>
        </is>
      </c>
      <c r="D2661" s="13"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2661" s="13" t="inlineStr">
        <is>
          <t>{B}{G}</t>
        </is>
      </c>
      <c r="F2661" s="13" t="inlineStr">
        <is>
          <t>Multicolorido</t>
        </is>
      </c>
      <c r="G2661" s="8" t="n">
        <v>0.21</v>
      </c>
      <c r="H2661" s="13" t="inlineStr">
        <is>
          <t>Edge of Eternity</t>
        </is>
      </c>
      <c r="I2661" s="13" t="inlineStr">
        <is>
          <t>Não</t>
        </is>
      </c>
      <c r="J2661" s="13" t="n">
        <v>2025</v>
      </c>
      <c r="K2661" s="10" t="n">
        <v>46083</v>
      </c>
      <c r="L2661" s="13" t="n">
        <v>1</v>
      </c>
      <c r="M2661" s="8">
        <f>L2661*G2661</f>
        <v/>
      </c>
      <c r="P2661" s="9" t="n"/>
    </row>
    <row r="2662">
      <c r="A2662" s="13" t="inlineStr">
        <is>
          <t>Seek the Horizon / Procurar o Horizonte</t>
        </is>
      </c>
      <c r="B2662" s="13" t="inlineStr">
        <is>
          <t>Sorcery / Feitiço</t>
        </is>
      </c>
      <c r="C2662" s="13" t="inlineStr">
        <is>
          <t>Uncommon / Incomum</t>
        </is>
      </c>
      <c r="D2662" s="13" t="inlineStr">
        <is>
          <t>Search your library for up to three basic land cards, reveal them, put them into your hand, then shuffle. / Procure em seu grimório até três cards de terreno básico, revele-os e coloque-os em sua mão. Depois, embaralhe seu grimório.</t>
        </is>
      </c>
      <c r="E2662" s="13" t="inlineStr">
        <is>
          <t>{3}{G}</t>
        </is>
      </c>
      <c r="F2662" s="13" t="inlineStr">
        <is>
          <t>Verde</t>
        </is>
      </c>
      <c r="G2662" s="8" t="n">
        <v>0.05</v>
      </c>
      <c r="H2662" s="13" t="inlineStr">
        <is>
          <t>Khans of Tarkir (KTK)</t>
        </is>
      </c>
      <c r="I2662" s="13" t="inlineStr">
        <is>
          <t>Não</t>
        </is>
      </c>
      <c r="J2662" s="13" t="n">
        <v>2014</v>
      </c>
      <c r="L2662" s="13" t="n">
        <v>1</v>
      </c>
      <c r="M2662" s="8">
        <f>L2662*G2662</f>
        <v/>
      </c>
      <c r="N2662" s="13" t="inlineStr">
        <is>
          <t>Bulk Shopee</t>
        </is>
      </c>
      <c r="P2662" s="9" t="n"/>
    </row>
    <row r="2663">
      <c r="A2663" s="13" t="inlineStr">
        <is>
          <t>Seeker / Buscador</t>
        </is>
      </c>
      <c r="B2663" s="13" t="inlineStr">
        <is>
          <t>Enchant Creature</t>
        </is>
      </c>
      <c r="C2663" s="13" t="inlineStr">
        <is>
          <t>Comum</t>
        </is>
      </c>
      <c r="D2663" s="13" t="inlineStr">
        <is>
          <t>Target creature cannot be blocked except by white creatures and artifact creatures.</t>
        </is>
      </c>
      <c r="E2663" s="13" t="inlineStr">
        <is>
          <t>{2}{W}{W}</t>
        </is>
      </c>
      <c r="F2663" s="13" t="inlineStr">
        <is>
          <t>Branco</t>
        </is>
      </c>
      <c r="G2663" s="8" t="n">
        <v>0.05</v>
      </c>
      <c r="H2663" s="13" t="inlineStr">
        <is>
          <t>Fourth Edition (4ED)</t>
        </is>
      </c>
      <c r="I2663" s="13" t="inlineStr">
        <is>
          <t>Não</t>
        </is>
      </c>
      <c r="J2663" s="13" t="n">
        <v>1995</v>
      </c>
      <c r="L2663" s="13" t="n">
        <v>2</v>
      </c>
      <c r="M2663" s="8">
        <f>L2663*G2663</f>
        <v/>
      </c>
      <c r="P2663" s="9" t="n"/>
    </row>
    <row r="2664">
      <c r="A2664" s="13" t="inlineStr">
        <is>
          <t>Seeker / Explorador</t>
        </is>
      </c>
      <c r="B2664" s="13" t="inlineStr">
        <is>
          <t>Enchantment — Aura</t>
        </is>
      </c>
      <c r="C2664" s="13" t="inlineStr">
        <is>
          <t>Common / Comum</t>
        </is>
      </c>
      <c r="D2664" s="13" t="inlineStr">
        <is>
          <t>Enchant creature Enchanted creature can't be blocked except by artifact creatures and/or white creatures.</t>
        </is>
      </c>
      <c r="E2664" s="13" t="inlineStr">
        <is>
          <t>{2}{W}{W}</t>
        </is>
      </c>
      <c r="F2664" s="13" t="inlineStr">
        <is>
          <t>Branco</t>
        </is>
      </c>
      <c r="G2664" s="8" t="n">
        <v>0.05</v>
      </c>
      <c r="H2664" s="13" t="inlineStr">
        <is>
          <t>Fourth Edition</t>
        </is>
      </c>
      <c r="I2664" s="13" t="inlineStr">
        <is>
          <t>Não</t>
        </is>
      </c>
      <c r="J2664" s="13" t="n">
        <v>1995</v>
      </c>
      <c r="L2664" s="13" t="n">
        <v>2</v>
      </c>
      <c r="M2664" s="8">
        <f>L2664*G2664</f>
        <v/>
      </c>
      <c r="P2664" s="9" t="n"/>
    </row>
    <row r="2665">
      <c r="A2665" s="13" t="inlineStr">
        <is>
          <t>Seeker / Explorador</t>
        </is>
      </c>
      <c r="B2665" s="13" t="inlineStr">
        <is>
          <t>Enchantment — Aura</t>
        </is>
      </c>
      <c r="C2665" s="13" t="inlineStr">
        <is>
          <t>Common / Comum</t>
        </is>
      </c>
      <c r="D2665" s="13" t="inlineStr">
        <is>
          <t>Enchant creature Enchanted creature can't be blocked except by artifact creatures and/or white creatures.</t>
        </is>
      </c>
      <c r="E2665" s="13" t="inlineStr">
        <is>
          <t>{2}{W}{W}</t>
        </is>
      </c>
      <c r="F2665" s="13" t="inlineStr">
        <is>
          <t>Branco</t>
        </is>
      </c>
      <c r="G2665" s="8" t="n">
        <v>0.15</v>
      </c>
      <c r="H2665" s="13" t="inlineStr">
        <is>
          <t>Fourth Edition (BB)</t>
        </is>
      </c>
      <c r="I2665" s="13" t="inlineStr">
        <is>
          <t>Não</t>
        </is>
      </c>
      <c r="J2665" s="13" t="n">
        <v>1995</v>
      </c>
      <c r="L2665" s="13" t="n">
        <v>3</v>
      </c>
      <c r="M2665" s="8">
        <f>L2665*G2665</f>
        <v/>
      </c>
      <c r="P2665" s="9" t="n"/>
    </row>
    <row r="2666">
      <c r="A2666" s="13" t="inlineStr">
        <is>
          <t>Seismic Rupture / Ruptura Sísmica</t>
        </is>
      </c>
      <c r="B2666" s="13" t="inlineStr">
        <is>
          <t>Sorcery / Feitiço</t>
        </is>
      </c>
      <c r="C2666" s="13" t="inlineStr">
        <is>
          <t>Uncommon / Incomum</t>
        </is>
      </c>
      <c r="D2666" s="13" t="inlineStr">
        <is>
          <t>Seismic Rupture deals 2 damage to each creature without flying. / Ruptura Sísmica causa 2 pontos de dano a cada criatura sem voar.</t>
        </is>
      </c>
      <c r="E2666" s="13" t="inlineStr">
        <is>
          <t>{2}{R}</t>
        </is>
      </c>
      <c r="F2666" s="13" t="inlineStr">
        <is>
          <t>Vermelho</t>
        </is>
      </c>
      <c r="G2666" s="8" t="n">
        <v>0.06</v>
      </c>
      <c r="H2666" s="13" t="inlineStr">
        <is>
          <t>Dragons of Tarkir (DTK)</t>
        </is>
      </c>
      <c r="I2666" s="13" t="inlineStr">
        <is>
          <t>Não</t>
        </is>
      </c>
      <c r="J2666" s="13" t="n">
        <v>2015</v>
      </c>
      <c r="L2666" s="13" t="n">
        <v>1</v>
      </c>
      <c r="M2666" s="8">
        <f>L2666*G2666</f>
        <v/>
      </c>
      <c r="N2666" s="13" t="inlineStr">
        <is>
          <t>Bulk Shopee</t>
        </is>
      </c>
      <c r="P2666" s="9" t="n"/>
    </row>
    <row r="2667">
      <c r="A2667" s="13" t="inlineStr">
        <is>
          <t>Seismic Rupture / Ruptura Sísmica</t>
        </is>
      </c>
      <c r="B2667" s="13" t="inlineStr">
        <is>
          <t>Sorcery / Feitiço</t>
        </is>
      </c>
      <c r="C2667" s="13" t="inlineStr">
        <is>
          <t>Uncommon / Incomum</t>
        </is>
      </c>
      <c r="D2667" s="13" t="inlineStr">
        <is>
          <t>Seismic Rupture deals 2 damage to each creature without flying. / Ruptura Sísmica causa 2 pontos de dano a cada criatura sem voar.</t>
        </is>
      </c>
      <c r="E2667" s="13" t="inlineStr">
        <is>
          <t>{2}{R}</t>
        </is>
      </c>
      <c r="F2667" s="13" t="inlineStr">
        <is>
          <t>Vermelho</t>
        </is>
      </c>
      <c r="G2667" s="8" t="n">
        <v>0.05</v>
      </c>
      <c r="H2667" s="13" t="inlineStr">
        <is>
          <t>Foundations (FDN)</t>
        </is>
      </c>
      <c r="I2667" s="13" t="inlineStr">
        <is>
          <t>Não</t>
        </is>
      </c>
      <c r="J2667" s="13" t="n">
        <v>2024</v>
      </c>
      <c r="L2667" s="13" t="n">
        <v>1</v>
      </c>
      <c r="M2667" s="8">
        <f>L2667*G2667</f>
        <v/>
      </c>
      <c r="P2667" s="9" t="n"/>
    </row>
    <row r="2668">
      <c r="A2668" s="13" t="inlineStr">
        <is>
          <t>Seismic Sense</t>
        </is>
      </c>
      <c r="B2668" s="13" t="inlineStr">
        <is>
          <t>Sorcery — Lesson</t>
        </is>
      </c>
      <c r="C2668" s="13" t="inlineStr">
        <is>
          <t>Uncommon / Incomum</t>
        </is>
      </c>
      <c r="D2668" s="13" t="inlineStr">
        <is>
          <t>Look at the top X cards of your library, where X is the number of lands you control. You may reveal a creature or land card from among them and put it into your hand. Put the rest on the bottom of your library in a random order.</t>
        </is>
      </c>
      <c r="E2668" s="13" t="inlineStr">
        <is>
          <t>{G}</t>
        </is>
      </c>
      <c r="F2668" s="13" t="inlineStr">
        <is>
          <t>Verde</t>
        </is>
      </c>
      <c r="G2668" s="8" t="n">
        <v>0.2</v>
      </c>
      <c r="H2668" s="13" t="inlineStr">
        <is>
          <t>Avatar: The Last Airbender (TLA)</t>
        </is>
      </c>
      <c r="I2668" s="13" t="inlineStr">
        <is>
          <t>Não</t>
        </is>
      </c>
      <c r="J2668" s="13" t="n">
        <v>2025</v>
      </c>
      <c r="L2668" s="13" t="n">
        <v>1</v>
      </c>
      <c r="M2668" s="8">
        <f>L2668*G2668</f>
        <v/>
      </c>
      <c r="P2668" s="9" t="n"/>
    </row>
    <row r="2669">
      <c r="A2669" s="13" t="inlineStr">
        <is>
          <t>Seize the Spoils / Aproveitar os Espólios</t>
        </is>
      </c>
      <c r="B2669" s="13" t="inlineStr">
        <is>
          <t>Sorcery / Feitiço</t>
        </is>
      </c>
      <c r="C2669" s="13" t="inlineStr">
        <is>
          <t>Common / Comum</t>
        </is>
      </c>
      <c r="D2669" s="13"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2669" s="13" t="inlineStr">
        <is>
          <t>{2}{R}</t>
        </is>
      </c>
      <c r="F2669" s="13" t="inlineStr">
        <is>
          <t>Vermelho</t>
        </is>
      </c>
      <c r="G2669" s="8" t="n">
        <v>0.06</v>
      </c>
      <c r="H2669" s="13" t="inlineStr">
        <is>
          <t>Shadows of Sothia (SOS)</t>
        </is>
      </c>
      <c r="I2669" s="13" t="inlineStr">
        <is>
          <t>No</t>
        </is>
      </c>
      <c r="J2669" s="13" t="n">
        <v>2026</v>
      </c>
      <c r="L2669" s="13" t="n">
        <v>1</v>
      </c>
      <c r="M2669" s="8">
        <f>L2669*G2669</f>
        <v/>
      </c>
      <c r="P2669" s="9" t="n"/>
    </row>
    <row r="2670">
      <c r="A2670" s="13" t="inlineStr">
        <is>
          <t>Seize the Storm / Apreender a Tempestade</t>
        </is>
      </c>
      <c r="B2670" s="13" t="inlineStr">
        <is>
          <t>Sorcery / Feitiço</t>
        </is>
      </c>
      <c r="C2670" s="13" t="inlineStr">
        <is>
          <t>Common / Comum</t>
        </is>
      </c>
      <c r="D2670" s="13"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2670" s="13" t="inlineStr">
        <is>
          <t>{4}{R}</t>
        </is>
      </c>
      <c r="F2670" s="13" t="inlineStr">
        <is>
          <t>Vermelho</t>
        </is>
      </c>
      <c r="G2670" s="8" t="n">
        <v>0.1</v>
      </c>
      <c r="H2670" s="13" t="inlineStr">
        <is>
          <t>Innistrad Remastered (INR)</t>
        </is>
      </c>
      <c r="I2670" s="13" t="inlineStr">
        <is>
          <t>Não</t>
        </is>
      </c>
      <c r="J2670" s="13" t="n">
        <v>2025</v>
      </c>
      <c r="L2670" s="13" t="n">
        <v>1</v>
      </c>
      <c r="M2670" s="8">
        <f>L2670*G2670</f>
        <v/>
      </c>
      <c r="P2670" s="9" t="n"/>
    </row>
    <row r="2671">
      <c r="A2671" s="13" t="inlineStr">
        <is>
          <t>Seizures / Apoplexia</t>
        </is>
      </c>
      <c r="B2671" s="13" t="inlineStr">
        <is>
          <t>Enchantment — Aura</t>
        </is>
      </c>
      <c r="C2671" s="13" t="inlineStr">
        <is>
          <t>Common / Comum</t>
        </is>
      </c>
      <c r="D2671" s="13" t="inlineStr">
        <is>
          <t>Enchant creature Whenever enchanted creature becomes tapped, this Aura deals 3 damage to that creature's controller unless that player pays {3}.</t>
        </is>
      </c>
      <c r="E2671" s="13" t="inlineStr">
        <is>
          <t>{1}{B}</t>
        </is>
      </c>
      <c r="F2671" s="13" t="inlineStr">
        <is>
          <t>Preto</t>
        </is>
      </c>
      <c r="G2671" s="8" t="n">
        <v>0.05</v>
      </c>
      <c r="H2671" s="13" t="inlineStr">
        <is>
          <t>Ice Age (ICE)</t>
        </is>
      </c>
      <c r="I2671" s="13" t="inlineStr">
        <is>
          <t>Não</t>
        </is>
      </c>
      <c r="J2671" s="13" t="n">
        <v>1995</v>
      </c>
      <c r="L2671" s="13" t="n">
        <v>3</v>
      </c>
      <c r="M2671" s="8">
        <f>L2671*G2671</f>
        <v/>
      </c>
      <c r="P2671" s="9" t="n"/>
    </row>
    <row r="2672">
      <c r="A2672" s="13" t="inlineStr">
        <is>
          <t>Sejiri Steppe / Estepe de Sejiri</t>
        </is>
      </c>
      <c r="B2672" s="13" t="inlineStr">
        <is>
          <t>Land / Terreno</t>
        </is>
      </c>
      <c r="C2672" s="13" t="inlineStr">
        <is>
          <t>Common / Comum</t>
        </is>
      </c>
      <c r="D2672" s="13"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2672" s="13" t="inlineStr">
        <is>
          <t>Branco</t>
        </is>
      </c>
      <c r="G2672" s="8" t="n">
        <v>0.3</v>
      </c>
      <c r="H2672" s="13" t="inlineStr">
        <is>
          <t>Worldwake (WWK)</t>
        </is>
      </c>
      <c r="I2672" s="13" t="inlineStr">
        <is>
          <t>Não</t>
        </is>
      </c>
      <c r="J2672" s="13" t="n">
        <v>2010</v>
      </c>
      <c r="L2672" s="13" t="n">
        <v>2</v>
      </c>
      <c r="M2672" s="8">
        <f>L2672*G2672</f>
        <v/>
      </c>
      <c r="P2672" s="9" t="n"/>
    </row>
    <row r="2673">
      <c r="A2673" s="13" t="inlineStr">
        <is>
          <t>Self-Destruct / Autodestruição</t>
        </is>
      </c>
      <c r="B2673" s="13" t="inlineStr">
        <is>
          <t>Mágica Instantânea</t>
        </is>
      </c>
      <c r="C2673" s="13" t="inlineStr">
        <is>
          <t>Incomum</t>
        </is>
      </c>
      <c r="D2673" s="13" t="inlineStr">
        <is>
          <t>A criatura alvo que você controla causa X de dano a qualquer outro alvo e X de dano a si mesma, onde X é o poder dela.</t>
        </is>
      </c>
      <c r="E2673" s="13" t="inlineStr">
        <is>
          <t>1R</t>
        </is>
      </c>
      <c r="F2673" s="13" t="inlineStr">
        <is>
          <t>Vermelho</t>
        </is>
      </c>
      <c r="G2673" s="8" t="n">
        <v>0.5</v>
      </c>
      <c r="H2673" s="13" t="inlineStr">
        <is>
          <t>Final Fantasy</t>
        </is>
      </c>
      <c r="I2673" s="13" t="inlineStr">
        <is>
          <t>Não</t>
        </is>
      </c>
      <c r="J2673" s="13" t="n">
        <v>2025</v>
      </c>
      <c r="L2673" s="13" t="n">
        <v>2</v>
      </c>
      <c r="M2673" s="8">
        <f>L2673*G2673</f>
        <v/>
      </c>
      <c r="P2673" s="9" t="n"/>
    </row>
    <row r="2674">
      <c r="A2674" s="13" t="inlineStr">
        <is>
          <t>Self-Reflection / Autorreflexão</t>
        </is>
      </c>
      <c r="B2674" s="13" t="inlineStr">
        <is>
          <t>Sorcery / Feitiço</t>
        </is>
      </c>
      <c r="C2674" s="13" t="inlineStr">
        <is>
          <t>Uncommon / Incomum</t>
        </is>
      </c>
      <c r="D2674" s="13"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2674" s="13" t="inlineStr">
        <is>
          <t>{4}{U}{U}</t>
        </is>
      </c>
      <c r="F2674" s="13" t="inlineStr">
        <is>
          <t>Azul</t>
        </is>
      </c>
      <c r="G2674" s="8" t="n">
        <v>0.1</v>
      </c>
      <c r="H2674" s="13" t="inlineStr">
        <is>
          <t>Foundations (FDN)</t>
        </is>
      </c>
      <c r="I2674" s="13" t="inlineStr">
        <is>
          <t>Não</t>
        </is>
      </c>
      <c r="J2674" s="13" t="n">
        <v>2024</v>
      </c>
      <c r="L2674" s="13" t="n">
        <v>4</v>
      </c>
      <c r="M2674" s="8">
        <f>L2674*G2674</f>
        <v/>
      </c>
      <c r="P2674" s="9" t="n"/>
    </row>
    <row r="2675">
      <c r="A2675" s="13" t="inlineStr">
        <is>
          <t>Sengir Bats / Morcegos de Sengir</t>
        </is>
      </c>
      <c r="B2675" s="13" t="inlineStr">
        <is>
          <t>Creature — Bat</t>
        </is>
      </c>
      <c r="C2675" s="13" t="inlineStr">
        <is>
          <t>Common / Comum</t>
        </is>
      </c>
      <c r="D2675" s="13" t="inlineStr">
        <is>
          <t>Flying Whenever a creature dealt damage by this creature this turn dies, put a +1/+1 counter on this creature.</t>
        </is>
      </c>
      <c r="E2675" s="13" t="inlineStr">
        <is>
          <t>{1}{B}{B}</t>
        </is>
      </c>
      <c r="F2675" s="13" t="inlineStr">
        <is>
          <t>Preto</t>
        </is>
      </c>
      <c r="G2675" s="8" t="n">
        <v>0.08</v>
      </c>
      <c r="H2675" s="13" t="inlineStr">
        <is>
          <t>Homelands (HML)</t>
        </is>
      </c>
      <c r="I2675" s="13" t="inlineStr">
        <is>
          <t>Não</t>
        </is>
      </c>
      <c r="J2675" s="13" t="n">
        <v>1995</v>
      </c>
      <c r="K2675" s="10" t="n">
        <v>46054</v>
      </c>
      <c r="L2675" s="13" t="n">
        <v>2</v>
      </c>
      <c r="M2675" s="8">
        <f>L2675*G2675</f>
        <v/>
      </c>
      <c r="P2675" s="9" t="n"/>
    </row>
    <row r="2676">
      <c r="A2676" s="13" t="inlineStr">
        <is>
          <t>Sengir Vampire / Vampiro de Sengir</t>
        </is>
      </c>
      <c r="B2676" s="13" t="inlineStr">
        <is>
          <t>Creature — Vampire / Criatura — Vampiro</t>
        </is>
      </c>
      <c r="C2676" s="13" t="inlineStr">
        <is>
          <t>Uncommon / Incomum</t>
        </is>
      </c>
      <c r="D2676" s="13"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676" s="13" t="inlineStr">
        <is>
          <t>{3}{B}{B}</t>
        </is>
      </c>
      <c r="F2676" s="13" t="inlineStr">
        <is>
          <t>Preto</t>
        </is>
      </c>
      <c r="G2676" s="8" t="n">
        <v>0.5</v>
      </c>
      <c r="H2676" s="13" t="inlineStr">
        <is>
          <t>Quarta Edição</t>
        </is>
      </c>
      <c r="I2676" s="13" t="inlineStr">
        <is>
          <t>Não</t>
        </is>
      </c>
      <c r="J2676" s="13" t="n">
        <v>1995</v>
      </c>
      <c r="K2676" s="10" t="n">
        <v>46116</v>
      </c>
      <c r="L2676" s="13" t="n">
        <v>1</v>
      </c>
      <c r="M2676" s="8">
        <f>L2676*G2676</f>
        <v/>
      </c>
      <c r="P2676" s="9" t="n"/>
    </row>
    <row r="2677">
      <c r="A2677" s="13" t="inlineStr">
        <is>
          <t>Sentinel of the Nameless City / Sentinela da Cidade Sem Nome</t>
        </is>
      </c>
      <c r="B2677" s="13" t="inlineStr">
        <is>
          <t>Creature — Merfolk Warrior Scout / Criatura — Tritão Guerreiro Batedor</t>
        </is>
      </c>
      <c r="C2677" s="13" t="inlineStr">
        <is>
          <t>Rare / Rara</t>
        </is>
      </c>
      <c r="D2677" s="13"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2677" s="13" t="inlineStr">
        <is>
          <t>{2}{G}</t>
        </is>
      </c>
      <c r="F2677" s="13" t="inlineStr">
        <is>
          <t>Verde</t>
        </is>
      </c>
      <c r="G2677" s="8" t="n">
        <v>3.9</v>
      </c>
      <c r="H2677" s="13" t="inlineStr">
        <is>
          <t>The Lost Caverns of Ixalan (LCI)</t>
        </is>
      </c>
      <c r="I2677" s="13" t="inlineStr">
        <is>
          <t>Não</t>
        </is>
      </c>
      <c r="J2677" s="13" t="n">
        <v>2023</v>
      </c>
      <c r="K2677" s="10" t="n">
        <v>46115</v>
      </c>
      <c r="L2677" s="13" t="n">
        <v>1</v>
      </c>
      <c r="M2677" s="8">
        <f>L2677*G2677</f>
        <v/>
      </c>
      <c r="N2677" s="13" t="inlineStr">
        <is>
          <t>Pasta</t>
        </is>
      </c>
      <c r="P2677" s="9" t="n"/>
    </row>
    <row r="2678">
      <c r="A2678" s="13" t="inlineStr">
        <is>
          <t>Sentinel Spider / Aranha Sentinela</t>
        </is>
      </c>
      <c r="B2678" s="13" t="inlineStr">
        <is>
          <t>Creature — Spider / Criatura — Aranha</t>
        </is>
      </c>
      <c r="C2678" s="13" t="inlineStr">
        <is>
          <t>Common / Comum</t>
        </is>
      </c>
      <c r="D2678" s="13" t="inlineStr">
        <is>
          <t>Vigilance, reach / Vigilância (Esta criatura não é virada para atacar.) Alcance (Esta criatura pode bloquear criaturas com voar.)</t>
        </is>
      </c>
      <c r="E2678" s="13" t="inlineStr">
        <is>
          <t>{3}{G}{G}</t>
        </is>
      </c>
      <c r="F2678" s="13" t="inlineStr">
        <is>
          <t>Verde</t>
        </is>
      </c>
      <c r="G2678" s="8" t="n">
        <v>0.05</v>
      </c>
      <c r="H2678" s="13" t="inlineStr">
        <is>
          <t>Commander Legends (CMR)</t>
        </is>
      </c>
      <c r="I2678" s="13" t="inlineStr">
        <is>
          <t>Não</t>
        </is>
      </c>
      <c r="J2678" s="13" t="n">
        <v>2020</v>
      </c>
      <c r="K2678" s="10" t="n">
        <v>46116</v>
      </c>
      <c r="L2678" s="13" t="n">
        <v>2</v>
      </c>
      <c r="M2678" s="8">
        <f>L2678*G2678</f>
        <v/>
      </c>
      <c r="P2678" s="9" t="n"/>
    </row>
    <row r="2679">
      <c r="A2679" s="13" t="inlineStr">
        <is>
          <t>Sentinela Forjada em Ouro</t>
        </is>
      </c>
      <c r="B2679" s="13" t="inlineStr">
        <is>
          <t>Criatura Artefato — Quimera</t>
        </is>
      </c>
      <c r="C2679" s="13" t="inlineStr">
        <is>
          <t>Incomum</t>
        </is>
      </c>
      <c r="D2679" s="13" t="inlineStr">
        <is>
          <t>Voar</t>
        </is>
      </c>
      <c r="E2679" s="13" t="n">
        <v>6</v>
      </c>
      <c r="F2679" s="13" t="inlineStr">
        <is>
          <t>Incolor</t>
        </is>
      </c>
      <c r="G2679" s="8" t="n">
        <v>0.05</v>
      </c>
      <c r="H2679" s="13" t="inlineStr">
        <is>
          <t>Journey into Nyx</t>
        </is>
      </c>
      <c r="I2679" s="13" t="inlineStr">
        <is>
          <t>Não</t>
        </is>
      </c>
      <c r="J2679" s="13" t="n">
        <v>2014</v>
      </c>
      <c r="K2679" s="10" t="n">
        <v>46116</v>
      </c>
      <c r="L2679" s="13" t="n">
        <v>1</v>
      </c>
      <c r="M2679" s="8">
        <f>L2679*G2679</f>
        <v/>
      </c>
      <c r="P2679" s="9" t="n"/>
    </row>
    <row r="2680">
      <c r="A2680" s="13" t="inlineStr">
        <is>
          <t>Sentinela Selesnya / Selesnya Sentry</t>
        </is>
      </c>
      <c r="B2680" s="13" t="inlineStr">
        <is>
          <t>Criatura — Elefante Soldado / Creature — Elephant Soldier</t>
        </is>
      </c>
      <c r="C2680" s="13" t="inlineStr">
        <is>
          <t>Comum / Common</t>
        </is>
      </c>
      <c r="D2680" s="13" t="inlineStr">
        <is>
          <t>{5}{G}: Regenere Sentinela Selesnya. / {5}{G}: Regenerate Selesnya Sentry.</t>
        </is>
      </c>
      <c r="E2680" s="13" t="inlineStr">
        <is>
          <t>{2}{W}</t>
        </is>
      </c>
      <c r="F2680" s="13" t="inlineStr">
        <is>
          <t>Branco</t>
        </is>
      </c>
      <c r="G2680" s="8" t="n">
        <v>0.06</v>
      </c>
      <c r="H2680" s="13" t="inlineStr">
        <is>
          <t>Return to Ravnica (RTR)</t>
        </is>
      </c>
      <c r="I2680" s="13" t="inlineStr">
        <is>
          <t>Não</t>
        </is>
      </c>
      <c r="J2680" s="13" t="n">
        <v>2012</v>
      </c>
      <c r="K2680" s="10" t="n">
        <v>46056</v>
      </c>
      <c r="L2680" s="13" t="n">
        <v>1</v>
      </c>
      <c r="M2680" s="8">
        <f>L2680*G2680</f>
        <v/>
      </c>
      <c r="P2680" s="9" t="n"/>
    </row>
    <row r="2681">
      <c r="A2681" s="13" t="inlineStr">
        <is>
          <t>Sephiroth's Intervention / Intervenção de Sephiroth</t>
        </is>
      </c>
      <c r="B2681" s="13" t="inlineStr">
        <is>
          <t>Mágica Instantânea</t>
        </is>
      </c>
      <c r="C2681" s="13" t="inlineStr">
        <is>
          <t>Comum</t>
        </is>
      </c>
      <c r="D2681" s="13" t="inlineStr">
        <is>
          <t>Destrua a criatura alvo. Você ganha 2 de vida.</t>
        </is>
      </c>
      <c r="E2681" s="13" t="inlineStr">
        <is>
          <t>3{B}</t>
        </is>
      </c>
      <c r="F2681" s="13" t="inlineStr">
        <is>
          <t>Preto</t>
        </is>
      </c>
      <c r="G2681" s="8" t="n">
        <v>0.05</v>
      </c>
      <c r="H2681" s="13" t="inlineStr">
        <is>
          <t>Final Fantasy</t>
        </is>
      </c>
      <c r="I2681" s="13" t="inlineStr">
        <is>
          <t>Não</t>
        </is>
      </c>
      <c r="J2681" s="13" t="n">
        <v>2025</v>
      </c>
      <c r="L2681" s="13" t="n">
        <v>11</v>
      </c>
      <c r="M2681" s="8">
        <f>L2681*G2681</f>
        <v/>
      </c>
      <c r="P2681" s="9" t="n"/>
    </row>
    <row r="2682">
      <c r="A2682" s="13" t="inlineStr">
        <is>
          <t>Serpent of the Pass</t>
        </is>
      </c>
      <c r="B2682" s="13" t="inlineStr">
        <is>
          <t>Creature — Serpent</t>
        </is>
      </c>
      <c r="C2682" s="13" t="inlineStr">
        <is>
          <t>Uncommon / Incomum</t>
        </is>
      </c>
      <c r="D2682" s="13" t="inlineStr">
        <is>
          <t>If there are three or more Lesson cards in your graveyard, you may cast this spell as though it had flash. This spell costs {1} less to cast for each noncreature, nonland card in your graveyard.</t>
        </is>
      </c>
      <c r="E2682" s="13" t="inlineStr">
        <is>
          <t>{5}{U}{U}</t>
        </is>
      </c>
      <c r="F2682" s="13" t="inlineStr">
        <is>
          <t>Azul</t>
        </is>
      </c>
      <c r="G2682" s="8" t="n">
        <v>0.15</v>
      </c>
      <c r="H2682" s="13" t="inlineStr">
        <is>
          <t>Avatar: The Last Airbender (TLA)</t>
        </is>
      </c>
      <c r="I2682" s="13" t="inlineStr">
        <is>
          <t>Não</t>
        </is>
      </c>
      <c r="J2682" s="13" t="n">
        <v>2025</v>
      </c>
      <c r="K2682" s="10" t="n">
        <v>46148</v>
      </c>
      <c r="L2682" s="13" t="n">
        <v>1</v>
      </c>
      <c r="M2682" s="8">
        <f>L2682*G2682</f>
        <v/>
      </c>
      <c r="P2682" s="9" t="n"/>
    </row>
    <row r="2683">
      <c r="A2683" s="13" t="inlineStr">
        <is>
          <t>Serpent Specialist / Especialista em Serpentes</t>
        </is>
      </c>
      <c r="B2683" s="13" t="inlineStr">
        <is>
          <t>Criatura — Humano Cobra Vilão</t>
        </is>
      </c>
      <c r="C2683" s="13" t="inlineStr">
        <is>
          <t>Comum</t>
        </is>
      </c>
      <c r="D2683" s="13" t="inlineStr">
        <is>
          <t>Toque mortífero. Fortalecer — {3}{G}: Coloque dois marcadores +1/+1 nesta criatura. (Ative cada habilidade de fortalecer apenas uma vez. Reduza o custo em seu custo de mana se ela entrou neste turno.)</t>
        </is>
      </c>
      <c r="E2683" s="13" t="inlineStr">
        <is>
          <t>{G}</t>
        </is>
      </c>
      <c r="F2683" s="13" t="inlineStr">
        <is>
          <t>Verde</t>
        </is>
      </c>
      <c r="G2683" s="8" t="n">
        <v>0.13</v>
      </c>
      <c r="H2683" s="13" t="inlineStr">
        <is>
          <t>Marvel</t>
        </is>
      </c>
      <c r="I2683" s="13" t="inlineStr">
        <is>
          <t>Não</t>
        </is>
      </c>
      <c r="J2683" s="13" t="n">
        <v>2026</v>
      </c>
      <c r="K2683" s="10" t="n">
        <v>46023</v>
      </c>
      <c r="L2683" s="13" t="n">
        <v>1</v>
      </c>
      <c r="M2683" s="8">
        <f>L2683*G2683</f>
        <v/>
      </c>
      <c r="P2683" s="9" t="n"/>
    </row>
    <row r="2684">
      <c r="A2684" s="13" t="inlineStr">
        <is>
          <t>Serpentine Ambush / Emboscada Serpentina</t>
        </is>
      </c>
      <c r="B2684" s="13" t="inlineStr">
        <is>
          <t>Instant / Mágica Instantânea</t>
        </is>
      </c>
      <c r="C2684" s="13" t="inlineStr">
        <is>
          <t>Common / Comum</t>
        </is>
      </c>
      <c r="D2684" s="13" t="inlineStr">
        <is>
          <t>Until end of turn, target creature becomes a blue Serpent with base power and toughness 5/5. / Até o final do turno, a criatura alvo torna-se uma Serpente azul com poder e resistência básicos 5/5.</t>
        </is>
      </c>
      <c r="E2684" s="13" t="inlineStr">
        <is>
          <t>{1}{U}</t>
        </is>
      </c>
      <c r="F2684" s="13" t="inlineStr">
        <is>
          <t>Azul</t>
        </is>
      </c>
      <c r="G2684" s="8" t="n">
        <v>0.08</v>
      </c>
      <c r="H2684" s="13" t="inlineStr">
        <is>
          <t>Innistrad: Crimson Vow (VOW)</t>
        </is>
      </c>
      <c r="I2684" s="13" t="inlineStr">
        <is>
          <t>Não</t>
        </is>
      </c>
      <c r="J2684" s="13" t="n">
        <v>2021</v>
      </c>
      <c r="L2684" s="13" t="n">
        <v>3</v>
      </c>
      <c r="M2684" s="8">
        <f>L2684*G2684</f>
        <v/>
      </c>
      <c r="P2684" s="9" t="n"/>
    </row>
    <row r="2685">
      <c r="A2685" s="13" t="inlineStr">
        <is>
          <t>Serra's Blessing</t>
        </is>
      </c>
      <c r="B2685" s="13" t="inlineStr">
        <is>
          <t>Enchantment</t>
        </is>
      </c>
      <c r="C2685" s="13" t="inlineStr">
        <is>
          <t>Uncommon</t>
        </is>
      </c>
      <c r="D2685" s="13" t="inlineStr">
        <is>
          <t>Attacking doesn't cause creatures you control to tap.</t>
        </is>
      </c>
      <c r="E2685" s="13" t="inlineStr">
        <is>
          <t>{1}{W}</t>
        </is>
      </c>
      <c r="F2685" s="13" t="inlineStr">
        <is>
          <t>White</t>
        </is>
      </c>
      <c r="G2685" s="8" t="n">
        <v>2.38</v>
      </c>
      <c r="H2685" s="13" t="inlineStr">
        <is>
          <t>Classic Sixth Edition (6ED)</t>
        </is>
      </c>
      <c r="I2685" s="13" t="inlineStr">
        <is>
          <t>No</t>
        </is>
      </c>
      <c r="J2685" s="13" t="n">
        <v>1999</v>
      </c>
      <c r="L2685" s="13" t="n">
        <v>1</v>
      </c>
      <c r="M2685" s="8">
        <f>L2685*G2685</f>
        <v/>
      </c>
      <c r="P2685" s="9" t="n"/>
    </row>
    <row r="2686">
      <c r="A2686" s="13" t="inlineStr">
        <is>
          <t>Serrated Biskelion</t>
        </is>
      </c>
      <c r="B2686" s="13" t="inlineStr">
        <is>
          <t>Artifact Creature</t>
        </is>
      </c>
      <c r="C2686" s="13" t="inlineStr">
        <is>
          <t>Uncommon</t>
        </is>
      </c>
      <c r="D2686" s="13" t="inlineStr">
        <is>
          <t>{T}: Put a -1/-1 counter on Serrated Biskelion and a -1/-1 counter on target creature.</t>
        </is>
      </c>
      <c r="E2686" s="13" t="inlineStr">
        <is>
          <t>{3}</t>
        </is>
      </c>
      <c r="F2686" s="13" t="inlineStr">
        <is>
          <t>Colorless</t>
        </is>
      </c>
      <c r="G2686" s="8" t="n">
        <v>0.25</v>
      </c>
      <c r="H2686" s="13" t="inlineStr">
        <is>
          <t>Weatherlight (WTH)</t>
        </is>
      </c>
      <c r="I2686" s="13" t="inlineStr">
        <is>
          <t>No</t>
        </is>
      </c>
      <c r="J2686" s="13" t="n">
        <v>1997</v>
      </c>
      <c r="K2686" s="10" t="n">
        <v>46055</v>
      </c>
      <c r="L2686" s="13" t="n">
        <v>1</v>
      </c>
      <c r="M2686" s="8">
        <f>L2686*G2686</f>
        <v/>
      </c>
      <c r="P2686" s="9" t="n"/>
    </row>
    <row r="2687">
      <c r="A2687" s="13" t="inlineStr">
        <is>
          <t>Serrated Scorpion / Escorpião Serrilhado</t>
        </is>
      </c>
      <c r="B2687" s="13" t="inlineStr">
        <is>
          <t>Creature — Scorpion / Criatura — Escorpião</t>
        </is>
      </c>
      <c r="C2687" s="13" t="inlineStr">
        <is>
          <t>Common / Comum</t>
        </is>
      </c>
      <c r="D2687" s="13" t="inlineStr">
        <is>
          <t>When this creature dies, it deals 2 damage to each opponent and you gain 2 life. / Quando Escorpião Serrilhado morre, ele causa 2 pontos de dano a cada oponente e você ganha 2 pontos de vida.</t>
        </is>
      </c>
      <c r="E2687" s="13" t="inlineStr">
        <is>
          <t>{B}</t>
        </is>
      </c>
      <c r="F2687" s="13" t="inlineStr">
        <is>
          <t>Preto</t>
        </is>
      </c>
      <c r="G2687" s="8" t="n">
        <v>0.17</v>
      </c>
      <c r="H2687" s="13" t="inlineStr">
        <is>
          <t>Ikoria: Lair of Behemoths (IKO)</t>
        </is>
      </c>
      <c r="I2687" s="13" t="inlineStr">
        <is>
          <t>Não</t>
        </is>
      </c>
      <c r="J2687" s="13" t="n">
        <v>2020</v>
      </c>
      <c r="K2687" s="10" t="n">
        <v>46054</v>
      </c>
      <c r="L2687" s="13" t="n">
        <v>1</v>
      </c>
      <c r="M2687" s="8">
        <f>L2687*G2687</f>
        <v/>
      </c>
      <c r="P2687" s="9" t="n"/>
    </row>
    <row r="2688">
      <c r="A2688" s="13" t="inlineStr">
        <is>
          <t>Servant of the Scale / Servo da Escama</t>
        </is>
      </c>
      <c r="B2688" s="13" t="inlineStr">
        <is>
          <t>Creature — Human Soldier / Criatura — Humano Soldado</t>
        </is>
      </c>
      <c r="C2688" s="13" t="inlineStr">
        <is>
          <t>Common / Comum</t>
        </is>
      </c>
      <c r="D2688" s="13"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2688" s="13" t="inlineStr">
        <is>
          <t>{G}</t>
        </is>
      </c>
      <c r="F2688" s="13" t="inlineStr">
        <is>
          <t>Verde</t>
        </is>
      </c>
      <c r="G2688" s="8" t="n">
        <v>0.09</v>
      </c>
      <c r="H2688" s="13" t="inlineStr">
        <is>
          <t>Dragons of Tarkir (DTK)</t>
        </is>
      </c>
      <c r="I2688" s="13" t="inlineStr">
        <is>
          <t>Não</t>
        </is>
      </c>
      <c r="J2688" s="13" t="n">
        <v>2015</v>
      </c>
      <c r="K2688" s="13" t="inlineStr">
        <is>
          <t>0/0</t>
        </is>
      </c>
      <c r="L2688" s="13" t="n">
        <v>4</v>
      </c>
      <c r="M2688" s="8">
        <f>L2688*G2688</f>
        <v/>
      </c>
      <c r="P2688" s="9" t="n"/>
    </row>
    <row r="2689">
      <c r="A2689" s="13" t="inlineStr">
        <is>
          <t>Servant of the Scale / Servo da Escama</t>
        </is>
      </c>
      <c r="B2689" s="13" t="inlineStr">
        <is>
          <t>Creature — Human Soldier / Criatura — Humano Soldado</t>
        </is>
      </c>
      <c r="C2689" s="13" t="inlineStr">
        <is>
          <t>Common / Comum</t>
        </is>
      </c>
      <c r="D2689" s="13"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689" s="13" t="inlineStr">
        <is>
          <t>{G}</t>
        </is>
      </c>
      <c r="F2689" s="13" t="inlineStr">
        <is>
          <t>Verde</t>
        </is>
      </c>
      <c r="G2689" s="8" t="n">
        <v>0.08</v>
      </c>
      <c r="H2689" s="13" t="inlineStr">
        <is>
          <t>Dragons of Tarkir (DTK)</t>
        </is>
      </c>
      <c r="I2689" s="13" t="inlineStr">
        <is>
          <t>Não</t>
        </is>
      </c>
      <c r="J2689" s="13" t="n">
        <v>2015</v>
      </c>
      <c r="K2689" s="13" t="inlineStr">
        <is>
          <t>0/0</t>
        </is>
      </c>
      <c r="L2689" s="13" t="n">
        <v>1</v>
      </c>
      <c r="M2689" s="8">
        <f>L2689*G2689</f>
        <v/>
      </c>
      <c r="N2689" s="13" t="inlineStr">
        <is>
          <t>Bulk Shopee</t>
        </is>
      </c>
      <c r="P2689" s="9" t="n"/>
    </row>
    <row r="2690">
      <c r="A2690" s="13" t="inlineStr">
        <is>
          <t>Servant of the Scale / Servo da Escama</t>
        </is>
      </c>
      <c r="B2690" s="13" t="inlineStr">
        <is>
          <t>Creature — Human Soldier / Criatura — Humano Soldado</t>
        </is>
      </c>
      <c r="C2690" s="13" t="inlineStr">
        <is>
          <t>Common / Comum</t>
        </is>
      </c>
      <c r="D2690" s="13"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690" s="13" t="inlineStr">
        <is>
          <t>{G}</t>
        </is>
      </c>
      <c r="F2690" s="13" t="inlineStr">
        <is>
          <t>Verde</t>
        </is>
      </c>
      <c r="G2690" s="8" t="n">
        <v>0.15</v>
      </c>
      <c r="H2690" s="13" t="inlineStr">
        <is>
          <t>Jumpstart 2022 (J22)</t>
        </is>
      </c>
      <c r="I2690" s="13" t="inlineStr">
        <is>
          <t>Não</t>
        </is>
      </c>
      <c r="J2690" s="13" t="n">
        <v>2022</v>
      </c>
      <c r="K2690" s="13" t="inlineStr">
        <is>
          <t>0/0</t>
        </is>
      </c>
      <c r="L2690" s="13" t="n">
        <v>1</v>
      </c>
      <c r="M2690" s="8">
        <f>L2690*G2690</f>
        <v/>
      </c>
      <c r="P2690" s="9" t="n"/>
    </row>
    <row r="2691">
      <c r="A2691" s="13" t="inlineStr">
        <is>
          <t>Servo Voltaico / Voltaic Servant</t>
        </is>
      </c>
      <c r="B2691" s="13" t="inlineStr">
        <is>
          <t>Criatura Artefato — Constructo</t>
        </is>
      </c>
      <c r="C2691" s="13" t="inlineStr">
        <is>
          <t>Comum</t>
        </is>
      </c>
      <c r="D2691" s="13" t="inlineStr">
        <is>
          <t>No início da sua etapa final, desvire o artefato alvo.</t>
        </is>
      </c>
      <c r="E2691" s="13" t="inlineStr">
        <is>
          <t>{2}</t>
        </is>
      </c>
      <c r="F2691" s="13" t="inlineStr">
        <is>
          <t>Incolor</t>
        </is>
      </c>
      <c r="G2691" s="8" t="n">
        <v>0.03</v>
      </c>
      <c r="H2691" s="13" t="inlineStr">
        <is>
          <t>Dominaria (DOM)</t>
        </is>
      </c>
      <c r="I2691" s="13" t="inlineStr">
        <is>
          <t>Não</t>
        </is>
      </c>
      <c r="J2691" s="13" t="n">
        <v>2018</v>
      </c>
      <c r="K2691" s="10" t="n">
        <v>46082</v>
      </c>
      <c r="L2691" s="13" t="n">
        <v>4</v>
      </c>
      <c r="M2691" s="8">
        <f>L2691*G2691</f>
        <v/>
      </c>
      <c r="P2691" s="9" t="n"/>
    </row>
    <row r="2692">
      <c r="A2692" s="13" t="inlineStr">
        <is>
          <t>Setessan Griffin / Grifo Setessano</t>
        </is>
      </c>
      <c r="B2692" s="13" t="inlineStr">
        <is>
          <t>Creature — Griffin / Criatura — Grifo</t>
        </is>
      </c>
      <c r="C2692" s="13" t="inlineStr">
        <is>
          <t>Common / Comum</t>
        </is>
      </c>
      <c r="D2692" s="13" t="inlineStr">
        <is>
          <t>Flying {2}{G}{G}: This creature gets +2/+2 until end of turn. Activate only once each turn. / Voar {2}{G}{G}: Grifo Setessano recebe +2/+2 até o final do turno. Ative esta habilidade apenas uma vez a cada turno.</t>
        </is>
      </c>
      <c r="E2692" s="13" t="inlineStr">
        <is>
          <t>{4}{W}</t>
        </is>
      </c>
      <c r="F2692" s="13" t="inlineStr">
        <is>
          <t>Branco</t>
        </is>
      </c>
      <c r="G2692" s="8" t="n">
        <v>0.05</v>
      </c>
      <c r="H2692" s="13" t="inlineStr">
        <is>
          <t>Theros (THS)</t>
        </is>
      </c>
      <c r="I2692" s="13" t="inlineStr">
        <is>
          <t>Não</t>
        </is>
      </c>
      <c r="J2692" s="13" t="n">
        <v>2013</v>
      </c>
      <c r="K2692" s="10" t="n">
        <v>46056</v>
      </c>
      <c r="L2692" s="13" t="n">
        <v>1</v>
      </c>
      <c r="M2692" s="8">
        <f>L2692*G2692</f>
        <v/>
      </c>
      <c r="P2692" s="9" t="n"/>
    </row>
    <row r="2693">
      <c r="A2693" s="13" t="inlineStr">
        <is>
          <t>Setessan Oathsworn / Jurado Setessano</t>
        </is>
      </c>
      <c r="B2693" s="13" t="inlineStr">
        <is>
          <t>Creature — Satyr Warrior / Criatura — Sátiro Guerreiro</t>
        </is>
      </c>
      <c r="C2693" s="13" t="inlineStr">
        <is>
          <t>Common / Comum</t>
        </is>
      </c>
      <c r="D2693" s="13" t="inlineStr">
        <is>
          <t>Heroic — Whenever you cast a spell that targets this creature, put two +1/+1 counters on this creature. / Heroico — Toda vez que você conjurar uma mágica cujo alvo seja Jurado Setessano, coloque dois marcadores +1/+1 em Jurado Setessano.</t>
        </is>
      </c>
      <c r="E2693" s="13" t="inlineStr">
        <is>
          <t>{1}{G}{G}</t>
        </is>
      </c>
      <c r="F2693" s="13" t="inlineStr">
        <is>
          <t>Verde</t>
        </is>
      </c>
      <c r="G2693" s="8" t="n">
        <v>0.03</v>
      </c>
      <c r="H2693" s="13" t="inlineStr">
        <is>
          <t>Born of the Gods (BNG)</t>
        </is>
      </c>
      <c r="I2693" s="13" t="inlineStr">
        <is>
          <t>Não</t>
        </is>
      </c>
      <c r="J2693" s="13" t="n">
        <v>2014</v>
      </c>
      <c r="K2693" s="10" t="n">
        <v>46023</v>
      </c>
      <c r="L2693" s="13" t="n">
        <v>1</v>
      </c>
      <c r="M2693" s="8">
        <f>L2693*G2693</f>
        <v/>
      </c>
      <c r="P2693" s="9" t="n"/>
    </row>
    <row r="2694">
      <c r="A2694" s="13" t="inlineStr">
        <is>
          <t>Seven-Tail Mentor / Mentora das Sete Caudas</t>
        </is>
      </c>
      <c r="B2694" s="13" t="inlineStr">
        <is>
          <t>Creature — Fox Samurai / Criatura — Raposa Samurai</t>
        </is>
      </c>
      <c r="C2694" s="13" t="inlineStr">
        <is>
          <t>Common / Comum</t>
        </is>
      </c>
      <c r="D2694" s="13" t="inlineStr">
        <is>
          <t>When this creature enters or dies, put a +1/+1 counter on target creature or Vehicle you control. / Quando Mentora das Sete Caudas entrar no campo de batalha ou morrer, coloque um marcador +1/+1 na criatura ou no Veículo alvo que você controla.</t>
        </is>
      </c>
      <c r="E2694" s="13" t="inlineStr">
        <is>
          <t>{3}{W}</t>
        </is>
      </c>
      <c r="F2694" s="13" t="inlineStr">
        <is>
          <t>Branco</t>
        </is>
      </c>
      <c r="G2694" s="8" t="n">
        <v>0.05</v>
      </c>
      <c r="H2694" s="13" t="inlineStr">
        <is>
          <t>Kamigawa: Neon Dynasty (NEO)</t>
        </is>
      </c>
      <c r="I2694" s="13" t="inlineStr">
        <is>
          <t>Não</t>
        </is>
      </c>
      <c r="J2694" s="13" t="n">
        <v>2022</v>
      </c>
      <c r="K2694" s="10" t="n">
        <v>46083</v>
      </c>
      <c r="L2694" s="13" t="n">
        <v>3</v>
      </c>
      <c r="M2694" s="8">
        <f>L2694*G2694</f>
        <v/>
      </c>
      <c r="P2694" s="9" t="n"/>
    </row>
    <row r="2695">
      <c r="A2695" s="13" t="inlineStr">
        <is>
          <t>Seven-Tail Mentor / Mentora das Sete Caudas</t>
        </is>
      </c>
      <c r="B2695" s="13" t="inlineStr">
        <is>
          <t>Creature — Fox Samurai / Criatura — Raposa Samurai</t>
        </is>
      </c>
      <c r="C2695" s="13" t="inlineStr">
        <is>
          <t>Common / Comum</t>
        </is>
      </c>
      <c r="D2695" s="13" t="inlineStr">
        <is>
          <t>When this creature enters or dies, put a +1/+1 counter on target creature or Vehicle you control. / Quando Mentora das Sete Caudas entrar no campo de batalha ou morrer, coloque um marcador +1/+1 na criatura ou no Veículo alvo que você controla.</t>
        </is>
      </c>
      <c r="E2695" s="13" t="inlineStr">
        <is>
          <t>{3}{W}</t>
        </is>
      </c>
      <c r="F2695" s="13" t="inlineStr">
        <is>
          <t>Branco</t>
        </is>
      </c>
      <c r="G2695" s="8" t="n">
        <v>0.11</v>
      </c>
      <c r="H2695" s="13" t="inlineStr">
        <is>
          <t>Kamigawa: Neon Dynasty (NEO)</t>
        </is>
      </c>
      <c r="I2695" s="13" t="inlineStr">
        <is>
          <t>Não</t>
        </is>
      </c>
      <c r="J2695" s="13" t="n">
        <v>2022</v>
      </c>
      <c r="K2695" s="10" t="n">
        <v>46083</v>
      </c>
      <c r="L2695" s="13" t="n">
        <v>1</v>
      </c>
      <c r="M2695" s="8">
        <f>L2695*G2695</f>
        <v/>
      </c>
      <c r="P2695" s="9" t="n"/>
    </row>
    <row r="2696">
      <c r="A2696" s="13" t="inlineStr">
        <is>
          <t>Seven-Tail Mentor / Mentora das Sete Caudas</t>
        </is>
      </c>
      <c r="B2696" s="13" t="inlineStr">
        <is>
          <t>Creature — Fox Samurai / Criatura — Raposa Samurai</t>
        </is>
      </c>
      <c r="C2696" s="13" t="inlineStr">
        <is>
          <t>Common / Comum</t>
        </is>
      </c>
      <c r="D2696" s="13" t="inlineStr">
        <is>
          <t>When this creature enters or dies, put a +1/+1 counter on target creature or Vehicle you control. / Quando Mentora das Sete Caudas entrar no campo de batalha ou morrer, coloque um marcador +1/+1 na criatura ou no Veículo alvo que você controla.</t>
        </is>
      </c>
      <c r="E2696" s="13" t="inlineStr">
        <is>
          <t>{3}{W}</t>
        </is>
      </c>
      <c r="F2696" s="13" t="inlineStr">
        <is>
          <t>Branco</t>
        </is>
      </c>
      <c r="G2696" s="8" t="n">
        <v>0.11</v>
      </c>
      <c r="H2696" s="13" t="inlineStr">
        <is>
          <t>Kamigawa: Neon Dynasty (NEO) V</t>
        </is>
      </c>
      <c r="I2696" s="13" t="inlineStr">
        <is>
          <t>Não</t>
        </is>
      </c>
      <c r="J2696" s="13" t="n">
        <v>2022</v>
      </c>
      <c r="K2696" s="10" t="n">
        <v>46083</v>
      </c>
      <c r="L2696" s="13" t="n">
        <v>1</v>
      </c>
      <c r="M2696" s="8">
        <f>L2696*G2696</f>
        <v/>
      </c>
      <c r="P2696" s="9" t="n"/>
    </row>
    <row r="2697">
      <c r="A2697" s="13" t="inlineStr">
        <is>
          <t>Sewer-veillance Cam</t>
        </is>
      </c>
      <c r="B2697" s="13" t="inlineStr">
        <is>
          <t>Artifact</t>
        </is>
      </c>
      <c r="C2697" s="13" t="inlineStr">
        <is>
          <t>Common / Comum</t>
        </is>
      </c>
      <c r="D2697" s="13" t="inlineStr">
        <is>
          <t>Flash When this artifact enters or leaves the battlefield, you may tap or untap target creature. {3}{U}, Sacrifice this artifact: Draw two cards.</t>
        </is>
      </c>
      <c r="E2697" s="13" t="inlineStr">
        <is>
          <t>{U}</t>
        </is>
      </c>
      <c r="F2697" s="13" t="inlineStr">
        <is>
          <t>Azul</t>
        </is>
      </c>
      <c r="G2697" s="8" t="n">
        <v>0.28</v>
      </c>
      <c r="H2697" s="13" t="inlineStr">
        <is>
          <t>Teenage Mutant Ninja Turtles (TMT)</t>
        </is>
      </c>
      <c r="I2697" s="13" t="inlineStr">
        <is>
          <t>Não</t>
        </is>
      </c>
      <c r="J2697" s="13" t="n">
        <v>2026</v>
      </c>
      <c r="L2697" s="13" t="n">
        <v>4</v>
      </c>
      <c r="M2697" s="8">
        <f>L2697*G2697</f>
        <v/>
      </c>
      <c r="P2697" s="9" t="n"/>
    </row>
    <row r="2698">
      <c r="A2698" s="13" t="inlineStr">
        <is>
          <t>Sex Appeal</t>
        </is>
      </c>
      <c r="B2698" s="13" t="inlineStr">
        <is>
          <t>Instant</t>
        </is>
      </c>
      <c r="C2698" s="13" t="inlineStr">
        <is>
          <t>Rare</t>
        </is>
      </c>
      <c r="D2698" s="13" t="inlineStr">
        <is>
          <t>Prevent up to 3 damage total to any number of creatures and/or players. If there are more players in the room of the opposite sex, prevent up to 3 additional damage total to any number of creatures and/or players.</t>
        </is>
      </c>
      <c r="E2698" s="13" t="inlineStr">
        <is>
          <t>{W/B}</t>
        </is>
      </c>
      <c r="F2698" s="13" t="inlineStr">
        <is>
          <t>White/Preto</t>
        </is>
      </c>
      <c r="G2698" s="8" t="n">
        <v>0.45</v>
      </c>
      <c r="H2698" s="13" t="inlineStr">
        <is>
          <t>Unglued (UGL)</t>
        </is>
      </c>
      <c r="I2698" s="13" t="inlineStr">
        <is>
          <t>No</t>
        </is>
      </c>
      <c r="J2698" s="13" t="n">
        <v>1998</v>
      </c>
      <c r="L2698" s="13" t="n">
        <v>1</v>
      </c>
      <c r="M2698" s="8">
        <f>L2698*G2698</f>
        <v/>
      </c>
      <c r="P2698" s="9" t="n"/>
    </row>
    <row r="2699">
      <c r="A2699" s="13" t="inlineStr">
        <is>
          <t>Shackle Slinger / Lançador de Algemas</t>
        </is>
      </c>
      <c r="B2699" s="13" t="inlineStr">
        <is>
          <t>Creature — Human Soldier / Criatura — Humano Soldado</t>
        </is>
      </c>
      <c r="C2699" s="13" t="inlineStr">
        <is>
          <t>Uncommon / Incomum</t>
        </is>
      </c>
      <c r="D2699" s="13"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2699" s="13" t="inlineStr">
        <is>
          <t>{2}{U}</t>
        </is>
      </c>
      <c r="F2699" s="13" t="inlineStr">
        <is>
          <t>Azul</t>
        </is>
      </c>
      <c r="G2699" s="8" t="n">
        <v>0.09</v>
      </c>
      <c r="H2699" s="13" t="inlineStr">
        <is>
          <t>Outlaws of Thunder Junction (OTJ)</t>
        </is>
      </c>
      <c r="I2699" s="13" t="inlineStr">
        <is>
          <t>Não</t>
        </is>
      </c>
      <c r="J2699" s="13" t="n">
        <v>2024</v>
      </c>
      <c r="K2699" s="10" t="n">
        <v>46056</v>
      </c>
      <c r="L2699" s="13" t="n">
        <v>2</v>
      </c>
      <c r="M2699" s="8">
        <f>L2699*G2699</f>
        <v/>
      </c>
      <c r="P2699" s="9" t="n"/>
    </row>
    <row r="2700">
      <c r="A2700" s="13" t="inlineStr">
        <is>
          <t>Shackles / Grilhões</t>
        </is>
      </c>
      <c r="B2700" s="13" t="inlineStr">
        <is>
          <t>Enchantment — Aura / Encantamento — Aura</t>
        </is>
      </c>
      <c r="C2700" s="13" t="inlineStr">
        <is>
          <t>Common / Comum</t>
        </is>
      </c>
      <c r="D2700" s="13" t="inlineStr">
        <is>
          <t>Enchanted creature doesn't untap during its controller's untap step. {W}: Return Shackles to its owner's hand. / A criatura encantada não desvira durante a etapa de desvirar de seu controlador. {W}: Devolva Grilhões para a mão de seu dono.</t>
        </is>
      </c>
      <c r="E2700" s="13" t="inlineStr">
        <is>
          <t>{2}{W}</t>
        </is>
      </c>
      <c r="F2700" s="13" t="inlineStr">
        <is>
          <t>Branco</t>
        </is>
      </c>
      <c r="G2700" s="8" t="n">
        <v>0.05</v>
      </c>
      <c r="H2700" s="13" t="inlineStr">
        <is>
          <t>Mercadian Masques (MMQ)</t>
        </is>
      </c>
      <c r="I2700" s="13" t="inlineStr">
        <is>
          <t>No</t>
        </is>
      </c>
      <c r="J2700" s="13" t="n">
        <v>1999</v>
      </c>
      <c r="L2700" s="13" t="n">
        <v>1</v>
      </c>
      <c r="M2700" s="8">
        <f>L2700*G2700</f>
        <v/>
      </c>
      <c r="P2700" s="9" t="n"/>
    </row>
    <row r="2701">
      <c r="A2701" s="13" t="inlineStr">
        <is>
          <t>Shadow Urchin</t>
        </is>
      </c>
      <c r="B2701" s="13" t="inlineStr">
        <is>
          <t>Creature — Ouphe</t>
        </is>
      </c>
      <c r="C2701" s="13" t="inlineStr">
        <is>
          <t>Rare / Rara</t>
        </is>
      </c>
      <c r="D2701" s="13" t="inlineStr">
        <is>
          <t>Whenever this creature attacks, blight 1. (Put a -1/-1 counter on a creature you control.) Whenever a creature you control with one or more counters on it dies, exile that many cards from the top of your library. Until your next end step, you may play those cards.</t>
        </is>
      </c>
      <c r="E2701" s="13" t="inlineStr">
        <is>
          <t>{2}{B/R}</t>
        </is>
      </c>
      <c r="F2701" s="13" t="inlineStr">
        <is>
          <t>Preto, Vermelho</t>
        </is>
      </c>
      <c r="G2701" s="8" t="n">
        <v>0.25</v>
      </c>
      <c r="H2701" s="13" t="inlineStr">
        <is>
          <t>Lorwyn Eclipsed (ECL)</t>
        </is>
      </c>
      <c r="I2701" s="13" t="inlineStr">
        <is>
          <t>Não</t>
        </is>
      </c>
      <c r="J2701" s="13" t="n">
        <v>2026</v>
      </c>
      <c r="K2701" s="10" t="n">
        <v>46115</v>
      </c>
      <c r="L2701" s="13" t="n">
        <v>1</v>
      </c>
      <c r="M2701" s="8">
        <f>L2701*G2701</f>
        <v/>
      </c>
      <c r="P2701" s="9" t="n"/>
    </row>
    <row r="2702">
      <c r="A2702" s="13" t="inlineStr">
        <is>
          <t>Shadow-Rite Priest / Sacerdote do Rito das Sombras</t>
        </is>
      </c>
      <c r="B2702" s="13" t="inlineStr">
        <is>
          <t>Creature — Human Cleric / Criatura — Humano Clérigo</t>
        </is>
      </c>
      <c r="C2702" s="13" t="inlineStr">
        <is>
          <t>Rare / Rara</t>
        </is>
      </c>
      <c r="D2702" s="13"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2702" s="13" t="inlineStr">
        <is>
          <t>{1}{B}</t>
        </is>
      </c>
      <c r="F2702" s="13" t="inlineStr">
        <is>
          <t>Preto</t>
        </is>
      </c>
      <c r="G2702" s="8" t="n">
        <v>0.45</v>
      </c>
      <c r="H2702" s="13" t="inlineStr">
        <is>
          <t>Dominaria United (DMU)</t>
        </is>
      </c>
      <c r="I2702" s="13" t="inlineStr">
        <is>
          <t>Não</t>
        </is>
      </c>
      <c r="J2702" s="13" t="n">
        <v>2022</v>
      </c>
      <c r="K2702" s="10" t="n">
        <v>46055</v>
      </c>
      <c r="L2702" s="13" t="n">
        <v>1</v>
      </c>
      <c r="M2702" s="8">
        <f>L2702*G2702</f>
        <v/>
      </c>
      <c r="P2702" s="9" t="n"/>
    </row>
    <row r="2703">
      <c r="A2703" s="13" t="inlineStr">
        <is>
          <t>Shadowfax, Lord of Horses / Scadufax, Senhor dos Cavalos</t>
        </is>
      </c>
      <c r="B2703" s="13" t="inlineStr">
        <is>
          <t>Legendary Creature — Horse / Criatura Lendária — Cavalo</t>
        </is>
      </c>
      <c r="C2703" s="13" t="inlineStr">
        <is>
          <t>Uncommon / Incomum</t>
        </is>
      </c>
      <c r="D2703" s="13"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2703" s="13" t="inlineStr">
        <is>
          <t>{3}{R}{W}</t>
        </is>
      </c>
      <c r="F2703" s="13" t="inlineStr">
        <is>
          <t>Vermelho e Branco</t>
        </is>
      </c>
      <c r="G2703" s="8" t="n">
        <v>0.25</v>
      </c>
      <c r="H2703" s="13" t="inlineStr">
        <is>
          <t>The Lord of the Rings: Tales of Middle-earth (LTR)</t>
        </is>
      </c>
      <c r="I2703" s="13" t="inlineStr">
        <is>
          <t>Não</t>
        </is>
      </c>
      <c r="J2703" s="13" t="n">
        <v>2023</v>
      </c>
      <c r="K2703" s="10" t="n">
        <v>46116</v>
      </c>
      <c r="L2703" s="13" t="n">
        <v>1</v>
      </c>
      <c r="M2703" s="8">
        <f>L2703*G2703</f>
        <v/>
      </c>
      <c r="P2703" s="9" t="n"/>
    </row>
    <row r="2704">
      <c r="A2704" s="13" t="inlineStr">
        <is>
          <t>Shah of Naar Isle / Xá da Ilha Naar</t>
        </is>
      </c>
      <c r="B2704" s="13" t="inlineStr">
        <is>
          <t>Creature — Efreet / Criatura — Efrite</t>
        </is>
      </c>
      <c r="C2704" s="13" t="inlineStr">
        <is>
          <t>Rare / Rara</t>
        </is>
      </c>
      <c r="D2704" s="13"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2704" s="13" t="inlineStr">
        <is>
          <t>{3}{R}</t>
        </is>
      </c>
      <c r="F2704" s="13" t="inlineStr">
        <is>
          <t>Vermelho</t>
        </is>
      </c>
      <c r="G2704" s="8" t="n">
        <v>0.45</v>
      </c>
      <c r="H2704" s="13" t="inlineStr">
        <is>
          <t>Future Sight (FUT)</t>
        </is>
      </c>
      <c r="I2704" s="13" t="inlineStr">
        <is>
          <t>Não</t>
        </is>
      </c>
      <c r="J2704" s="13" t="n">
        <v>2007</v>
      </c>
      <c r="K2704" s="10" t="n">
        <v>46179</v>
      </c>
      <c r="L2704" s="13" t="n">
        <v>1</v>
      </c>
      <c r="M2704" s="8">
        <f>L2704*G2704</f>
        <v/>
      </c>
      <c r="P2704" s="9" t="n"/>
    </row>
    <row r="2705">
      <c r="A2705" s="13" t="inlineStr">
        <is>
          <t>Shambling Cie'th / Cie'th Cambaleante</t>
        </is>
      </c>
      <c r="B2705" s="13" t="inlineStr">
        <is>
          <t>Criatura — Mutante Horror</t>
        </is>
      </c>
      <c r="C2705" s="13" t="inlineStr">
        <is>
          <t>Incomum</t>
        </is>
      </c>
      <c r="D2705" s="13" t="inlineStr">
        <is>
          <t>Esta criatura entra virada. Sempre que você conjurar uma mágica que não seja de criatura, você pode pagar {B}. Se fizer isso, devolva este card de seu cemitério para sua mão.</t>
        </is>
      </c>
      <c r="E2705" s="13" t="inlineStr">
        <is>
          <t>2{B}</t>
        </is>
      </c>
      <c r="F2705" s="13" t="inlineStr">
        <is>
          <t>Preto</t>
        </is>
      </c>
      <c r="G2705" s="8" t="n">
        <v>0.05</v>
      </c>
      <c r="H2705" s="13" t="inlineStr">
        <is>
          <t>Final Fantasy</t>
        </is>
      </c>
      <c r="I2705" s="13" t="inlineStr">
        <is>
          <t>Não</t>
        </is>
      </c>
      <c r="J2705" s="13" t="n">
        <v>2025</v>
      </c>
      <c r="K2705" s="10" t="n">
        <v>46084</v>
      </c>
      <c r="L2705" s="13" t="n">
        <v>2</v>
      </c>
      <c r="M2705" s="8">
        <f>L2705*G2705</f>
        <v/>
      </c>
      <c r="P2705" s="9" t="n"/>
    </row>
    <row r="2706">
      <c r="A2706" s="13" t="inlineStr">
        <is>
          <t>Shambling Remains / Restos Cambaleantes</t>
        </is>
      </c>
      <c r="B2706" s="13" t="inlineStr">
        <is>
          <t>Criatura — Zumbi Horror</t>
        </is>
      </c>
      <c r="C2706" s="13" t="inlineStr">
        <is>
          <t>Incomum</t>
        </is>
      </c>
      <c r="D2706" s="13" t="inlineStr">
        <is>
          <t>Shambling Remains não pode bloquear. Desenterrar BR (BR: Devolva este card de seu cemitério para o campo de batalha. Ele ganha ímpeto. Exile-o no início da próxima etapa final ou se ele sair do campo de batalha. Desenterre apenas como um feitiço.)</t>
        </is>
      </c>
      <c r="E2706" s="13" t="inlineStr">
        <is>
          <t>1BR</t>
        </is>
      </c>
      <c r="F2706" s="13" t="inlineStr">
        <is>
          <t>Multicolorido</t>
        </is>
      </c>
      <c r="G2706" s="8" t="n">
        <v>0.09</v>
      </c>
      <c r="H2706" s="13" t="inlineStr">
        <is>
          <t>Duel Decks: Speed vs. Cunning</t>
        </is>
      </c>
      <c r="I2706" s="13" t="inlineStr">
        <is>
          <t>Sim</t>
        </is>
      </c>
      <c r="J2706" s="13" t="n">
        <v>2014</v>
      </c>
      <c r="K2706" s="10" t="n">
        <v>46085</v>
      </c>
      <c r="L2706" s="13" t="n">
        <v>1</v>
      </c>
      <c r="M2706" s="8">
        <f>L2706*G2706</f>
        <v/>
      </c>
      <c r="P2706" s="9" t="n"/>
    </row>
    <row r="2707">
      <c r="A2707" s="13" t="inlineStr">
        <is>
          <t>Shambling Remains / Restos Cambaleantes</t>
        </is>
      </c>
      <c r="B2707" s="13" t="inlineStr">
        <is>
          <t>Criatura — Zumbi Horror</t>
        </is>
      </c>
      <c r="C2707" s="13" t="inlineStr">
        <is>
          <t>Incomum</t>
        </is>
      </c>
      <c r="D2707" s="13" t="inlineStr">
        <is>
          <t>Shambling Remains não pode bloquear. Desenterrar BR (BR: Devolva este card de seu cemitério para o campo de batalha. Ele ganha ímpeto. Exile-o no início da próxima etapa final ou se ele sair do campo de batalha. Desenterre apenas como um feitiço.)</t>
        </is>
      </c>
      <c r="E2707" s="13" t="inlineStr">
        <is>
          <t>1BR</t>
        </is>
      </c>
      <c r="F2707" s="13" t="inlineStr">
        <is>
          <t>Multicolorido</t>
        </is>
      </c>
      <c r="G2707" s="8" t="n">
        <v>0.13</v>
      </c>
      <c r="H2707" s="13" t="inlineStr">
        <is>
          <t>Duel Decks: Speed vs. Cunning</t>
        </is>
      </c>
      <c r="I2707" s="13" t="inlineStr">
        <is>
          <t>Não</t>
        </is>
      </c>
      <c r="J2707" s="13" t="n">
        <v>2014</v>
      </c>
      <c r="K2707" s="10" t="n">
        <v>46085</v>
      </c>
      <c r="L2707" s="13" t="n">
        <v>1</v>
      </c>
      <c r="M2707" s="8">
        <f>L2707*G2707</f>
        <v/>
      </c>
      <c r="P2707" s="9" t="n"/>
    </row>
    <row r="2708">
      <c r="A2708" s="13" t="inlineStr">
        <is>
          <t>Shambling Suit / Armadura em Frangalhos</t>
        </is>
      </c>
      <c r="B2708" s="13" t="inlineStr">
        <is>
          <t>Artifact Creature — Construct / Criatura Artefato — Constructo</t>
        </is>
      </c>
      <c r="C2708" s="13" t="inlineStr">
        <is>
          <t>Uncommon / Incomum</t>
        </is>
      </c>
      <c r="D2708" s="13" t="inlineStr">
        <is>
          <t>Shambling Suit's power is equal to the number of artifacts and/or enchantments you control. / O poder de Armadura em Frangalhos é igual ao número de artefatos e/ou encantamentos que você controla.</t>
        </is>
      </c>
      <c r="E2708" s="13" t="inlineStr">
        <is>
          <t>{3}</t>
        </is>
      </c>
      <c r="F2708" s="13" t="inlineStr">
        <is>
          <t>Incolor</t>
        </is>
      </c>
      <c r="G2708" s="8" t="n">
        <v>0.13</v>
      </c>
      <c r="H2708" s="13" t="inlineStr">
        <is>
          <t>Throne of Eldraine (ELD)</t>
        </is>
      </c>
      <c r="I2708" s="13" t="inlineStr">
        <is>
          <t>Não</t>
        </is>
      </c>
      <c r="J2708" s="13" t="n">
        <v>2019</v>
      </c>
      <c r="K2708" s="13" t="inlineStr">
        <is>
          <t>*/3</t>
        </is>
      </c>
      <c r="L2708" s="13" t="n">
        <v>1</v>
      </c>
      <c r="M2708" s="8">
        <f>L2708*G2708</f>
        <v/>
      </c>
      <c r="P2708" s="9" t="n"/>
    </row>
    <row r="2709">
      <c r="A2709" s="13" t="inlineStr">
        <is>
          <t>Shard of Broken Glass / Fragmento de Vidro</t>
        </is>
      </c>
      <c r="B2709" s="13" t="inlineStr">
        <is>
          <t>Artifact — Equipment / Artefato — Equipamento</t>
        </is>
      </c>
      <c r="C2709" s="13" t="inlineStr">
        <is>
          <t>Common / Comum</t>
        </is>
      </c>
      <c r="D2709" s="13"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709" s="13" t="inlineStr">
        <is>
          <t>{1}</t>
        </is>
      </c>
      <c r="F2709" s="13" t="inlineStr">
        <is>
          <t>Incolor</t>
        </is>
      </c>
      <c r="G2709" s="8" t="n">
        <v>0.05</v>
      </c>
      <c r="H2709" s="13" t="inlineStr">
        <is>
          <t>Shadows over Innistrad (SOI)</t>
        </is>
      </c>
      <c r="I2709" s="13" t="inlineStr">
        <is>
          <t>Não</t>
        </is>
      </c>
      <c r="J2709" s="13" t="n">
        <v>2016</v>
      </c>
      <c r="L2709" s="13" t="n">
        <v>1</v>
      </c>
      <c r="M2709" s="8">
        <f>L2709*G2709</f>
        <v/>
      </c>
      <c r="N2709" s="13" t="inlineStr">
        <is>
          <t>Bulk Shopee</t>
        </is>
      </c>
      <c r="P2709" s="9" t="n"/>
    </row>
    <row r="2710">
      <c r="A2710" s="13" t="inlineStr">
        <is>
          <t>Shared Discovery / Descoberta Compartilhada</t>
        </is>
      </c>
      <c r="B2710" s="13" t="inlineStr">
        <is>
          <t>Sorcery / Feitiço</t>
        </is>
      </c>
      <c r="C2710" s="13" t="inlineStr">
        <is>
          <t>Common / Comum</t>
        </is>
      </c>
      <c r="D2710" s="13" t="inlineStr">
        <is>
          <t>As an additional cost to cast this spell, tap four untapped creatures you control. Draw three cards. / Como custo adicional para conjurar Descoberta Compartilhada, vire quatro criaturas desviradas que você controla. Compre três cards.</t>
        </is>
      </c>
      <c r="E2710" s="13" t="inlineStr">
        <is>
          <t>{U}</t>
        </is>
      </c>
      <c r="F2710" s="13" t="inlineStr">
        <is>
          <t>Azul</t>
        </is>
      </c>
      <c r="G2710" s="8" t="n">
        <v>0.3</v>
      </c>
      <c r="H2710" s="13" t="inlineStr">
        <is>
          <t>Rise of the Eldrazi (ROE)</t>
        </is>
      </c>
      <c r="I2710" s="13" t="inlineStr">
        <is>
          <t>Não</t>
        </is>
      </c>
      <c r="J2710" s="13" t="n">
        <v>2010</v>
      </c>
      <c r="L2710" s="13" t="n">
        <v>1</v>
      </c>
      <c r="M2710" s="8">
        <f>L2710*G2710</f>
        <v/>
      </c>
      <c r="P2710" s="9" t="n"/>
    </row>
    <row r="2711">
      <c r="A2711" s="13" t="inlineStr">
        <is>
          <t>Shared Roots</t>
        </is>
      </c>
      <c r="B2711" s="13" t="inlineStr">
        <is>
          <t>Sorcery — Lesson</t>
        </is>
      </c>
      <c r="C2711" s="13" t="inlineStr">
        <is>
          <t>Uncommon / Incomum</t>
        </is>
      </c>
      <c r="D2711" s="13" t="inlineStr">
        <is>
          <t>Search your library for a basic land card, put it onto the battlefield tapped, then shuffle.</t>
        </is>
      </c>
      <c r="E2711" s="13" t="inlineStr">
        <is>
          <t>{1}{G}</t>
        </is>
      </c>
      <c r="F2711" s="13" t="inlineStr">
        <is>
          <t>Verde</t>
        </is>
      </c>
      <c r="G2711" s="8" t="n">
        <v>0.98</v>
      </c>
      <c r="H2711" s="13" t="inlineStr">
        <is>
          <t>Avatar: The Last Airbender (TLA)</t>
        </is>
      </c>
      <c r="I2711" s="13" t="inlineStr">
        <is>
          <t>Não</t>
        </is>
      </c>
      <c r="J2711" s="13" t="n">
        <v>2025</v>
      </c>
      <c r="L2711" s="13" t="n">
        <v>1</v>
      </c>
      <c r="M2711" s="8">
        <f>L2711*G2711</f>
        <v/>
      </c>
      <c r="P2711" s="9" t="n"/>
    </row>
    <row r="2712">
      <c r="A2712" s="13" t="inlineStr">
        <is>
          <t>Shark Shredder, Killer Clone</t>
        </is>
      </c>
      <c r="B2712" s="13" t="inlineStr">
        <is>
          <t>Legendary Creature — Shark Octopus Ninja</t>
        </is>
      </c>
      <c r="C2712" s="13" t="inlineStr">
        <is>
          <t>Rare / Rara</t>
        </is>
      </c>
      <c r="D2712" s="13" t="inlineStr">
        <is>
          <t>Sneak {3}{B}{B} First strike Whenever Shark Shredder deals combat damage to a player, put up to one target creature card from that player's graveyard onto the battlefield under your control. It enters tapped and attacking that player.</t>
        </is>
      </c>
      <c r="E2712" s="13" t="inlineStr">
        <is>
          <t>{2}{B}{B}</t>
        </is>
      </c>
      <c r="F2712" s="13" t="inlineStr">
        <is>
          <t>Preto</t>
        </is>
      </c>
      <c r="G2712" s="8" t="n">
        <v>8.289999999999999</v>
      </c>
      <c r="H2712" s="13" t="inlineStr">
        <is>
          <t>Teenage Mutant Ninja Turtles (TMT)</t>
        </is>
      </c>
      <c r="I2712" s="13" t="inlineStr">
        <is>
          <t>Sim</t>
        </is>
      </c>
      <c r="J2712" s="13" t="n">
        <v>2026</v>
      </c>
      <c r="K2712" s="10" t="n">
        <v>46116</v>
      </c>
      <c r="L2712" s="13" t="n">
        <v>1</v>
      </c>
      <c r="M2712" s="8">
        <f>L2712*G2712</f>
        <v/>
      </c>
      <c r="P2712" s="9" t="n"/>
    </row>
    <row r="2713">
      <c r="A2713" s="13" t="inlineStr">
        <is>
          <t>Sharktocrab / Tubaropolvoguejo</t>
        </is>
      </c>
      <c r="B2713" s="13" t="inlineStr">
        <is>
          <t>Creature — Shark Octopus Crab / Criatura — Peixe Polvo Caranguejo</t>
        </is>
      </c>
      <c r="C2713" s="13" t="inlineStr">
        <is>
          <t>Uncommon / Incomum</t>
        </is>
      </c>
      <c r="D2713" s="13"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2713" s="13" t="inlineStr">
        <is>
          <t>{2}{G}{U}</t>
        </is>
      </c>
      <c r="F2713" s="13" t="inlineStr">
        <is>
          <t>Verde, Azul</t>
        </is>
      </c>
      <c r="G2713" s="8" t="n">
        <v>0.49</v>
      </c>
      <c r="H2713" s="13" t="inlineStr">
        <is>
          <t>Ravnica Allegiance (RNA)</t>
        </is>
      </c>
      <c r="I2713" s="13" t="inlineStr">
        <is>
          <t>Sim</t>
        </is>
      </c>
      <c r="J2713" s="13" t="n">
        <v>2019</v>
      </c>
      <c r="K2713" s="10" t="n">
        <v>46116</v>
      </c>
      <c r="L2713" s="13" t="n">
        <v>1</v>
      </c>
      <c r="M2713" s="8">
        <f>L2713*G2713</f>
        <v/>
      </c>
      <c r="P2713" s="9" t="n"/>
    </row>
    <row r="2714">
      <c r="A2714" s="13" t="inlineStr">
        <is>
          <t>Sharlayan, Nation of Scholars / Sharlayan, Nação de Estudiosos</t>
        </is>
      </c>
      <c r="B2714" s="13" t="inlineStr">
        <is>
          <t>Terreno — Vila</t>
        </is>
      </c>
      <c r="C2714" s="13" t="inlineStr">
        <is>
          <t>Rara</t>
        </is>
      </c>
      <c r="D2714" s="13" t="inlineStr">
        <is>
          <t>Este terreno entra virado. {T}: Adicione {W} ou {U}.</t>
        </is>
      </c>
      <c r="E2714" s="13" t="inlineStr">
        <is>
          <t>Não encontrado</t>
        </is>
      </c>
      <c r="F2714" s="13" t="inlineStr">
        <is>
          <t>Incolor</t>
        </is>
      </c>
      <c r="G2714" s="8" t="n">
        <v>0.15</v>
      </c>
      <c r="H2714" s="13" t="inlineStr">
        <is>
          <t>Final Fantasy</t>
        </is>
      </c>
      <c r="I2714" s="13" t="inlineStr">
        <is>
          <t>Não</t>
        </is>
      </c>
      <c r="J2714" s="13" t="n">
        <v>2025</v>
      </c>
      <c r="L2714" s="13" t="n">
        <v>3</v>
      </c>
      <c r="M2714" s="8">
        <f>L2714*G2714</f>
        <v/>
      </c>
      <c r="P2714" s="9" t="n"/>
    </row>
    <row r="2715">
      <c r="A2715" s="13" t="inlineStr">
        <is>
          <t>Shatter / Estilhaçar</t>
        </is>
      </c>
      <c r="B2715" s="13" t="inlineStr">
        <is>
          <t>Instant / Mágica Instantânea</t>
        </is>
      </c>
      <c r="C2715" s="13" t="inlineStr">
        <is>
          <t>Common / Comum</t>
        </is>
      </c>
      <c r="D2715" s="13" t="inlineStr">
        <is>
          <t>Destroy target artifact. / Destrói artefato-alvo.</t>
        </is>
      </c>
      <c r="E2715" s="13" t="inlineStr">
        <is>
          <t>{1}{R}</t>
        </is>
      </c>
      <c r="F2715" s="13" t="inlineStr">
        <is>
          <t>Vermelho</t>
        </is>
      </c>
      <c r="G2715" s="8" t="n">
        <v>0.05</v>
      </c>
      <c r="H2715" s="13" t="inlineStr">
        <is>
          <t>Fourth Edition</t>
        </is>
      </c>
      <c r="I2715" s="13" t="inlineStr">
        <is>
          <t>Não</t>
        </is>
      </c>
      <c r="J2715" s="13" t="n">
        <v>1995</v>
      </c>
      <c r="L2715" s="13" t="n">
        <v>3</v>
      </c>
      <c r="M2715" s="8">
        <f>L2715*G2715</f>
        <v/>
      </c>
      <c r="P2715" s="9" t="n"/>
    </row>
    <row r="2716">
      <c r="A2716" s="13" t="inlineStr">
        <is>
          <t>Shatter / Estilhaçar</t>
        </is>
      </c>
      <c r="B2716" s="13" t="inlineStr">
        <is>
          <t>Instant / Mágica Instantânea</t>
        </is>
      </c>
      <c r="C2716" s="13" t="inlineStr">
        <is>
          <t>Common / Comum</t>
        </is>
      </c>
      <c r="D2716" s="13" t="inlineStr">
        <is>
          <t>Destroy target artifact. / Destrói artefato-alvo.</t>
        </is>
      </c>
      <c r="E2716" s="13" t="inlineStr">
        <is>
          <t>{1}{R}</t>
        </is>
      </c>
      <c r="F2716" s="13" t="inlineStr">
        <is>
          <t>Vermelho</t>
        </is>
      </c>
      <c r="G2716" s="8" t="n">
        <v>0.25</v>
      </c>
      <c r="H2716" s="13" t="inlineStr">
        <is>
          <t>Fourth Edition (BB)</t>
        </is>
      </c>
      <c r="I2716" s="13" t="inlineStr">
        <is>
          <t>Não</t>
        </is>
      </c>
      <c r="J2716" s="13" t="n">
        <v>1995</v>
      </c>
      <c r="L2716" s="13" t="n">
        <v>2</v>
      </c>
      <c r="M2716" s="8">
        <f>L2716*G2716</f>
        <v/>
      </c>
      <c r="P2716" s="9" t="n"/>
    </row>
    <row r="2717">
      <c r="A2717" s="13" t="inlineStr">
        <is>
          <t>Shatter / Estilhaçar</t>
        </is>
      </c>
      <c r="B2717" s="13" t="inlineStr">
        <is>
          <t>Instant / Mágica Instantânea</t>
        </is>
      </c>
      <c r="C2717" s="13" t="inlineStr">
        <is>
          <t>Common / Comum</t>
        </is>
      </c>
      <c r="D2717" s="13" t="inlineStr">
        <is>
          <t>Destroy target artifact. / Destrua o artefato alvo.</t>
        </is>
      </c>
      <c r="E2717" s="13" t="inlineStr">
        <is>
          <t>{1}{R}</t>
        </is>
      </c>
      <c r="F2717" s="13" t="inlineStr">
        <is>
          <t>Vermelho</t>
        </is>
      </c>
      <c r="G2717" s="8" t="n">
        <v>0.01</v>
      </c>
      <c r="H2717" s="13" t="inlineStr">
        <is>
          <t>Khans of Tarkir (KTK)</t>
        </is>
      </c>
      <c r="I2717" s="13" t="inlineStr">
        <is>
          <t>Não</t>
        </is>
      </c>
      <c r="J2717" s="13" t="n">
        <v>2014</v>
      </c>
      <c r="L2717" s="13" t="n">
        <v>1</v>
      </c>
      <c r="M2717" s="8">
        <f>L2717*G2717</f>
        <v/>
      </c>
      <c r="P2717" s="9" t="n"/>
    </row>
    <row r="2718">
      <c r="A2718" s="13" t="inlineStr">
        <is>
          <t>Shatter / Estilhaçar</t>
        </is>
      </c>
      <c r="B2718" s="13" t="inlineStr">
        <is>
          <t>Instant / Mágica Instantânea</t>
        </is>
      </c>
      <c r="C2718" s="13" t="inlineStr">
        <is>
          <t>Common / Comum</t>
        </is>
      </c>
      <c r="D2718" s="13" t="inlineStr">
        <is>
          <t>Destroy target artifact. / Destrói artefato-alvo.</t>
        </is>
      </c>
      <c r="E2718" s="13" t="inlineStr">
        <is>
          <t>{1}{R}</t>
        </is>
      </c>
      <c r="F2718" s="13" t="inlineStr">
        <is>
          <t>Vermelho</t>
        </is>
      </c>
      <c r="G2718" s="8" t="n">
        <v>0.06</v>
      </c>
      <c r="H2718" s="13" t="inlineStr">
        <is>
          <t>Revised Edition</t>
        </is>
      </c>
      <c r="I2718" s="13" t="inlineStr">
        <is>
          <t>Não</t>
        </is>
      </c>
      <c r="J2718" s="13" t="n">
        <v>1994</v>
      </c>
      <c r="L2718" s="13" t="n">
        <v>3</v>
      </c>
      <c r="M2718" s="8">
        <f>L2718*G2718</f>
        <v/>
      </c>
      <c r="P2718" s="9" t="n"/>
    </row>
    <row r="2719">
      <c r="A2719" s="13" t="inlineStr">
        <is>
          <t>Shattering Blow / Golpe Despedaçador</t>
        </is>
      </c>
      <c r="B2719" s="13" t="inlineStr">
        <is>
          <t>Instant / Mágica Instantânea</t>
        </is>
      </c>
      <c r="C2719" s="13" t="inlineStr">
        <is>
          <t>Common / Comum</t>
        </is>
      </c>
      <c r="D2719" s="13" t="inlineStr">
        <is>
          <t>Exile target artifact. / Exile o artefato alvo.</t>
        </is>
      </c>
      <c r="E2719" s="13" t="inlineStr">
        <is>
          <t>{1}{R/W}</t>
        </is>
      </c>
      <c r="F2719" s="13" t="inlineStr">
        <is>
          <t>Vermelho, Branco</t>
        </is>
      </c>
      <c r="G2719" s="8" t="n">
        <v>0.09</v>
      </c>
      <c r="H2719" s="13" t="inlineStr">
        <is>
          <t>Gatecrash (GTC)</t>
        </is>
      </c>
      <c r="I2719" s="13" t="inlineStr">
        <is>
          <t>Não</t>
        </is>
      </c>
      <c r="J2719" s="13" t="n">
        <v>2013</v>
      </c>
      <c r="L2719" s="13" t="n">
        <v>4</v>
      </c>
      <c r="M2719" s="8">
        <f>L2719*G2719</f>
        <v/>
      </c>
      <c r="P2719" s="9" t="n"/>
    </row>
    <row r="2720">
      <c r="A2720" s="13" t="inlineStr">
        <is>
          <t>Shed Weakness / Eliminar Fraqueza</t>
        </is>
      </c>
      <c r="B2720" s="13" t="inlineStr">
        <is>
          <t>Instant / Mágica Instantânea</t>
        </is>
      </c>
      <c r="C2720" s="13" t="inlineStr">
        <is>
          <t>Common / Comum</t>
        </is>
      </c>
      <c r="D2720" s="13" t="inlineStr">
        <is>
          <t>Target creature gets +2/+2 until end of turn. You may remove a -1/-1 counter from it. / A criatura alvo recebe +2/+2 até o final do turno. Você pode remover um marcador -1/-1 dela.</t>
        </is>
      </c>
      <c r="E2720" s="13" t="inlineStr">
        <is>
          <t>{G}</t>
        </is>
      </c>
      <c r="F2720" s="13" t="inlineStr">
        <is>
          <t>Verde</t>
        </is>
      </c>
      <c r="G2720" s="8" t="n">
        <v>0.03</v>
      </c>
      <c r="H2720" s="13" t="inlineStr">
        <is>
          <t>Amonkhet (AKH)</t>
        </is>
      </c>
      <c r="I2720" s="13" t="inlineStr">
        <is>
          <t>Não</t>
        </is>
      </c>
      <c r="J2720" s="13" t="n">
        <v>2017</v>
      </c>
      <c r="L2720" s="13" t="n">
        <v>1</v>
      </c>
      <c r="M2720" s="8">
        <f>L2720*G2720</f>
        <v/>
      </c>
      <c r="P2720" s="9" t="n"/>
    </row>
    <row r="2721">
      <c r="A2721" s="13" t="inlineStr">
        <is>
          <t>Sheltering Boughs / Ramos Protetores</t>
        </is>
      </c>
      <c r="B2721" s="13" t="inlineStr">
        <is>
          <t>Enchantment — Aura / Encantamento — Aura</t>
        </is>
      </c>
      <c r="C2721" s="13" t="inlineStr">
        <is>
          <t>Common / Comum</t>
        </is>
      </c>
      <c r="D2721" s="13" t="inlineStr">
        <is>
          <t>Enchant creature When this Aura enters, draw a card. Enchanted creature gets +1/+3. / Encantar criatura Quando Ramos Protetores entrar no campo de batalha, compre um card. A criatura encantada recebe +1/+3.</t>
        </is>
      </c>
      <c r="E2721" s="13" t="inlineStr">
        <is>
          <t>{2}{G}</t>
        </is>
      </c>
      <c r="F2721" s="13" t="inlineStr">
        <is>
          <t>Verde</t>
        </is>
      </c>
      <c r="G2721" s="8" t="n">
        <v>0.09</v>
      </c>
      <c r="H2721" s="13" t="inlineStr">
        <is>
          <t>Innistrad: Crimson Vow (VOW)</t>
        </is>
      </c>
      <c r="I2721" s="13" t="inlineStr">
        <is>
          <t>Não</t>
        </is>
      </c>
      <c r="J2721" s="13" t="n">
        <v>2021</v>
      </c>
      <c r="L2721" s="13" t="n">
        <v>1</v>
      </c>
      <c r="M2721" s="8">
        <f>L2721*G2721</f>
        <v/>
      </c>
      <c r="P2721" s="9" t="n"/>
    </row>
    <row r="2722">
      <c r="A2722" s="13" t="inlineStr">
        <is>
          <t>Sheriff of Safe Passage / Xerife da Passagem Segura</t>
        </is>
      </c>
      <c r="B2722" s="13" t="inlineStr">
        <is>
          <t>Creature — Human Knight / Criatura — Humano Cavaleiro</t>
        </is>
      </c>
      <c r="C2722" s="13" t="inlineStr">
        <is>
          <t>Uncommon / Incomum</t>
        </is>
      </c>
      <c r="D2722" s="13"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2722" s="13" t="inlineStr">
        <is>
          <t>{2}{W}</t>
        </is>
      </c>
      <c r="F2722" s="13" t="inlineStr">
        <is>
          <t>Branco</t>
        </is>
      </c>
      <c r="G2722" s="8" t="n">
        <v>0.1</v>
      </c>
      <c r="H2722" s="13" t="inlineStr">
        <is>
          <t>Outlaws of Thunder Junction (OTJ)</t>
        </is>
      </c>
      <c r="I2722" s="13" t="inlineStr">
        <is>
          <t>Não</t>
        </is>
      </c>
      <c r="J2722" s="13" t="n">
        <v>2024</v>
      </c>
      <c r="K2722" s="13" t="inlineStr">
        <is>
          <t>0/0</t>
        </is>
      </c>
      <c r="L2722" s="13" t="n">
        <v>1</v>
      </c>
      <c r="M2722" s="8">
        <f>L2722*G2722</f>
        <v/>
      </c>
      <c r="P2722" s="9" t="n"/>
    </row>
    <row r="2723">
      <c r="A2723" s="13" t="inlineStr">
        <is>
          <t>Shield Dancer / Dançarina de Escudo</t>
        </is>
      </c>
      <c r="B2723" s="13" t="inlineStr">
        <is>
          <t>Creature — Rebel / Criatura — Rebelde</t>
        </is>
      </c>
      <c r="C2723" s="13" t="inlineStr">
        <is>
          <t>Rare / Rara</t>
        </is>
      </c>
      <c r="D2723" s="13"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2723" s="13" t="inlineStr">
        <is>
          <t>{2}{W}</t>
        </is>
      </c>
      <c r="F2723" s="13" t="inlineStr">
        <is>
          <t>Branco</t>
        </is>
      </c>
      <c r="G2723" s="8" t="n">
        <v>0.09</v>
      </c>
      <c r="H2723" s="13" t="inlineStr">
        <is>
          <t>Prophecy (PCY)</t>
        </is>
      </c>
      <c r="I2723" s="13" t="inlineStr">
        <is>
          <t>No</t>
        </is>
      </c>
      <c r="J2723" s="13" t="n">
        <v>2000</v>
      </c>
      <c r="K2723" s="10" t="n">
        <v>46082</v>
      </c>
      <c r="L2723" s="13" t="n">
        <v>1</v>
      </c>
      <c r="M2723" s="8">
        <f>L2723*G2723</f>
        <v/>
      </c>
      <c r="P2723" s="9" t="n"/>
    </row>
    <row r="2724">
      <c r="A2724" s="13" t="inlineStr">
        <is>
          <t>Shield of Duty and Reason</t>
        </is>
      </c>
      <c r="B2724" s="13" t="inlineStr">
        <is>
          <t>Encantar Criatura / Enchant Creature</t>
        </is>
      </c>
      <c r="C2724" s="13" t="inlineStr">
        <is>
          <t>Comum / Common</t>
        </is>
      </c>
      <c r="D2724" s="13" t="inlineStr">
        <is>
          <t>Enchanted creature has protection from green and from blue.</t>
        </is>
      </c>
      <c r="E2724" s="13" t="inlineStr">
        <is>
          <t>{W}</t>
        </is>
      </c>
      <c r="F2724" s="13" t="inlineStr">
        <is>
          <t>Branco</t>
        </is>
      </c>
      <c r="G2724" s="8" t="n">
        <v>4.9</v>
      </c>
      <c r="H2724" s="13" t="inlineStr">
        <is>
          <t>Apocalypse (APC)</t>
        </is>
      </c>
      <c r="I2724" s="13" t="inlineStr">
        <is>
          <t>Não</t>
        </is>
      </c>
      <c r="J2724" s="13" t="n">
        <v>2001</v>
      </c>
      <c r="L2724" s="13" t="n">
        <v>1</v>
      </c>
      <c r="M2724" s="8">
        <f>L2724*G2724</f>
        <v/>
      </c>
      <c r="N2724" s="13" t="inlineStr">
        <is>
          <t>Pasta</t>
        </is>
      </c>
      <c r="P2724" s="9" t="n"/>
    </row>
    <row r="2725">
      <c r="A2725" s="13" t="inlineStr">
        <is>
          <t>Shield of the Oversoul / Escudo da Alma Suprema</t>
        </is>
      </c>
      <c r="B2725" s="13" t="inlineStr">
        <is>
          <t>Enchantment — Aura / Encantamento — Aura</t>
        </is>
      </c>
      <c r="C2725" s="13" t="inlineStr">
        <is>
          <t>Common / Comum</t>
        </is>
      </c>
      <c r="D2725" s="13"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2725" s="13" t="inlineStr">
        <is>
          <t>{2}{G/W}</t>
        </is>
      </c>
      <c r="F2725" s="13" t="inlineStr">
        <is>
          <t>Verde e Branco</t>
        </is>
      </c>
      <c r="G2725" s="8" t="n">
        <v>2.16</v>
      </c>
      <c r="H2725" s="13" t="inlineStr">
        <is>
          <t>Shadowmoor (SHM)</t>
        </is>
      </c>
      <c r="I2725" s="13" t="inlineStr">
        <is>
          <t>Não</t>
        </is>
      </c>
      <c r="J2725" s="13" t="n">
        <v>2008</v>
      </c>
      <c r="L2725" s="13" t="n">
        <v>1</v>
      </c>
      <c r="M2725" s="8">
        <f>L2725*G2725</f>
        <v/>
      </c>
      <c r="P2725" s="9" t="n"/>
    </row>
    <row r="2726">
      <c r="A2726" s="13" t="inlineStr">
        <is>
          <t>Shield-Wall Sentinel / Sentinela da Barreira de Escudos</t>
        </is>
      </c>
      <c r="B2726" s="13" t="inlineStr">
        <is>
          <t>Artifact Creature — Golem / Criatura Artefato — Golem</t>
        </is>
      </c>
      <c r="C2726" s="13" t="inlineStr">
        <is>
          <t>Common / Comum</t>
        </is>
      </c>
      <c r="D2726" s="13"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2726" s="13" t="inlineStr">
        <is>
          <t>{4}</t>
        </is>
      </c>
      <c r="F2726" s="13" t="inlineStr">
        <is>
          <t>Incolor</t>
        </is>
      </c>
      <c r="G2726" s="8" t="n">
        <v>1.76</v>
      </c>
      <c r="H2726" s="13" t="inlineStr">
        <is>
          <t>Dominaria United (DMU)</t>
        </is>
      </c>
      <c r="I2726" s="13" t="inlineStr">
        <is>
          <t>Sim</t>
        </is>
      </c>
      <c r="J2726" s="13" t="n">
        <v>2022</v>
      </c>
      <c r="K2726" s="10" t="n">
        <v>46082</v>
      </c>
      <c r="L2726" s="13" t="n">
        <v>1</v>
      </c>
      <c r="M2726" s="8">
        <f>L2726*G2726</f>
        <v/>
      </c>
      <c r="N2726" s="13" t="inlineStr">
        <is>
          <t>Pasta</t>
        </is>
      </c>
      <c r="P2726" s="9" t="n"/>
    </row>
    <row r="2727">
      <c r="A2727" s="13" t="inlineStr">
        <is>
          <t>Shigeki's Gambit / Presa de Shigeki</t>
        </is>
      </c>
      <c r="B2727" s="13" t="inlineStr">
        <is>
          <t>Enchantment Creature — Snake Ninja / Criatura Encantamento — Cobra Ninja</t>
        </is>
      </c>
      <c r="C2727" s="13" t="inlineStr">
        <is>
          <t>Common / Comum</t>
        </is>
      </c>
      <c r="D2727" s="13" t="inlineStr">
        <is>
          <t>Deathtouch / Toque mortífero</t>
        </is>
      </c>
      <c r="E2727" s="13" t="inlineStr">
        <is>
          <t>{G}</t>
        </is>
      </c>
      <c r="F2727" s="13" t="inlineStr">
        <is>
          <t>Verde</t>
        </is>
      </c>
      <c r="G2727" s="8" t="n">
        <v>0.17</v>
      </c>
      <c r="H2727" s="13" t="inlineStr">
        <is>
          <t>Kamigawa: Neon Dynasty (NEO)</t>
        </is>
      </c>
      <c r="I2727" s="13" t="inlineStr">
        <is>
          <t>Não</t>
        </is>
      </c>
      <c r="J2727" s="13" t="n">
        <v>2022</v>
      </c>
      <c r="K2727" s="10" t="n">
        <v>46023</v>
      </c>
      <c r="L2727" s="13" t="n">
        <v>1</v>
      </c>
      <c r="M2727" s="8">
        <f>L2727*G2727</f>
        <v/>
      </c>
      <c r="P2727" s="9" t="n"/>
    </row>
    <row r="2728">
      <c r="A2728" s="13" t="inlineStr">
        <is>
          <t>Shimian Night Stalker</t>
        </is>
      </c>
      <c r="B2728" s="13" t="inlineStr">
        <is>
          <t>Creature — Nightstalker</t>
        </is>
      </c>
      <c r="C2728" s="13" t="inlineStr">
        <is>
          <t>Uncommon / Incomum</t>
        </is>
      </c>
      <c r="D2728" s="13" t="inlineStr">
        <is>
          <t>{B}, {T}: All damage that would be dealt to you this turn by target attacking creature is dealt to this creature instead.</t>
        </is>
      </c>
      <c r="E2728" s="13" t="inlineStr">
        <is>
          <t>{3}{B}{B}</t>
        </is>
      </c>
      <c r="F2728" s="13" t="inlineStr">
        <is>
          <t>Preto</t>
        </is>
      </c>
      <c r="G2728" s="8" t="n">
        <v>0.09</v>
      </c>
      <c r="H2728" s="13" t="inlineStr">
        <is>
          <t>Chonicles</t>
        </is>
      </c>
      <c r="I2728" s="13" t="inlineStr">
        <is>
          <t>Não</t>
        </is>
      </c>
      <c r="J2728" s="13" t="n">
        <v>1995</v>
      </c>
      <c r="K2728" s="10" t="n">
        <v>46116</v>
      </c>
      <c r="L2728" s="13" t="n">
        <v>3</v>
      </c>
      <c r="M2728" s="8">
        <f>L2728*G2728</f>
        <v/>
      </c>
      <c r="P2728" s="9" t="n"/>
    </row>
    <row r="2729">
      <c r="A2729" s="13" t="inlineStr">
        <is>
          <t>Shimmercreep</t>
        </is>
      </c>
      <c r="B2729" s="13" t="inlineStr">
        <is>
          <t>Creature — Elemental</t>
        </is>
      </c>
      <c r="C2729" s="13" t="inlineStr">
        <is>
          <t>Uncommon</t>
        </is>
      </c>
      <c r="D2729" s="13" t="inlineStr">
        <is>
          <t>Menace. Vivid — When this creature enters, each opponent loses X life and you gain X life, where X is the number of colors among permanents you control.</t>
        </is>
      </c>
      <c r="E2729" s="13" t="inlineStr">
        <is>
          <t>{4}{B}</t>
        </is>
      </c>
      <c r="F2729" s="13" t="inlineStr">
        <is>
          <t>Preto</t>
        </is>
      </c>
      <c r="G2729" s="8" t="n">
        <v>0.04</v>
      </c>
      <c r="H2729" s="13" t="inlineStr">
        <is>
          <t>Lorwyn Eclipsed (ECL)</t>
        </is>
      </c>
      <c r="I2729" s="13" t="inlineStr">
        <is>
          <t>Não</t>
        </is>
      </c>
      <c r="J2729" s="13" t="n">
        <v>2026</v>
      </c>
      <c r="K2729" s="10" t="n">
        <v>46145</v>
      </c>
      <c r="L2729" s="13" t="n">
        <v>1</v>
      </c>
      <c r="M2729" s="8">
        <f>L2729*G2729</f>
        <v/>
      </c>
      <c r="P2729" s="9" t="n"/>
    </row>
    <row r="2730">
      <c r="A2730" s="13" t="inlineStr">
        <is>
          <t>Shinra Reinforcements</t>
        </is>
      </c>
      <c r="B2730" s="13" t="inlineStr">
        <is>
          <t>Creature — Human Soldier</t>
        </is>
      </c>
      <c r="C2730" s="13" t="inlineStr">
        <is>
          <t>Comum</t>
        </is>
      </c>
      <c r="D2730" s="13" t="inlineStr">
        <is>
          <t>When this creature enters, mill three cards and you gain 3 life. (To mill three cards, put the top three cards of your library into your graveyard.)</t>
        </is>
      </c>
      <c r="E2730" s="13" t="inlineStr">
        <is>
          <t>2B</t>
        </is>
      </c>
      <c r="F2730" s="13" t="inlineStr">
        <is>
          <t>Preta</t>
        </is>
      </c>
      <c r="G2730" s="8" t="n">
        <v>0.05</v>
      </c>
      <c r="H2730" s="13" t="inlineStr">
        <is>
          <t>Final Fantasy (FFVII)</t>
        </is>
      </c>
      <c r="I2730" s="13" t="inlineStr">
        <is>
          <t>Não</t>
        </is>
      </c>
      <c r="J2730" s="13" t="n">
        <v>2025</v>
      </c>
      <c r="K2730" s="10" t="n">
        <v>46083</v>
      </c>
      <c r="L2730" s="13" t="n">
        <v>13</v>
      </c>
      <c r="M2730" s="8">
        <f>L2730*G2730</f>
        <v/>
      </c>
      <c r="P2730" s="9" t="n"/>
    </row>
    <row r="2731">
      <c r="A2731" s="13" t="inlineStr">
        <is>
          <t>Shinra Reinforcements</t>
        </is>
      </c>
      <c r="B2731" s="13" t="inlineStr">
        <is>
          <t>Creature — Human Soldier</t>
        </is>
      </c>
      <c r="C2731" s="13" t="inlineStr">
        <is>
          <t>Comum</t>
        </is>
      </c>
      <c r="D2731" s="13" t="inlineStr">
        <is>
          <t>When this creature enters, mill three cards and you gain 3 life. (To mill three cards, put the top three cards of your library into your graveyard.)</t>
        </is>
      </c>
      <c r="E2731" s="13" t="inlineStr">
        <is>
          <t>2B</t>
        </is>
      </c>
      <c r="F2731" s="13" t="inlineStr">
        <is>
          <t>Preta</t>
        </is>
      </c>
      <c r="G2731" s="8" t="n">
        <v>0.05</v>
      </c>
      <c r="H2731" s="13" t="inlineStr">
        <is>
          <t>Final Fantasy (FFVII)</t>
        </is>
      </c>
      <c r="I2731" s="13" t="inlineStr">
        <is>
          <t>Sim</t>
        </is>
      </c>
      <c r="J2731" s="13" t="n">
        <v>2025</v>
      </c>
      <c r="K2731" s="10" t="n">
        <v>46083</v>
      </c>
      <c r="L2731" s="13" t="n">
        <v>1</v>
      </c>
      <c r="M2731" s="8">
        <f>L2731*G2731</f>
        <v/>
      </c>
      <c r="P2731" s="9" t="n"/>
    </row>
    <row r="2732">
      <c r="A2732" s="13" t="inlineStr">
        <is>
          <t>Shire Shirriff / Condestável do Condado</t>
        </is>
      </c>
      <c r="B2732" s="13" t="inlineStr">
        <is>
          <t>Creature — Halfling Soldier / Criatura — Pequenino Soldado</t>
        </is>
      </c>
      <c r="C2732" s="13" t="inlineStr">
        <is>
          <t>Uncommon / Incomum</t>
        </is>
      </c>
      <c r="D2732" s="13"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2732" s="13" t="inlineStr">
        <is>
          <t>{1}{W}</t>
        </is>
      </c>
      <c r="F2732" s="13" t="inlineStr">
        <is>
          <t>Branco</t>
        </is>
      </c>
      <c r="G2732" s="8" t="n">
        <v>0.09</v>
      </c>
      <c r="H2732" s="13" t="inlineStr">
        <is>
          <t>The Lord of the Rings: Tales of Middle-earth (LTR)</t>
        </is>
      </c>
      <c r="I2732" s="13" t="inlineStr">
        <is>
          <t>Não</t>
        </is>
      </c>
      <c r="J2732" s="13" t="n">
        <v>2023</v>
      </c>
      <c r="K2732" s="10" t="n">
        <v>46055</v>
      </c>
      <c r="L2732" s="13" t="n">
        <v>2</v>
      </c>
      <c r="M2732" s="8">
        <f>L2732*G2732</f>
        <v/>
      </c>
      <c r="P2732" s="9" t="n"/>
    </row>
    <row r="2733">
      <c r="A2733" s="13" t="inlineStr">
        <is>
          <t>Shirei, Shizo's Caretaker / Shirei, Vigia de Shizo</t>
        </is>
      </c>
      <c r="B2733" s="13" t="inlineStr">
        <is>
          <t>Legendary Creature — Spirit / Criatura Lendária - Espírito</t>
        </is>
      </c>
      <c r="C2733" s="13" t="inlineStr">
        <is>
          <t>Uncommon / Incomum</t>
        </is>
      </c>
      <c r="D2733" s="13"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2733" s="13" t="inlineStr">
        <is>
          <t>{4}{B}</t>
        </is>
      </c>
      <c r="F2733" s="13" t="inlineStr">
        <is>
          <t>Preto</t>
        </is>
      </c>
      <c r="G2733" s="8" t="n">
        <v>0.25</v>
      </c>
      <c r="H2733" s="13" t="inlineStr">
        <is>
          <t>Ultimate Masters (UMA)</t>
        </is>
      </c>
      <c r="I2733" s="13" t="inlineStr">
        <is>
          <t>Não</t>
        </is>
      </c>
      <c r="J2733" s="13" t="n">
        <v>2018</v>
      </c>
      <c r="K2733" s="10" t="n">
        <v>46055</v>
      </c>
      <c r="L2733" s="13" t="n">
        <v>1</v>
      </c>
      <c r="M2733" s="8">
        <f>L2733*G2733</f>
        <v/>
      </c>
      <c r="P2733" s="9" t="n"/>
    </row>
    <row r="2734">
      <c r="A2734" s="13" t="inlineStr">
        <is>
          <t>Shock / Choque</t>
        </is>
      </c>
      <c r="B2734" s="13" t="inlineStr">
        <is>
          <t>Mágica Instantânea</t>
        </is>
      </c>
      <c r="C2734" s="13" t="inlineStr">
        <is>
          <t>Comum</t>
        </is>
      </c>
      <c r="D2734" s="13" t="inlineStr">
        <is>
          <t>Choque causa 2 de dano à criatura ou ao jogador alvo.</t>
        </is>
      </c>
      <c r="E2734" s="13" t="inlineStr">
        <is>
          <t>R</t>
        </is>
      </c>
      <c r="F2734" s="13" t="inlineStr">
        <is>
          <t>Vermelho</t>
        </is>
      </c>
      <c r="G2734" s="8" t="n">
        <v>0.09</v>
      </c>
      <c r="H2734" s="13" t="inlineStr">
        <is>
          <t>Duel Decks: Speed vs. Cunning</t>
        </is>
      </c>
      <c r="I2734" s="13" t="inlineStr">
        <is>
          <t>Não</t>
        </is>
      </c>
      <c r="J2734" s="13" t="n">
        <v>2014</v>
      </c>
      <c r="L2734" s="13" t="n">
        <v>1</v>
      </c>
      <c r="M2734" s="8">
        <f>L2734*G2734</f>
        <v/>
      </c>
      <c r="P2734" s="9" t="n"/>
    </row>
    <row r="2735">
      <c r="A2735" s="13" t="inlineStr">
        <is>
          <t>Shore Keeper / Guardião da Costa</t>
        </is>
      </c>
      <c r="B2735" s="13" t="inlineStr">
        <is>
          <t>Creature — Trilobite / Criatura — Trilobita</t>
        </is>
      </c>
      <c r="C2735" s="13" t="inlineStr">
        <is>
          <t>Common / Comum</t>
        </is>
      </c>
      <c r="D2735" s="13" t="inlineStr">
        <is>
          <t>{7}{U}, {T}, Sacrifice this creature: Draw three cards. / {7}{U}, {T}, sacrifique Guardião da Costa: Compre três cards.</t>
        </is>
      </c>
      <c r="E2735" s="13" t="inlineStr">
        <is>
          <t>{U}</t>
        </is>
      </c>
      <c r="F2735" s="13" t="inlineStr">
        <is>
          <t>Azul</t>
        </is>
      </c>
      <c r="G2735" s="8" t="n">
        <v>0.03</v>
      </c>
      <c r="H2735" s="13" t="inlineStr">
        <is>
          <t>Ixalan (XLN)</t>
        </is>
      </c>
      <c r="I2735" s="13" t="inlineStr">
        <is>
          <t>Não</t>
        </is>
      </c>
      <c r="J2735" s="13" t="n">
        <v>2017</v>
      </c>
      <c r="K2735" s="13" t="inlineStr">
        <is>
          <t>0/3</t>
        </is>
      </c>
      <c r="L2735" s="13" t="n">
        <v>1</v>
      </c>
      <c r="M2735" s="8">
        <f>L2735*G2735</f>
        <v/>
      </c>
      <c r="P2735" s="9" t="n"/>
    </row>
    <row r="2736">
      <c r="A2736" s="13" t="inlineStr">
        <is>
          <t>Shore Lurker</t>
        </is>
      </c>
      <c r="B2736" s="13" t="inlineStr">
        <is>
          <t>Creature — Merfolk Scout</t>
        </is>
      </c>
      <c r="C2736" s="13" t="inlineStr">
        <is>
          <t>Common / Comum</t>
        </is>
      </c>
      <c r="D2736" s="13" t="inlineStr">
        <is>
          <t>Flying When this creature enters, surveil 1. (Look at the top card of your library. You may put it into your graveyard.)</t>
        </is>
      </c>
      <c r="E2736" s="13" t="inlineStr">
        <is>
          <t>{3}{W}</t>
        </is>
      </c>
      <c r="F2736" s="13" t="inlineStr">
        <is>
          <t>Branco</t>
        </is>
      </c>
      <c r="G2736" s="8" t="n">
        <v>0.1</v>
      </c>
      <c r="H2736" s="13" t="inlineStr">
        <is>
          <t>Lorwyn Eclipsed (ECL)</t>
        </is>
      </c>
      <c r="I2736" s="13" t="inlineStr">
        <is>
          <t>Não</t>
        </is>
      </c>
      <c r="J2736" s="13" t="n">
        <v>2026</v>
      </c>
      <c r="K2736" s="10" t="n">
        <v>46084</v>
      </c>
      <c r="L2736" s="13" t="n">
        <v>2</v>
      </c>
      <c r="M2736" s="8">
        <f>L2736*G2736</f>
        <v/>
      </c>
      <c r="P2736" s="9" t="n"/>
    </row>
    <row r="2737">
      <c r="A2737" s="13" t="inlineStr">
        <is>
          <t>Shredder, Unrelenting</t>
        </is>
      </c>
      <c r="B2737" s="13" t="inlineStr">
        <is>
          <t>Legendary Creature — Human Ninja</t>
        </is>
      </c>
      <c r="C2737" s="13" t="inlineStr">
        <is>
          <t>Uncommon / Incomum</t>
        </is>
      </c>
      <c r="D2737" s="13"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737" s="13" t="inlineStr">
        <is>
          <t>{4}{B}</t>
        </is>
      </c>
      <c r="F2737" s="13" t="inlineStr">
        <is>
          <t>Preto</t>
        </is>
      </c>
      <c r="G2737" s="8" t="n">
        <v>0.24</v>
      </c>
      <c r="H2737" s="13" t="inlineStr">
        <is>
          <t>Teenage Mutant Ninja Turtles (TMT)</t>
        </is>
      </c>
      <c r="I2737" s="13" t="inlineStr">
        <is>
          <t>Não</t>
        </is>
      </c>
      <c r="J2737" s="13" t="n">
        <v>2026</v>
      </c>
      <c r="K2737" s="10" t="n">
        <v>46118</v>
      </c>
      <c r="L2737" s="13" t="n">
        <v>1</v>
      </c>
      <c r="M2737" s="8">
        <f>L2737*G2737</f>
        <v/>
      </c>
      <c r="P2737" s="9" t="n"/>
    </row>
    <row r="2738">
      <c r="A2738" s="13" t="inlineStr">
        <is>
          <t>Shredder's Armor</t>
        </is>
      </c>
      <c r="B2738" s="13" t="inlineStr">
        <is>
          <t>Artifact — Equipment</t>
        </is>
      </c>
      <c r="C2738" s="13" t="inlineStr">
        <is>
          <t>Uncommon / Incomum</t>
        </is>
      </c>
      <c r="D2738" s="13" t="inlineStr">
        <is>
          <t>Equipped creature gets +2/+1. When this Equipment enters, attach it to target creature you control. Equip—Sacrifice another nonland permanent. Activate only once each turn.</t>
        </is>
      </c>
      <c r="E2738" s="13" t="inlineStr">
        <is>
          <t>{1}{B}</t>
        </is>
      </c>
      <c r="F2738" s="13" t="inlineStr">
        <is>
          <t>Preto</t>
        </is>
      </c>
      <c r="G2738" s="8" t="n">
        <v>0.16</v>
      </c>
      <c r="H2738" s="13" t="inlineStr">
        <is>
          <t>Teenage Mutant Ninja Turtles (TMT)</t>
        </is>
      </c>
      <c r="I2738" s="13" t="inlineStr">
        <is>
          <t>Não</t>
        </is>
      </c>
      <c r="J2738" s="13" t="n">
        <v>2026</v>
      </c>
      <c r="L2738" s="13" t="n">
        <v>1</v>
      </c>
      <c r="M2738" s="8">
        <f>L2738*G2738</f>
        <v/>
      </c>
      <c r="P2738" s="9" t="n"/>
    </row>
    <row r="2739">
      <c r="A2739" s="13" t="inlineStr">
        <is>
          <t>Shredder's Revenge</t>
        </is>
      </c>
      <c r="B2739" s="13" t="inlineStr">
        <is>
          <t>Sorcery</t>
        </is>
      </c>
      <c r="C2739" s="13" t="inlineStr">
        <is>
          <t>Common / Comum</t>
        </is>
      </c>
      <c r="D2739" s="13" t="inlineStr">
        <is>
          <t>Choose one — • Target player discards two cards. • Target player draws two cards and loses 2 life.</t>
        </is>
      </c>
      <c r="E2739" s="13" t="inlineStr">
        <is>
          <t>{2}{B}</t>
        </is>
      </c>
      <c r="F2739" s="13" t="inlineStr">
        <is>
          <t>Preto</t>
        </is>
      </c>
      <c r="G2739" s="8" t="n">
        <v>0.1</v>
      </c>
      <c r="H2739" s="13" t="inlineStr">
        <is>
          <t>Teenage Mutant Ninja Turtles (TMT)</t>
        </is>
      </c>
      <c r="I2739" s="13" t="inlineStr">
        <is>
          <t>Não</t>
        </is>
      </c>
      <c r="J2739" s="13" t="n">
        <v>2026</v>
      </c>
      <c r="L2739" s="13" t="n">
        <v>3</v>
      </c>
      <c r="M2739" s="8">
        <f>L2739*G2739</f>
        <v/>
      </c>
      <c r="P2739" s="9" t="n"/>
    </row>
    <row r="2740">
      <c r="A2740" s="13" t="inlineStr">
        <is>
          <t>Shrewd Storyteller</t>
        </is>
      </c>
      <c r="B2740" s="13" t="inlineStr">
        <is>
          <t>Creature — Human Survivor</t>
        </is>
      </c>
      <c r="C2740" s="13" t="inlineStr">
        <is>
          <t>Uncommon / Incomum</t>
        </is>
      </c>
      <c r="D2740" s="13" t="inlineStr">
        <is>
          <t>Survival — At the beginning of your second main phase, if this creature is tapped, put a +1/+1 counter on target creature.</t>
        </is>
      </c>
      <c r="E2740" s="13" t="inlineStr">
        <is>
          <t>{1}{G}{W}</t>
        </is>
      </c>
      <c r="F2740" s="13" t="inlineStr">
        <is>
          <t>Verde, Branco</t>
        </is>
      </c>
      <c r="G2740" s="8" t="n">
        <v>0.05</v>
      </c>
      <c r="H2740" s="13" t="inlineStr">
        <is>
          <t>Duskmourn: House of Horror (DSK)</t>
        </is>
      </c>
      <c r="I2740" s="13" t="inlineStr">
        <is>
          <t>Não</t>
        </is>
      </c>
      <c r="J2740" s="13" t="n">
        <v>2024</v>
      </c>
      <c r="K2740" s="10" t="n">
        <v>46084</v>
      </c>
      <c r="L2740" s="13" t="n">
        <v>1</v>
      </c>
      <c r="M2740" s="8">
        <f>L2740*G2740</f>
        <v/>
      </c>
      <c r="P2740" s="9" t="n"/>
    </row>
    <row r="2741">
      <c r="A2741" s="13" t="inlineStr">
        <is>
          <t>Shriekdiver / Guinchador de Mergulho</t>
        </is>
      </c>
      <c r="B2741" s="13" t="inlineStr">
        <is>
          <t>Creature — Zombie Bird Warrior / Criatura — Zumbi Ave Guerreiro</t>
        </is>
      </c>
      <c r="C2741" s="13" t="inlineStr">
        <is>
          <t>Common / Comum</t>
        </is>
      </c>
      <c r="D2741" s="13" t="inlineStr">
        <is>
          <t>Flying {1}: This creature gains haste until end of turn. / Voar {1}: Guinchador de Mergulho ganha ímpeto até o final do turno.</t>
        </is>
      </c>
      <c r="E2741" s="13" t="inlineStr">
        <is>
          <t>{2}{B}</t>
        </is>
      </c>
      <c r="F2741" s="13" t="inlineStr">
        <is>
          <t>Preto</t>
        </is>
      </c>
      <c r="G2741" s="8" t="n">
        <v>0.02</v>
      </c>
      <c r="H2741" s="13" t="inlineStr">
        <is>
          <t>War of the Spark (WAR)</t>
        </is>
      </c>
      <c r="I2741" s="13" t="inlineStr">
        <is>
          <t>Não</t>
        </is>
      </c>
      <c r="J2741" s="13" t="n">
        <v>2019</v>
      </c>
      <c r="K2741" s="10" t="n">
        <v>46024</v>
      </c>
      <c r="L2741" s="13" t="n">
        <v>1</v>
      </c>
      <c r="M2741" s="8">
        <f>L2741*G2741</f>
        <v/>
      </c>
      <c r="P2741" s="9" t="n"/>
    </row>
    <row r="2742">
      <c r="A2742" s="13" t="inlineStr">
        <is>
          <t>Shriekgeist / Geist do Grito</t>
        </is>
      </c>
      <c r="B2742" s="13" t="inlineStr">
        <is>
          <t>Creature — Spirit / Criatura — Espírito</t>
        </is>
      </c>
      <c r="C2742" s="13" t="inlineStr">
        <is>
          <t>Common / Comum</t>
        </is>
      </c>
      <c r="D2742" s="13" t="inlineStr">
        <is>
          <t>Flying Whenever this creature deals combat damage to a player, that player mills two cards. / Voar Toda vez que Geist do Grito causa dano de combate a um jogador, aquele jogador coloca os dois cards do topo do grimório dele no próprio cemitério.</t>
        </is>
      </c>
      <c r="E2742" s="13" t="inlineStr">
        <is>
          <t>{1}{U}</t>
        </is>
      </c>
      <c r="F2742" s="13" t="inlineStr">
        <is>
          <t>Azul</t>
        </is>
      </c>
      <c r="G2742" s="8" t="n">
        <v>0.09</v>
      </c>
      <c r="H2742" s="13" t="inlineStr">
        <is>
          <t>Dark Ascension (DKA)</t>
        </is>
      </c>
      <c r="I2742" s="13" t="inlineStr">
        <is>
          <t>Não</t>
        </is>
      </c>
      <c r="J2742" s="13" t="n">
        <v>2012</v>
      </c>
      <c r="K2742" s="10" t="n">
        <v>46023</v>
      </c>
      <c r="L2742" s="13" t="n">
        <v>1</v>
      </c>
      <c r="M2742" s="8">
        <f>L2742*G2742</f>
        <v/>
      </c>
      <c r="P2742" s="9" t="n"/>
    </row>
    <row r="2743">
      <c r="A2743" s="13" t="inlineStr">
        <is>
          <t>Shrine Steward / Zelador do Sacrário</t>
        </is>
      </c>
      <c r="B2743" s="13" t="inlineStr">
        <is>
          <t>Artifact Creature — Construct / Criatura Artefato — Constructo</t>
        </is>
      </c>
      <c r="C2743" s="13" t="inlineStr">
        <is>
          <t>Common / Comum</t>
        </is>
      </c>
      <c r="D2743" s="13" t="inlineStr">
        <is>
          <t>When Shrine Steward enters the battlefield, you may search your library for an Aura or Shrine card, reveal it, put it into your hand, then shuffle.</t>
        </is>
      </c>
      <c r="E2743" s="13" t="inlineStr">
        <is>
          <t>{5}</t>
        </is>
      </c>
      <c r="F2743" s="13" t="inlineStr">
        <is>
          <t>Incolor</t>
        </is>
      </c>
      <c r="G2743" s="8" t="n">
        <v>0.25</v>
      </c>
      <c r="H2743" s="13" t="inlineStr">
        <is>
          <t>Kamigawa: Neon Dynasty (NEO)</t>
        </is>
      </c>
      <c r="I2743" s="13" t="inlineStr">
        <is>
          <t>Sim</t>
        </is>
      </c>
      <c r="J2743" s="13" t="n">
        <v>2022</v>
      </c>
      <c r="K2743" s="10" t="n">
        <v>46056</v>
      </c>
      <c r="L2743" s="13" t="n">
        <v>1</v>
      </c>
      <c r="M2743" s="8">
        <f>L2743*G2743</f>
        <v/>
      </c>
      <c r="P2743" s="9" t="n"/>
    </row>
    <row r="2744">
      <c r="A2744" s="13" t="inlineStr">
        <is>
          <t>Shrine Steward / Zelador do Sacrário</t>
        </is>
      </c>
      <c r="B2744" s="13" t="inlineStr">
        <is>
          <t>Artifact Creature — Construct / Criatura Artefato — Constructo</t>
        </is>
      </c>
      <c r="C2744" s="13" t="inlineStr">
        <is>
          <t>Common / Comum</t>
        </is>
      </c>
      <c r="D2744" s="13" t="inlineStr">
        <is>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is>
      </c>
      <c r="E2744" s="13" t="inlineStr">
        <is>
          <t>{5}</t>
        </is>
      </c>
      <c r="F2744" s="13" t="inlineStr">
        <is>
          <t>Incolor</t>
        </is>
      </c>
      <c r="G2744" s="8" t="n">
        <v>0.05</v>
      </c>
      <c r="H2744" s="13" t="inlineStr">
        <is>
          <t>Kamigawa: Neon Dynasty (NEO)</t>
        </is>
      </c>
      <c r="I2744" s="13" t="inlineStr">
        <is>
          <t>Não</t>
        </is>
      </c>
      <c r="J2744" s="13" t="n">
        <v>2022</v>
      </c>
      <c r="K2744" s="10" t="n">
        <v>46056</v>
      </c>
      <c r="L2744" s="13" t="n">
        <v>1</v>
      </c>
      <c r="M2744" s="8">
        <f>L2744*G2744</f>
        <v/>
      </c>
      <c r="P2744" s="9" t="n"/>
    </row>
    <row r="2745">
      <c r="A2745" s="13" t="inlineStr">
        <is>
          <t>Shrivel</t>
        </is>
      </c>
      <c r="B2745" s="13" t="inlineStr">
        <is>
          <t>Sorcery</t>
        </is>
      </c>
      <c r="C2745" s="13" t="inlineStr">
        <is>
          <t>Common</t>
        </is>
      </c>
      <c r="D2745" s="13" t="inlineStr">
        <is>
          <t>All creatures get -1/-1 until end of turn.</t>
        </is>
      </c>
      <c r="E2745" s="13" t="inlineStr">
        <is>
          <t>{1}{B}</t>
        </is>
      </c>
      <c r="F2745" s="13" t="inlineStr">
        <is>
          <t>Black</t>
        </is>
      </c>
      <c r="G2745" s="8" t="n">
        <v>0.3</v>
      </c>
      <c r="H2745" s="13" t="inlineStr">
        <is>
          <t>Modern Masters 2015 (MM2)</t>
        </is>
      </c>
      <c r="I2745" s="13" t="inlineStr">
        <is>
          <t>Sim</t>
        </is>
      </c>
      <c r="J2745" s="13" t="n">
        <v>2015</v>
      </c>
      <c r="L2745" s="13" t="n">
        <v>1</v>
      </c>
      <c r="M2745" s="8">
        <f>L2745*G2745</f>
        <v/>
      </c>
      <c r="P2745" s="9" t="n"/>
    </row>
    <row r="2746">
      <c r="A2746" s="13" t="inlineStr">
        <is>
          <t>Shrivel</t>
        </is>
      </c>
      <c r="B2746" s="13" t="inlineStr">
        <is>
          <t>Sorcery</t>
        </is>
      </c>
      <c r="C2746" s="13" t="inlineStr">
        <is>
          <t>Common</t>
        </is>
      </c>
      <c r="D2746" s="13" t="inlineStr">
        <is>
          <t>All creatures get -1/-1 until end of turn.</t>
        </is>
      </c>
      <c r="E2746" s="13" t="inlineStr">
        <is>
          <t>{1}{B}</t>
        </is>
      </c>
      <c r="F2746" s="13" t="inlineStr">
        <is>
          <t>Black</t>
        </is>
      </c>
      <c r="G2746" s="8" t="n">
        <v>0.08</v>
      </c>
      <c r="H2746" s="13" t="inlineStr">
        <is>
          <t>Modern Masters 2015 (MM2)</t>
        </is>
      </c>
      <c r="I2746" s="13" t="inlineStr">
        <is>
          <t>Não</t>
        </is>
      </c>
      <c r="J2746" s="13" t="n">
        <v>2015</v>
      </c>
      <c r="L2746" s="13" t="n">
        <v>1</v>
      </c>
      <c r="M2746" s="8">
        <f>L2746*G2746</f>
        <v/>
      </c>
      <c r="P2746" s="9" t="n"/>
    </row>
    <row r="2747">
      <c r="A2747" s="13" t="inlineStr">
        <is>
          <t>Shroudstomper</t>
        </is>
      </c>
      <c r="B2747" s="13" t="inlineStr">
        <is>
          <t>Creature — Elemental</t>
        </is>
      </c>
      <c r="C2747" s="13" t="inlineStr">
        <is>
          <t>Uncommon / Incomum</t>
        </is>
      </c>
      <c r="D2747" s="13" t="inlineStr">
        <is>
          <t>Deathtouch Whenever this creature enters or attacks, each opponent loses 2 life. You gain 2 life and draw a card.</t>
        </is>
      </c>
      <c r="E2747" s="13" t="inlineStr">
        <is>
          <t>{3}{W}{W}{B}{B}</t>
        </is>
      </c>
      <c r="F2747" s="13" t="inlineStr">
        <is>
          <t>Preto, Branco</t>
        </is>
      </c>
      <c r="G2747" s="8" t="n">
        <v>0.1</v>
      </c>
      <c r="H2747" s="13" t="inlineStr">
        <is>
          <t>Duskmourn: House of Horror (DSK)</t>
        </is>
      </c>
      <c r="I2747" s="13" t="inlineStr">
        <is>
          <t>Não</t>
        </is>
      </c>
      <c r="J2747" s="13" t="n">
        <v>2024</v>
      </c>
      <c r="K2747" s="10" t="n">
        <v>46147</v>
      </c>
      <c r="L2747" s="13" t="n">
        <v>1</v>
      </c>
      <c r="M2747" s="8">
        <f>L2747*G2747</f>
        <v/>
      </c>
      <c r="P2747" s="9" t="n"/>
    </row>
    <row r="2748">
      <c r="A2748" s="13" t="inlineStr">
        <is>
          <t>Sickle Ripper / Estripador da Foice</t>
        </is>
      </c>
      <c r="B2748" s="13" t="inlineStr">
        <is>
          <t>Creature — Elemental Warrior / Criatura — Elemental Guerreiro</t>
        </is>
      </c>
      <c r="C2748" s="13" t="inlineStr">
        <is>
          <t>Common / Comum</t>
        </is>
      </c>
      <c r="D2748" s="13" t="inlineStr">
        <is>
          <t>Wither (This deals damage to creatures in the form of -1/-1 counters.) / Murchar (Esta fonte causa dano a criaturas na forma de marcadores -1/-1.)</t>
        </is>
      </c>
      <c r="E2748" s="13" t="inlineStr">
        <is>
          <t>{1}{B}</t>
        </is>
      </c>
      <c r="F2748" s="13" t="inlineStr">
        <is>
          <t>Preto</t>
        </is>
      </c>
      <c r="G2748" s="8" t="n">
        <v>0.08</v>
      </c>
      <c r="H2748" s="13" t="inlineStr">
        <is>
          <t>Shadowmoor (SHM)</t>
        </is>
      </c>
      <c r="I2748" s="13" t="inlineStr">
        <is>
          <t>Não</t>
        </is>
      </c>
      <c r="J2748" s="13" t="n">
        <v>2008</v>
      </c>
      <c r="K2748" s="10" t="n">
        <v>46024</v>
      </c>
      <c r="L2748" s="13" t="n">
        <v>1</v>
      </c>
      <c r="M2748" s="8">
        <f>L2748*G2748</f>
        <v/>
      </c>
      <c r="P2748" s="9" t="n"/>
    </row>
    <row r="2749">
      <c r="A2749" s="13" t="inlineStr">
        <is>
          <t>Sickleslicer / Fatiador de Foices</t>
        </is>
      </c>
      <c r="B2749" s="13" t="inlineStr">
        <is>
          <t>Artifact — Equipment / Artefato — Equipamento</t>
        </is>
      </c>
      <c r="C2749" s="13" t="inlineStr">
        <is>
          <t>Common / Comum</t>
        </is>
      </c>
      <c r="D2749" s="13"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2749" s="13" t="inlineStr">
        <is>
          <t>{3}</t>
        </is>
      </c>
      <c r="F2749" s="13" t="inlineStr">
        <is>
          <t>Incolor</t>
        </is>
      </c>
      <c r="G2749" s="8" t="n">
        <v>0.03</v>
      </c>
      <c r="H2749" s="13" t="inlineStr">
        <is>
          <t>Modern Masters 2015 Edition (MM2)</t>
        </is>
      </c>
      <c r="I2749" s="13" t="inlineStr">
        <is>
          <t>No</t>
        </is>
      </c>
      <c r="J2749" s="13" t="n">
        <v>2015</v>
      </c>
      <c r="L2749" s="13" t="n">
        <v>2</v>
      </c>
      <c r="M2749" s="8">
        <f>L2749*G2749</f>
        <v/>
      </c>
      <c r="P2749" s="9" t="n"/>
    </row>
    <row r="2750">
      <c r="A2750" s="13" t="inlineStr">
        <is>
          <t>Sidequest: Card Collection / Missão Secundária: Coleção de Cards</t>
        </is>
      </c>
      <c r="B2750" s="13" t="inlineStr">
        <is>
          <t>Encantamento</t>
        </is>
      </c>
      <c r="C2750" s="13" t="inlineStr">
        <is>
          <t>Incomum</t>
        </is>
      </c>
      <c r="D2750" s="13" t="inlineStr">
        <is>
          <t>Quando este encantamento entrar, compre três cards e depois descarte dois cards. No início de sua etapa final, se houver oito ou mais cards em seu cemitério, transforme este encantamento.</t>
        </is>
      </c>
      <c r="E2750" s="13" t="inlineStr">
        <is>
          <t>3{U}</t>
        </is>
      </c>
      <c r="F2750" s="13" t="inlineStr">
        <is>
          <t>Azul</t>
        </is>
      </c>
      <c r="G2750" s="8" t="n">
        <v>0.14</v>
      </c>
      <c r="H2750" s="13" t="inlineStr">
        <is>
          <t>Final Fantasy</t>
        </is>
      </c>
      <c r="I2750" s="13" t="inlineStr">
        <is>
          <t>Não</t>
        </is>
      </c>
      <c r="J2750" s="13" t="n">
        <v>2025</v>
      </c>
      <c r="L2750" s="13" t="n">
        <v>1</v>
      </c>
      <c r="M2750" s="8">
        <f>L2750*G2750</f>
        <v/>
      </c>
      <c r="P2750" s="9" t="n"/>
    </row>
    <row r="2751">
      <c r="A2751" s="13" t="inlineStr">
        <is>
          <t>Sidequest: Card Collection // Magicked Card</t>
        </is>
      </c>
      <c r="B2751" s="13" t="inlineStr">
        <is>
          <t>Enchantment // Artifact — Vehicle</t>
        </is>
      </c>
      <c r="C2751" s="13" t="inlineStr">
        <is>
          <t>Uncommon / Incomum</t>
        </is>
      </c>
      <c r="D2751" s="13"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2751" s="13" t="inlineStr">
        <is>
          <t>{3}{U}</t>
        </is>
      </c>
      <c r="F2751" s="13" t="inlineStr">
        <is>
          <t>Azul</t>
        </is>
      </c>
      <c r="G2751" s="8" t="n">
        <v>0.15</v>
      </c>
      <c r="H2751" s="13" t="inlineStr">
        <is>
          <t>Final Fantasy (FIN)</t>
        </is>
      </c>
      <c r="I2751" s="13" t="inlineStr">
        <is>
          <t>Não</t>
        </is>
      </c>
      <c r="J2751" s="13" t="n">
        <v>2025</v>
      </c>
      <c r="K2751" s="10" t="n">
        <v>46116</v>
      </c>
      <c r="L2751" s="13" t="n">
        <v>1</v>
      </c>
      <c r="M2751" s="8">
        <f>L2751*G2751</f>
        <v/>
      </c>
      <c r="P2751" s="9" t="n"/>
    </row>
    <row r="2752">
      <c r="A2752" s="13" t="inlineStr">
        <is>
          <t>Sidequest: Catch a Fish / Missão Secundária: Pegar um Peixe</t>
        </is>
      </c>
      <c r="B2752" s="13" t="inlineStr">
        <is>
          <t>Encantamento</t>
        </is>
      </c>
      <c r="C2752" s="13" t="inlineStr">
        <is>
          <t>Incomum</t>
        </is>
      </c>
      <c r="D2752" s="13"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752" s="13" t="inlineStr">
        <is>
          <t>2{W}</t>
        </is>
      </c>
      <c r="F2752" s="13" t="inlineStr">
        <is>
          <t>Branco</t>
        </is>
      </c>
      <c r="G2752" s="8" t="n">
        <v>0.19</v>
      </c>
      <c r="H2752" s="13" t="inlineStr">
        <is>
          <t>Final Fantasy</t>
        </is>
      </c>
      <c r="I2752" s="13" t="inlineStr">
        <is>
          <t>Não</t>
        </is>
      </c>
      <c r="J2752" s="13" t="n">
        <v>2025</v>
      </c>
      <c r="L2752" s="13" t="n">
        <v>1</v>
      </c>
      <c r="M2752" s="8">
        <f>L2752*G2752</f>
        <v/>
      </c>
      <c r="P2752" s="9" t="n"/>
    </row>
    <row r="2753">
      <c r="A2753" s="13" t="inlineStr">
        <is>
          <t>Sidequest: Hunt the Mark / Missão Secundária: Caçar a Marca</t>
        </is>
      </c>
      <c r="B2753" s="13" t="inlineStr">
        <is>
          <t>Encantamento</t>
        </is>
      </c>
      <c r="C2753" s="13" t="inlineStr">
        <is>
          <t>Incomum</t>
        </is>
      </c>
      <c r="D2753" s="13"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2753" s="13" t="inlineStr">
        <is>
          <t>3{B}{B}</t>
        </is>
      </c>
      <c r="F2753" s="13" t="inlineStr">
        <is>
          <t>Preto</t>
        </is>
      </c>
      <c r="G2753" s="8" t="n">
        <v>0.1</v>
      </c>
      <c r="H2753" s="13" t="inlineStr">
        <is>
          <t>Final Fantasy</t>
        </is>
      </c>
      <c r="I2753" s="13" t="inlineStr">
        <is>
          <t>Não</t>
        </is>
      </c>
      <c r="J2753" s="13" t="n">
        <v>2025</v>
      </c>
      <c r="L2753" s="13" t="n">
        <v>1</v>
      </c>
      <c r="M2753" s="8">
        <f>L2753*G2753</f>
        <v/>
      </c>
      <c r="P2753" s="9" t="n"/>
    </row>
    <row r="2754">
      <c r="A2754" s="13" t="inlineStr">
        <is>
          <t>Sidequest: Play Blitzball / Missão Secundária: Jogar Blitzball</t>
        </is>
      </c>
      <c r="B2754" s="13" t="inlineStr">
        <is>
          <t>Encantamento</t>
        </is>
      </c>
      <c r="C2754" s="13" t="inlineStr">
        <is>
          <t>Incomum</t>
        </is>
      </c>
      <c r="D2754" s="13"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2754" s="13" t="inlineStr">
        <is>
          <t>2R</t>
        </is>
      </c>
      <c r="F2754" s="13" t="inlineStr">
        <is>
          <t>Vermelho</t>
        </is>
      </c>
      <c r="G2754" s="8" t="n">
        <v>0.1</v>
      </c>
      <c r="H2754" s="13" t="inlineStr">
        <is>
          <t>Final Fantasy</t>
        </is>
      </c>
      <c r="I2754" s="13" t="inlineStr">
        <is>
          <t>Não</t>
        </is>
      </c>
      <c r="J2754" s="13" t="n">
        <v>2025</v>
      </c>
      <c r="L2754" s="13" t="n">
        <v>1</v>
      </c>
      <c r="M2754" s="8">
        <f>L2754*G2754</f>
        <v/>
      </c>
      <c r="P2754" s="9" t="n"/>
    </row>
    <row r="2755">
      <c r="A2755" s="13" t="inlineStr">
        <is>
          <t>Sidequest: Raise a Chocobo / Missão Secundária: Criar um Chocobo</t>
        </is>
      </c>
      <c r="B2755" s="13" t="inlineStr">
        <is>
          <t>Encantamento</t>
        </is>
      </c>
      <c r="C2755" s="13" t="inlineStr">
        <is>
          <t>Incomum</t>
        </is>
      </c>
      <c r="D2755" s="13"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2755" s="13" t="inlineStr">
        <is>
          <t>1{G}</t>
        </is>
      </c>
      <c r="F2755" s="13" t="inlineStr">
        <is>
          <t>Verde</t>
        </is>
      </c>
      <c r="G2755" s="8" t="n">
        <v>0.15</v>
      </c>
      <c r="H2755" s="13" t="inlineStr">
        <is>
          <t>Final Fantasy</t>
        </is>
      </c>
      <c r="I2755" s="13" t="inlineStr">
        <is>
          <t>Não</t>
        </is>
      </c>
      <c r="J2755" s="13" t="n">
        <v>2025</v>
      </c>
      <c r="L2755" s="13" t="n">
        <v>1</v>
      </c>
      <c r="M2755" s="8">
        <f>L2755*G2755</f>
        <v/>
      </c>
      <c r="P2755" s="9" t="n"/>
    </row>
    <row r="2756">
      <c r="A2756" s="13" t="inlineStr">
        <is>
          <t>Sidewinder Naga / Naga Cascavélico</t>
        </is>
      </c>
      <c r="B2756" s="13" t="inlineStr">
        <is>
          <t>Creature — Naga Warrior / Criatura — Naga Guerreiro</t>
        </is>
      </c>
      <c r="C2756" s="13" t="inlineStr">
        <is>
          <t>Common / Comum</t>
        </is>
      </c>
      <c r="D2756" s="13" t="inlineStr">
        <is>
          <t>As long as you control a Desert or there is a Desert card in your graveyard, Sidewinder Naga gets +1/+0 and has trample. / Enquanto você controla um Deserto ou há um card de Deserto em seu cemitério, Naga Cascavélico recebe +1/+0 e tem atropelar.</t>
        </is>
      </c>
      <c r="E2756" s="13" t="inlineStr">
        <is>
          <t>{2}{G}</t>
        </is>
      </c>
      <c r="F2756" s="13" t="inlineStr">
        <is>
          <t>Verde</t>
        </is>
      </c>
      <c r="G2756" s="8" t="n">
        <v>0.03</v>
      </c>
      <c r="H2756" s="13" t="inlineStr">
        <is>
          <t>Hour of Devastation (HOU)</t>
        </is>
      </c>
      <c r="I2756" s="13" t="inlineStr">
        <is>
          <t>Não</t>
        </is>
      </c>
      <c r="J2756" s="13" t="n">
        <v>2017</v>
      </c>
      <c r="K2756" s="10" t="n">
        <v>46056</v>
      </c>
      <c r="L2756" s="13" t="n">
        <v>4</v>
      </c>
      <c r="M2756" s="8">
        <f>L2756*G2756</f>
        <v/>
      </c>
      <c r="P2756" s="9" t="n"/>
    </row>
    <row r="2757">
      <c r="A2757" s="13" t="inlineStr">
        <is>
          <t>Siege Zombie / Zumbi de Cerco</t>
        </is>
      </c>
      <c r="B2757" s="13" t="inlineStr">
        <is>
          <t>Creature — Zombie / Criatura — Zumbi</t>
        </is>
      </c>
      <c r="C2757" s="13" t="inlineStr">
        <is>
          <t>Common / Comum</t>
        </is>
      </c>
      <c r="D2757" s="13" t="inlineStr">
        <is>
          <t>Tap three untapped creatures you control: Each opponent loses 1 life. / Vire três criaturas desviradas que você controla: Cada oponente perde 1 ponto de vida.</t>
        </is>
      </c>
      <c r="E2757" s="13" t="inlineStr">
        <is>
          <t>{1}{B}</t>
        </is>
      </c>
      <c r="F2757" s="13" t="inlineStr">
        <is>
          <t>Preto</t>
        </is>
      </c>
      <c r="G2757" s="8" t="n">
        <v>0.06</v>
      </c>
      <c r="H2757" s="13" t="inlineStr">
        <is>
          <t>Innistrad: Midnight Hunt (MID)</t>
        </is>
      </c>
      <c r="I2757" s="13" t="inlineStr">
        <is>
          <t>Não</t>
        </is>
      </c>
      <c r="J2757" s="13" t="n">
        <v>2021</v>
      </c>
      <c r="K2757" s="10" t="n">
        <v>46055</v>
      </c>
      <c r="L2757" s="13" t="n">
        <v>1</v>
      </c>
      <c r="M2757" s="8">
        <f>L2757*G2757</f>
        <v/>
      </c>
      <c r="P2757" s="9" t="n"/>
    </row>
    <row r="2758">
      <c r="A2758" s="13" t="inlineStr">
        <is>
          <t>Siege-Gang Commander / Comandante do Grupo de Cerco</t>
        </is>
      </c>
      <c r="B2758" s="13" t="inlineStr">
        <is>
          <t>Creature — Goblin / Criatura — Goblin</t>
        </is>
      </c>
      <c r="C2758" s="13" t="inlineStr">
        <is>
          <t>Rare / Rara</t>
        </is>
      </c>
      <c r="D2758" s="13"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2758" s="13" t="inlineStr">
        <is>
          <t>{3}{R}{R}</t>
        </is>
      </c>
      <c r="F2758" s="13" t="inlineStr">
        <is>
          <t>Vermelho</t>
        </is>
      </c>
      <c r="G2758" s="8" t="n">
        <v>0.98</v>
      </c>
      <c r="H2758" s="13" t="inlineStr">
        <is>
          <t>Dominaria (DOM)</t>
        </is>
      </c>
      <c r="I2758" s="13" t="inlineStr">
        <is>
          <t>Não</t>
        </is>
      </c>
      <c r="J2758" s="13" t="n">
        <v>2018</v>
      </c>
      <c r="K2758" s="10" t="n">
        <v>46055</v>
      </c>
      <c r="L2758" s="13" t="n">
        <v>1</v>
      </c>
      <c r="M2758" s="8">
        <f>L2758*G2758</f>
        <v/>
      </c>
      <c r="P2758" s="9" t="n"/>
    </row>
    <row r="2759">
      <c r="A2759" s="13" t="inlineStr">
        <is>
          <t>Sightless Ghoul / Carniçal Cego</t>
        </is>
      </c>
      <c r="B2759" s="13" t="inlineStr">
        <is>
          <t>Creature — Zombie Soldier / Criatura — Zumbi Soldado</t>
        </is>
      </c>
      <c r="C2759" s="13" t="inlineStr">
        <is>
          <t>Common / Comum</t>
        </is>
      </c>
      <c r="D2759" s="13"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2759" s="13" t="inlineStr">
        <is>
          <t>{3}{B}</t>
        </is>
      </c>
      <c r="F2759" s="13" t="inlineStr">
        <is>
          <t>Preto</t>
        </is>
      </c>
      <c r="G2759" s="8" t="n">
        <v>0.09</v>
      </c>
      <c r="H2759" s="13" t="inlineStr">
        <is>
          <t>Dark Ascension (DKA)</t>
        </is>
      </c>
      <c r="I2759" s="13" t="inlineStr">
        <is>
          <t>Não</t>
        </is>
      </c>
      <c r="J2759" s="13" t="n">
        <v>2012</v>
      </c>
      <c r="K2759" s="10" t="n">
        <v>46055</v>
      </c>
      <c r="L2759" s="13" t="n">
        <v>1</v>
      </c>
      <c r="M2759" s="8">
        <f>L2759*G2759</f>
        <v/>
      </c>
      <c r="P2759" s="9" t="n"/>
    </row>
    <row r="2760">
      <c r="A2760" s="13" t="inlineStr">
        <is>
          <t>Sigil Blessing / Bênção da insígnia</t>
        </is>
      </c>
      <c r="B2760" s="13" t="inlineStr">
        <is>
          <t>Instant / Mágica Instantânea</t>
        </is>
      </c>
      <c r="C2760" s="13" t="inlineStr">
        <is>
          <t>Common / Comum</t>
        </is>
      </c>
      <c r="D2760" s="13" t="inlineStr">
        <is>
          <t>Until end of turn, target creature you control gets +3/+3 and other creatures you control get +1/+1. / Até o final do turno, a criatura alvo que você controla recebe +3/+3 e as outras criaturas que você controla recebem +1/+1.</t>
        </is>
      </c>
      <c r="E2760" s="13" t="inlineStr">
        <is>
          <t>{G}{W}</t>
        </is>
      </c>
      <c r="F2760" s="13" t="inlineStr">
        <is>
          <t>Verde, Branco</t>
        </is>
      </c>
      <c r="G2760" s="8" t="n">
        <v>0.2</v>
      </c>
      <c r="H2760" s="13" t="inlineStr">
        <is>
          <t xml:space="preserve">Duel Decks: Knights vs. Dragons </t>
        </is>
      </c>
      <c r="I2760" s="13" t="inlineStr">
        <is>
          <t>Não</t>
        </is>
      </c>
      <c r="J2760" s="13" t="n">
        <v>2011</v>
      </c>
      <c r="L2760" s="13" t="n">
        <v>4</v>
      </c>
      <c r="M2760" s="8">
        <f>L2760*G2760</f>
        <v/>
      </c>
      <c r="P2760" s="9" t="n"/>
    </row>
    <row r="2761">
      <c r="A2761" s="13" t="inlineStr">
        <is>
          <t>Sigil of the New Dawn / Chancela do Recomeço</t>
        </is>
      </c>
      <c r="B2761" s="13" t="inlineStr">
        <is>
          <t>Enchantment / Encantamento</t>
        </is>
      </c>
      <c r="C2761" s="13" t="inlineStr">
        <is>
          <t>Uncommon / Incomum</t>
        </is>
      </c>
      <c r="D2761" s="13"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2761" s="13" t="inlineStr">
        <is>
          <t>{3}{W}</t>
        </is>
      </c>
      <c r="F2761" s="13" t="inlineStr">
        <is>
          <t>Branco</t>
        </is>
      </c>
      <c r="G2761" s="8" t="n">
        <v>0.15</v>
      </c>
      <c r="H2761" s="13" t="inlineStr">
        <is>
          <t>Ultimate Masters (UMA)</t>
        </is>
      </c>
      <c r="I2761" s="13" t="inlineStr">
        <is>
          <t>Não</t>
        </is>
      </c>
      <c r="J2761" s="13" t="n">
        <v>2018</v>
      </c>
      <c r="L2761" s="13" t="n">
        <v>1</v>
      </c>
      <c r="M2761" s="8">
        <f>L2761*G2761</f>
        <v/>
      </c>
      <c r="P2761" s="9" t="n"/>
    </row>
    <row r="2762">
      <c r="A2762" s="13" t="inlineStr">
        <is>
          <t>Silence the Believers / Silenciar os Crentes</t>
        </is>
      </c>
      <c r="B2762" s="13" t="inlineStr">
        <is>
          <t>Instant / Mágica Instantânea</t>
        </is>
      </c>
      <c r="C2762" s="13" t="inlineStr">
        <is>
          <t>Rare / Rara</t>
        </is>
      </c>
      <c r="D2762" s="13"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762" s="13" t="inlineStr">
        <is>
          <t>{2}{B}{B}</t>
        </is>
      </c>
      <c r="F2762" s="13" t="inlineStr">
        <is>
          <t>Preto</t>
        </is>
      </c>
      <c r="G2762" s="8" t="n">
        <v>0.13</v>
      </c>
      <c r="H2762" s="13" t="inlineStr">
        <is>
          <t>Journey into Nyx (JOU)</t>
        </is>
      </c>
      <c r="I2762" s="13" t="inlineStr">
        <is>
          <t>Não</t>
        </is>
      </c>
      <c r="J2762" s="13" t="n">
        <v>2014</v>
      </c>
      <c r="L2762" s="13" t="n">
        <v>1</v>
      </c>
      <c r="M2762" s="8">
        <f>L2762*G2762</f>
        <v/>
      </c>
      <c r="P2762" s="9" t="n"/>
    </row>
    <row r="2763">
      <c r="A2763" s="13" t="inlineStr">
        <is>
          <t>Silent Artisan / Artesão Silencioso</t>
        </is>
      </c>
      <c r="B2763" s="13" t="inlineStr">
        <is>
          <t>Creature — Giant / Criatura — Gigante</t>
        </is>
      </c>
      <c r="C2763" s="13" t="inlineStr">
        <is>
          <t>Common / Comum</t>
        </is>
      </c>
      <c r="E2763" s="13" t="inlineStr">
        <is>
          <t>{3}{W}{W}</t>
        </is>
      </c>
      <c r="F2763" s="13" t="inlineStr">
        <is>
          <t>Branco</t>
        </is>
      </c>
      <c r="G2763" s="8" t="n">
        <v>0.05</v>
      </c>
      <c r="H2763" s="13" t="inlineStr">
        <is>
          <t>Theros (THS)</t>
        </is>
      </c>
      <c r="I2763" s="13" t="inlineStr">
        <is>
          <t>Não</t>
        </is>
      </c>
      <c r="J2763" s="13" t="n">
        <v>2013</v>
      </c>
      <c r="K2763" s="10" t="n">
        <v>46145</v>
      </c>
      <c r="L2763" s="13" t="n">
        <v>2</v>
      </c>
      <c r="M2763" s="8">
        <f>L2763*G2763</f>
        <v/>
      </c>
      <c r="P2763" s="9" t="n"/>
    </row>
    <row r="2764">
      <c r="A2764" s="13" t="inlineStr">
        <is>
          <t>Silent Dart / Dardo de Pulso</t>
        </is>
      </c>
      <c r="B2764" s="13" t="inlineStr">
        <is>
          <t>Artifact / Artefato</t>
        </is>
      </c>
      <c r="C2764" s="13" t="inlineStr">
        <is>
          <t>Uncommon / Incomum</t>
        </is>
      </c>
      <c r="D2764" s="13" t="inlineStr">
        <is>
          <t>{4}, {T}, Sacrifice this artifact: It deals 3 damage to target creature. / {4}, {T}, sacrifique Dardo de Pulso: Ele causa 3 pontos de dano à criatura alvo.</t>
        </is>
      </c>
      <c r="E2764" s="13" t="inlineStr">
        <is>
          <t>{1}</t>
        </is>
      </c>
      <c r="F2764" s="13" t="inlineStr">
        <is>
          <t>Incolor</t>
        </is>
      </c>
      <c r="G2764" s="8" t="n">
        <v>0.03</v>
      </c>
      <c r="H2764" s="13" t="inlineStr">
        <is>
          <t>Guilds of Ravnica (GRN)</t>
        </is>
      </c>
      <c r="I2764" s="13" t="inlineStr">
        <is>
          <t>Não</t>
        </is>
      </c>
      <c r="J2764" s="13" t="n">
        <v>2018</v>
      </c>
      <c r="L2764" s="13" t="n">
        <v>1</v>
      </c>
      <c r="M2764" s="8">
        <f>L2764*G2764</f>
        <v/>
      </c>
      <c r="N2764" s="13" t="inlineStr">
        <is>
          <t>Bulk Shopee</t>
        </is>
      </c>
      <c r="P2764" s="9" t="n"/>
    </row>
    <row r="2765">
      <c r="A2765" s="13" t="inlineStr">
        <is>
          <t>Silhana Wayfinder / Trilheiro Silhana</t>
        </is>
      </c>
      <c r="B2765" s="13" t="inlineStr">
        <is>
          <t>Creature — Elf Scout / Criatura — Elfo Batedor</t>
        </is>
      </c>
      <c r="C2765" s="13" t="inlineStr">
        <is>
          <t>Uncommon / Incomum</t>
        </is>
      </c>
      <c r="D2765" s="13"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2765" s="13" t="inlineStr">
        <is>
          <t>{1}{G}</t>
        </is>
      </c>
      <c r="F2765" s="13" t="inlineStr">
        <is>
          <t>Verde</t>
        </is>
      </c>
      <c r="G2765" s="8" t="n">
        <v>0.17</v>
      </c>
      <c r="H2765" s="13" t="inlineStr">
        <is>
          <t>Jumpstart (JMP)</t>
        </is>
      </c>
      <c r="I2765" s="13" t="inlineStr">
        <is>
          <t>Não</t>
        </is>
      </c>
      <c r="J2765" s="13" t="n">
        <v>2020</v>
      </c>
      <c r="K2765" s="10" t="n">
        <v>46024</v>
      </c>
      <c r="L2765" s="13" t="n">
        <v>1</v>
      </c>
      <c r="M2765" s="8">
        <f>L2765*G2765</f>
        <v/>
      </c>
      <c r="P2765" s="9" t="n"/>
    </row>
    <row r="2766">
      <c r="A2766" s="13" t="inlineStr">
        <is>
          <t>Silvanus's Invoker / Invocador de Silvanus</t>
        </is>
      </c>
      <c r="B2766" s="13" t="inlineStr">
        <is>
          <t>Creature — Dragon Druid / Criatura — Dragão Druida</t>
        </is>
      </c>
      <c r="C2766" s="13" t="inlineStr">
        <is>
          <t>Common / Comum</t>
        </is>
      </c>
      <c r="D2766" s="13"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2766" s="13" t="inlineStr">
        <is>
          <t>{2}{G}</t>
        </is>
      </c>
      <c r="F2766" s="13" t="inlineStr">
        <is>
          <t>Verde</t>
        </is>
      </c>
      <c r="G2766" s="8" t="n">
        <v>0.09</v>
      </c>
      <c r="H2766" s="13" t="inlineStr">
        <is>
          <t>Commander Legends: Battle for Baldur's Gate (CLB)</t>
        </is>
      </c>
      <c r="I2766" s="13" t="inlineStr">
        <is>
          <t>Não</t>
        </is>
      </c>
      <c r="J2766" s="13" t="n">
        <v>2022</v>
      </c>
      <c r="K2766" s="10" t="n">
        <v>46056</v>
      </c>
      <c r="L2766" s="13" t="n">
        <v>3</v>
      </c>
      <c r="M2766" s="8">
        <f>L2766*G2766</f>
        <v/>
      </c>
      <c r="P2766" s="9" t="n"/>
    </row>
    <row r="2767">
      <c r="A2767" s="13" t="inlineStr">
        <is>
          <t>Silvercoat Lion / Leão Pele-de-Prata</t>
        </is>
      </c>
      <c r="B2767" s="13" t="inlineStr">
        <is>
          <t>Creature — Cat / Criatura — Felino</t>
        </is>
      </c>
      <c r="C2767" s="13" t="inlineStr">
        <is>
          <t>Common / Comum</t>
        </is>
      </c>
      <c r="E2767" s="13" t="inlineStr">
        <is>
          <t>{1}{W}</t>
        </is>
      </c>
      <c r="F2767" s="13" t="inlineStr">
        <is>
          <t>Branco</t>
        </is>
      </c>
      <c r="G2767" s="8" t="n">
        <v>0.06</v>
      </c>
      <c r="H2767" s="13" t="inlineStr">
        <is>
          <t>Magic 2010 (M10)</t>
        </is>
      </c>
      <c r="I2767" s="13" t="inlineStr">
        <is>
          <t>Não</t>
        </is>
      </c>
      <c r="J2767" s="13" t="n">
        <v>2009</v>
      </c>
      <c r="K2767" s="10" t="n">
        <v>46055</v>
      </c>
      <c r="L2767" s="13" t="n">
        <v>1</v>
      </c>
      <c r="M2767" s="8">
        <f>L2767*G2767</f>
        <v/>
      </c>
      <c r="P2767" s="9" t="n"/>
    </row>
    <row r="2768">
      <c r="A2768" s="13" t="inlineStr">
        <is>
          <t>Silvergill Mentor</t>
        </is>
      </c>
      <c r="B2768" s="13" t="inlineStr">
        <is>
          <t>Creature — Merfolk Wizard</t>
        </is>
      </c>
      <c r="C2768" s="13" t="inlineStr">
        <is>
          <t>Uncommon</t>
        </is>
      </c>
      <c r="D2768" s="13" t="inlineStr">
        <is>
          <t>As an additional cost to cast this spell, behold a Merfolk or pay {2}. (To behold a Merfolk, choose a Merfolk you control or reveal a Merfolk card from your hand.) When this creature enters, create a 1/1 white and blue Merfolk creature token.</t>
        </is>
      </c>
      <c r="E2768" s="13" t="inlineStr">
        <is>
          <t>{1}{U}</t>
        </is>
      </c>
      <c r="F2768" s="13" t="inlineStr">
        <is>
          <t>Azul</t>
        </is>
      </c>
      <c r="G2768" s="8" t="n">
        <v>0.07000000000000001</v>
      </c>
      <c r="H2768" s="13" t="inlineStr">
        <is>
          <t>Lorwyn Eclipsed (ECL)</t>
        </is>
      </c>
      <c r="I2768" s="13" t="inlineStr">
        <is>
          <t>Não</t>
        </is>
      </c>
      <c r="J2768" s="13" t="n">
        <v>2026</v>
      </c>
      <c r="K2768" s="10" t="n">
        <v>46024</v>
      </c>
      <c r="L2768" s="13" t="n">
        <v>1</v>
      </c>
      <c r="M2768" s="8">
        <f>L2768*G2768</f>
        <v/>
      </c>
      <c r="P2768" s="9" t="n"/>
    </row>
    <row r="2769">
      <c r="A2769" s="13" t="inlineStr">
        <is>
          <t>Silvergill Mentor</t>
        </is>
      </c>
      <c r="B2769" s="13" t="inlineStr">
        <is>
          <t>Creature — Merfolk Wizard</t>
        </is>
      </c>
      <c r="C2769" s="13" t="inlineStr">
        <is>
          <t>Uncommon</t>
        </is>
      </c>
      <c r="D2769" s="13" t="inlineStr">
        <is>
          <t>As an additional cost to cast this spell, behold a Merfolk or pay {2}. (To behold a Merfolk, choose a Merfolk you control or reveal a Merfolk card from your hand.) When this creature enters, create a 1/1 white and blue Merfolk creature token.</t>
        </is>
      </c>
      <c r="E2769" s="13" t="inlineStr">
        <is>
          <t>{1}{U}</t>
        </is>
      </c>
      <c r="F2769" s="13" t="inlineStr">
        <is>
          <t>Azul</t>
        </is>
      </c>
      <c r="G2769" s="8" t="n">
        <v>0.5</v>
      </c>
      <c r="H2769" s="13" t="inlineStr">
        <is>
          <t>Lorwyn Eclipsed (ECL)</t>
        </is>
      </c>
      <c r="I2769" s="13" t="inlineStr">
        <is>
          <t>Sim</t>
        </is>
      </c>
      <c r="J2769" s="13" t="n">
        <v>2026</v>
      </c>
      <c r="K2769" s="10" t="n">
        <v>46024</v>
      </c>
      <c r="L2769" s="13" t="n">
        <v>1</v>
      </c>
      <c r="M2769" s="8">
        <f>L2769*G2769</f>
        <v/>
      </c>
      <c r="P2769" s="9" t="n"/>
    </row>
    <row r="2770">
      <c r="A2770" s="13" t="inlineStr">
        <is>
          <t>Silvergill Peddler</t>
        </is>
      </c>
      <c r="B2770" s="13" t="inlineStr">
        <is>
          <t>Creature — Merfolk Citizen</t>
        </is>
      </c>
      <c r="C2770" s="13" t="inlineStr">
        <is>
          <t>Common</t>
        </is>
      </c>
      <c r="D2770" s="13" t="inlineStr">
        <is>
          <t>Whenever this creature becomes tapped, draw a card, then discard a card.</t>
        </is>
      </c>
      <c r="E2770" s="13" t="inlineStr">
        <is>
          <t>{2}{U}</t>
        </is>
      </c>
      <c r="F2770" s="13" t="inlineStr">
        <is>
          <t>Azul</t>
        </is>
      </c>
      <c r="G2770" s="8" t="n">
        <v>0.05</v>
      </c>
      <c r="H2770" s="13" t="inlineStr">
        <is>
          <t>Lorwyn Eclipsed (ECL)</t>
        </is>
      </c>
      <c r="I2770" s="13" t="inlineStr">
        <is>
          <t>Não</t>
        </is>
      </c>
      <c r="J2770" s="13" t="n">
        <v>2026</v>
      </c>
      <c r="K2770" s="10" t="n">
        <v>46083</v>
      </c>
      <c r="L2770" s="13" t="n">
        <v>1</v>
      </c>
      <c r="M2770" s="8">
        <f>L2770*G2770</f>
        <v/>
      </c>
      <c r="P2770" s="9" t="n"/>
    </row>
    <row r="2771">
      <c r="A2771" s="13" t="inlineStr">
        <is>
          <t>Simian Sling / Lançador Símio</t>
        </is>
      </c>
      <c r="B2771" s="13" t="inlineStr">
        <is>
          <t>Artifact Creature — Equipment Monkey / Criatura Artefato — Equipamento Macaco</t>
        </is>
      </c>
      <c r="C2771" s="13" t="inlineStr">
        <is>
          <t>Common / Comum</t>
        </is>
      </c>
      <c r="D2771" s="13"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771" s="13" t="inlineStr">
        <is>
          <t>{R}</t>
        </is>
      </c>
      <c r="F2771" s="13" t="inlineStr">
        <is>
          <t>Vermelho</t>
        </is>
      </c>
      <c r="G2771" s="8" t="n">
        <v>0.1</v>
      </c>
      <c r="H2771" s="13" t="inlineStr">
        <is>
          <t>Kamigawa: Neon Dynasty (NEO)</t>
        </is>
      </c>
      <c r="I2771" s="13" t="inlineStr">
        <is>
          <t>Não</t>
        </is>
      </c>
      <c r="J2771" s="13" t="n">
        <v>2022</v>
      </c>
      <c r="K2771" s="10" t="n">
        <v>46023</v>
      </c>
      <c r="L2771" s="13" t="n">
        <v>1</v>
      </c>
      <c r="M2771" s="8">
        <f>L2771*G2771</f>
        <v/>
      </c>
      <c r="P2771" s="9" t="n"/>
    </row>
    <row r="2772">
      <c r="A2772" s="13" t="inlineStr">
        <is>
          <t>Simulacrum / Simulacro</t>
        </is>
      </c>
      <c r="B2772" s="13" t="inlineStr">
        <is>
          <t>Instant</t>
        </is>
      </c>
      <c r="C2772" s="13" t="inlineStr">
        <is>
          <t>Uncommon / Incomum</t>
        </is>
      </c>
      <c r="D2772" s="13" t="inlineStr">
        <is>
          <t>You gain life equal to the damage dealt to you this turn. Simulacrum deals damage to target creature you control equal to the damage dealt to you this turn.</t>
        </is>
      </c>
      <c r="E2772" s="13" t="inlineStr">
        <is>
          <t>{1}{B}</t>
        </is>
      </c>
      <c r="F2772" s="13" t="inlineStr">
        <is>
          <t>Preto</t>
        </is>
      </c>
      <c r="G2772" s="8" t="n">
        <v>0.4</v>
      </c>
      <c r="H2772" s="13" t="inlineStr">
        <is>
          <t>Quarta Edição</t>
        </is>
      </c>
      <c r="I2772" s="13" t="inlineStr">
        <is>
          <t>Não</t>
        </is>
      </c>
      <c r="J2772" s="13" t="n">
        <v>1995</v>
      </c>
      <c r="L2772" s="13" t="n">
        <v>1</v>
      </c>
      <c r="M2772" s="8">
        <f>L2772*G2772</f>
        <v/>
      </c>
      <c r="P2772" s="9" t="n"/>
    </row>
    <row r="2773">
      <c r="A2773" s="13" t="inlineStr">
        <is>
          <t>Simulacrum / Simulacro</t>
        </is>
      </c>
      <c r="B2773" s="13" t="inlineStr">
        <is>
          <t>Instant</t>
        </is>
      </c>
      <c r="C2773" s="13" t="inlineStr">
        <is>
          <t>Uncommon / Incomum</t>
        </is>
      </c>
      <c r="D2773" s="13" t="inlineStr">
        <is>
          <t>You gain life equal to the damage dealt to you this turn. Simulacrum deals damage to target creature you control equal to the damage dealt to you this turn.</t>
        </is>
      </c>
      <c r="E2773" s="13" t="inlineStr">
        <is>
          <t>{1}{B}</t>
        </is>
      </c>
      <c r="F2773" s="13" t="inlineStr">
        <is>
          <t>Preto</t>
        </is>
      </c>
      <c r="G2773" s="8" t="n">
        <v>0.15</v>
      </c>
      <c r="H2773" s="13" t="inlineStr">
        <is>
          <t>Quarta Edição (BB)</t>
        </is>
      </c>
      <c r="I2773" s="13" t="inlineStr">
        <is>
          <t>Não</t>
        </is>
      </c>
      <c r="J2773" s="13" t="n">
        <v>1995</v>
      </c>
      <c r="L2773" s="13" t="n">
        <v>1</v>
      </c>
      <c r="M2773" s="8">
        <f>L2773*G2773</f>
        <v/>
      </c>
      <c r="P2773" s="9" t="n"/>
    </row>
    <row r="2774">
      <c r="A2774" s="13" t="inlineStr">
        <is>
          <t>Sin, Spira's Punishment / Sin, O Castigo de Spira</t>
        </is>
      </c>
      <c r="B2774" s="13" t="inlineStr">
        <is>
          <t>Criatura Lendária — Leviatã Avatar</t>
        </is>
      </c>
      <c r="C2774" s="13" t="inlineStr">
        <is>
          <t>Rara</t>
        </is>
      </c>
      <c r="D2774" s="13" t="inlineStr">
        <is>
          <t>Voar. Sempre que Sin entrar ou atacar, exile um card de permanente aleatório de seu cemitério e depois crie uma ficha virada que seja uma cópia daquele card. Se o card exilado for um card de terreno, repita este processo.</t>
        </is>
      </c>
      <c r="E2774" s="13" t="inlineStr">
        <is>
          <t>4BGU</t>
        </is>
      </c>
      <c r="F2774" s="13" t="inlineStr">
        <is>
          <t>Preto, Verde e Azul</t>
        </is>
      </c>
      <c r="G2774" s="8" t="n">
        <v>0.99</v>
      </c>
      <c r="H2774" s="13" t="inlineStr">
        <is>
          <t>Final Fantasy</t>
        </is>
      </c>
      <c r="I2774" s="13" t="inlineStr">
        <is>
          <t>Não</t>
        </is>
      </c>
      <c r="J2774" s="13" t="n">
        <v>2025</v>
      </c>
      <c r="K2774" s="10" t="n">
        <v>46210</v>
      </c>
      <c r="L2774" s="13" t="n">
        <v>1</v>
      </c>
      <c r="M2774" s="8">
        <f>L2774*G2774</f>
        <v/>
      </c>
      <c r="P2774" s="9" t="n"/>
    </row>
    <row r="2775">
      <c r="A2775" s="13" t="inlineStr">
        <is>
          <t>Sinister Cryologist / Criologista Sinistro</t>
        </is>
      </c>
      <c r="B2775" s="13" t="inlineStr">
        <is>
          <t>Criatura — Água-viva Mago</t>
        </is>
      </c>
      <c r="C2775" s="13" t="inlineStr">
        <is>
          <t>Comum</t>
        </is>
      </c>
      <c r="D2775" s="13"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2775" s="13" t="inlineStr">
        <is>
          <t>2{U}</t>
        </is>
      </c>
      <c r="F2775" s="13" t="inlineStr">
        <is>
          <t>Azul</t>
        </is>
      </c>
      <c r="G2775" s="8" t="n">
        <v>0.05</v>
      </c>
      <c r="H2775" s="13" t="inlineStr">
        <is>
          <t>Edge of Eternity</t>
        </is>
      </c>
      <c r="I2775" s="13" t="inlineStr">
        <is>
          <t>Não</t>
        </is>
      </c>
      <c r="J2775" s="13" t="n">
        <v>2025</v>
      </c>
      <c r="K2775" s="10" t="n">
        <v>46083</v>
      </c>
      <c r="L2775" s="13" t="n">
        <v>1</v>
      </c>
      <c r="M2775" s="8">
        <f>L2775*G2775</f>
        <v/>
      </c>
      <c r="P2775" s="9" t="n"/>
    </row>
    <row r="2776">
      <c r="A2776" s="13" t="inlineStr">
        <is>
          <t>Sisters of the Flame / Irmãs da Chama</t>
        </is>
      </c>
      <c r="B2776" s="13" t="inlineStr">
        <is>
          <t>Creature — Human Shaman</t>
        </is>
      </c>
      <c r="C2776" s="13" t="inlineStr">
        <is>
          <t>Uncommon / Incomum</t>
        </is>
      </c>
      <c r="D2776" s="13" t="inlineStr">
        <is>
          <t>{T}: Add {R}.</t>
        </is>
      </c>
      <c r="E2776" s="13" t="inlineStr">
        <is>
          <t>{1}{R}{R}</t>
        </is>
      </c>
      <c r="F2776" s="13" t="inlineStr">
        <is>
          <t>Vermelho</t>
        </is>
      </c>
      <c r="G2776" s="8" t="n">
        <v>0.05</v>
      </c>
      <c r="H2776" s="13" t="inlineStr">
        <is>
          <t xml:space="preserve">Fourth Edition </t>
        </is>
      </c>
      <c r="I2776" s="13" t="inlineStr">
        <is>
          <t>Não</t>
        </is>
      </c>
      <c r="J2776" s="13" t="n">
        <v>1995</v>
      </c>
      <c r="K2776" s="10" t="n">
        <v>46055</v>
      </c>
      <c r="L2776" s="13" t="n">
        <v>2</v>
      </c>
      <c r="M2776" s="8">
        <f>L2776*G2776</f>
        <v/>
      </c>
      <c r="P2776" s="9" t="n"/>
    </row>
    <row r="2777">
      <c r="A2777" s="13" t="inlineStr">
        <is>
          <t>Sisters of the Flame / Irmãs da Chama</t>
        </is>
      </c>
      <c r="B2777" s="13" t="inlineStr">
        <is>
          <t>Creature — Human Shaman</t>
        </is>
      </c>
      <c r="C2777" s="13" t="inlineStr">
        <is>
          <t>Uncommon / Incomum</t>
        </is>
      </c>
      <c r="D2777" s="13" t="inlineStr">
        <is>
          <t>{T}: Add {R}.</t>
        </is>
      </c>
      <c r="E2777" s="13" t="inlineStr">
        <is>
          <t>{1}{R}{R}</t>
        </is>
      </c>
      <c r="F2777" s="13" t="inlineStr">
        <is>
          <t>Vermelho</t>
        </is>
      </c>
      <c r="G2777" s="8" t="n">
        <v>0.15</v>
      </c>
      <c r="H2777" s="13" t="inlineStr">
        <is>
          <t>Fourth Edition (BB)</t>
        </is>
      </c>
      <c r="I2777" s="13" t="inlineStr">
        <is>
          <t>Não</t>
        </is>
      </c>
      <c r="J2777" s="13" t="n">
        <v>1995</v>
      </c>
      <c r="K2777" s="10" t="n">
        <v>46055</v>
      </c>
      <c r="L2777" s="13" t="n">
        <v>6</v>
      </c>
      <c r="M2777" s="8">
        <f>L2777*G2777</f>
        <v/>
      </c>
      <c r="P2777" s="9" t="n"/>
    </row>
    <row r="2778">
      <c r="A2778" s="13" t="inlineStr">
        <is>
          <t>Sivriss, Nightmare Speaker / Sivriss, Orador do Pesadelo</t>
        </is>
      </c>
      <c r="B2778" s="13" t="inlineStr">
        <is>
          <t>Legendary Creature — Snake Cleric Warlock / Criatura Lendária — Cobra Clérigo Bruxo</t>
        </is>
      </c>
      <c r="C2778" s="13" t="inlineStr">
        <is>
          <t>Uncommon / Incomum</t>
        </is>
      </c>
      <c r="D2778" s="13"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2778" s="13" t="inlineStr">
        <is>
          <t>{3}{B}</t>
        </is>
      </c>
      <c r="F2778" s="13" t="inlineStr">
        <is>
          <t>Preto</t>
        </is>
      </c>
      <c r="G2778" s="8" t="n">
        <v>0.09</v>
      </c>
      <c r="H2778" s="13" t="inlineStr">
        <is>
          <t>Commander Legends: Battle for Baldur's Gate (CLB)</t>
        </is>
      </c>
      <c r="I2778" s="13" t="inlineStr">
        <is>
          <t>Não</t>
        </is>
      </c>
      <c r="J2778" s="13" t="n">
        <v>2022</v>
      </c>
      <c r="K2778" s="10" t="n">
        <v>46084</v>
      </c>
      <c r="L2778" s="13" t="n">
        <v>1</v>
      </c>
      <c r="M2778" s="8">
        <f>L2778*G2778</f>
        <v/>
      </c>
      <c r="P2778" s="9" t="n"/>
    </row>
    <row r="2779">
      <c r="A2779" s="13" t="inlineStr">
        <is>
          <t>Sizzling Changeling</t>
        </is>
      </c>
      <c r="B2779" s="13" t="inlineStr">
        <is>
          <t>Creature — Shapeshifter</t>
        </is>
      </c>
      <c r="C2779" s="13" t="inlineStr">
        <is>
          <t>Uncommon</t>
        </is>
      </c>
      <c r="D2779" s="13" t="inlineStr">
        <is>
          <t>Changeling (This card is every creature type.) When this creature dies, exile the top card of your library. Until the end of your next turn, you may play that card.</t>
        </is>
      </c>
      <c r="E2779" s="13" t="inlineStr">
        <is>
          <t>{2}{R}</t>
        </is>
      </c>
      <c r="F2779" s="13" t="inlineStr">
        <is>
          <t>Vermelho</t>
        </is>
      </c>
      <c r="G2779" s="8" t="n">
        <v>0.08</v>
      </c>
      <c r="H2779" s="13" t="inlineStr">
        <is>
          <t>Lorwyn Eclipsed (ECL)</t>
        </is>
      </c>
      <c r="I2779" s="13" t="inlineStr">
        <is>
          <t>No</t>
        </is>
      </c>
      <c r="J2779" s="13" t="n">
        <v>2026</v>
      </c>
      <c r="K2779" s="10" t="n">
        <v>46056</v>
      </c>
      <c r="L2779" s="13" t="n">
        <v>1</v>
      </c>
      <c r="M2779" s="8">
        <f>L2779*G2779</f>
        <v/>
      </c>
      <c r="P2779" s="9" t="n"/>
    </row>
    <row r="2780">
      <c r="A2780" s="13" t="inlineStr">
        <is>
          <t>Skanos Dragonheart / Skanos Coração Dracônico</t>
        </is>
      </c>
      <c r="B2780" s="13" t="inlineStr">
        <is>
          <t>Legendary Creature — Dragon Ranger / Criatura Lendária — Dragão Guardião</t>
        </is>
      </c>
      <c r="C2780" s="13" t="inlineStr">
        <is>
          <t>Uncommon / Incomum</t>
        </is>
      </c>
      <c r="D2780" s="13"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2780" s="13" t="inlineStr">
        <is>
          <t>{4}{G}</t>
        </is>
      </c>
      <c r="F2780" s="13" t="inlineStr">
        <is>
          <t>Verde</t>
        </is>
      </c>
      <c r="G2780" s="8" t="n">
        <v>0.11</v>
      </c>
      <c r="H2780" s="13" t="inlineStr">
        <is>
          <t>Commander Legends: Battle for Baldur's Gate (CLB)</t>
        </is>
      </c>
      <c r="I2780" s="13" t="inlineStr">
        <is>
          <t>Não</t>
        </is>
      </c>
      <c r="J2780" s="13" t="n">
        <v>2022</v>
      </c>
      <c r="K2780" s="10" t="n">
        <v>46116</v>
      </c>
      <c r="L2780" s="13" t="n">
        <v>1</v>
      </c>
      <c r="M2780" s="8">
        <f>L2780*G2780</f>
        <v/>
      </c>
      <c r="P2780" s="9" t="n"/>
    </row>
    <row r="2781">
      <c r="A2781" s="13" t="inlineStr">
        <is>
          <t>Skarrg Goliath / Golias de Skarrg</t>
        </is>
      </c>
      <c r="B2781" s="13" t="inlineStr">
        <is>
          <t>Creature — Beast / Criatura — Besta</t>
        </is>
      </c>
      <c r="C2781" s="13" t="inlineStr">
        <is>
          <t>Rare / Rara</t>
        </is>
      </c>
      <c r="D2781" s="13"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2781" s="13" t="inlineStr">
        <is>
          <t>{6}{G}{G}</t>
        </is>
      </c>
      <c r="F2781" s="13" t="inlineStr">
        <is>
          <t>Verde</t>
        </is>
      </c>
      <c r="G2781" s="8" t="n">
        <v>0.14</v>
      </c>
      <c r="H2781" s="13" t="inlineStr">
        <is>
          <t>Gatecrash (GTC)</t>
        </is>
      </c>
      <c r="I2781" s="13" t="inlineStr">
        <is>
          <t>Não</t>
        </is>
      </c>
      <c r="J2781" s="13" t="n">
        <v>2013</v>
      </c>
      <c r="K2781" s="10" t="n">
        <v>46274</v>
      </c>
      <c r="L2781" s="13" t="n">
        <v>1</v>
      </c>
      <c r="M2781" s="8">
        <f>L2781*G2781</f>
        <v/>
      </c>
      <c r="P2781" s="9" t="n"/>
    </row>
    <row r="2782">
      <c r="A2782" s="13" t="inlineStr">
        <is>
          <t>Skarrgan Hellkite / Dragão Avérneo de Skarrgan</t>
        </is>
      </c>
      <c r="B2782" s="13" t="inlineStr">
        <is>
          <t>Criatura — Dragão</t>
        </is>
      </c>
      <c r="C2782" s="13" t="inlineStr">
        <is>
          <t>Mítica Rara</t>
        </is>
      </c>
      <c r="D2782" s="13"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2782" s="13" t="inlineStr">
        <is>
          <t>3{R}{R}</t>
        </is>
      </c>
      <c r="F2782" s="13" t="inlineStr">
        <is>
          <t>Vermelho</t>
        </is>
      </c>
      <c r="G2782" s="8" t="n">
        <v>0.43</v>
      </c>
      <c r="H2782" s="13" t="inlineStr">
        <is>
          <t>Ravnica Allegiance</t>
        </is>
      </c>
      <c r="I2782" s="13" t="inlineStr">
        <is>
          <t>Não</t>
        </is>
      </c>
      <c r="J2782" s="13" t="n">
        <v>2019</v>
      </c>
      <c r="K2782" s="10" t="n">
        <v>46116</v>
      </c>
      <c r="L2782" s="13" t="n">
        <v>2</v>
      </c>
      <c r="M2782" s="8">
        <f>L2782*G2782</f>
        <v/>
      </c>
      <c r="P2782" s="9" t="n"/>
    </row>
    <row r="2783">
      <c r="A2783" s="13" t="inlineStr">
        <is>
          <t>Skarrgan Pit-Skulk / Esguio do Fosso Skarrgan</t>
        </is>
      </c>
      <c r="B2783" s="13" t="inlineStr">
        <is>
          <t>Creature — Human Warrior / Criatura — Humano Guerreiro</t>
        </is>
      </c>
      <c r="C2783" s="13" t="inlineStr">
        <is>
          <t>Common / Comum</t>
        </is>
      </c>
      <c r="D2783" s="13"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2783" s="13" t="inlineStr">
        <is>
          <t>{G}</t>
        </is>
      </c>
      <c r="F2783" s="13" t="inlineStr">
        <is>
          <t>Verde</t>
        </is>
      </c>
      <c r="G2783" s="8" t="n">
        <v>0.23</v>
      </c>
      <c r="H2783" s="13" t="inlineStr">
        <is>
          <t>Guildpact (GPT)</t>
        </is>
      </c>
      <c r="I2783" s="13" t="inlineStr">
        <is>
          <t>Não</t>
        </is>
      </c>
      <c r="J2783" s="13" t="n">
        <v>2006</v>
      </c>
      <c r="K2783" s="10" t="n">
        <v>46023</v>
      </c>
      <c r="L2783" s="13" t="n">
        <v>4</v>
      </c>
      <c r="M2783" s="8">
        <f>L2783*G2783</f>
        <v/>
      </c>
      <c r="P2783" s="9" t="n"/>
    </row>
    <row r="2784">
      <c r="A2784" s="13" t="inlineStr">
        <is>
          <t>Skateboard</t>
        </is>
      </c>
      <c r="B2784" s="13" t="inlineStr">
        <is>
          <t>Artifact — Equipment</t>
        </is>
      </c>
      <c r="C2784" s="13" t="inlineStr">
        <is>
          <t>Uncommon / Incomum</t>
        </is>
      </c>
      <c r="D2784" s="13" t="inlineStr">
        <is>
          <t>When this Equipment enters, tap target permanent. Equipped creature gets +1/+0 and has haste. Equip {1} ({1}: Attach to target creature you control. Equip only as a sorcery.)</t>
        </is>
      </c>
      <c r="E2784" s="13" t="inlineStr">
        <is>
          <t>{1}</t>
        </is>
      </c>
      <c r="F2784" s="13" t="inlineStr">
        <is>
          <t>Incolor</t>
        </is>
      </c>
      <c r="G2784" s="8" t="n">
        <v>0.25</v>
      </c>
      <c r="H2784" s="13" t="inlineStr">
        <is>
          <t>Teenage Mutant Ninja Turtles (TMT)</t>
        </is>
      </c>
      <c r="I2784" s="13" t="inlineStr">
        <is>
          <t>Não</t>
        </is>
      </c>
      <c r="J2784" s="13" t="n">
        <v>2026</v>
      </c>
      <c r="L2784" s="13" t="n">
        <v>3</v>
      </c>
      <c r="M2784" s="8">
        <f>L2784*G2784</f>
        <v/>
      </c>
      <c r="P2784" s="9" t="n"/>
    </row>
    <row r="2785">
      <c r="A2785" s="13" t="inlineStr">
        <is>
          <t>Skewer the Critics / Alfinetada nos Críticos</t>
        </is>
      </c>
      <c r="B2785" s="13" t="inlineStr">
        <is>
          <t>Sorcery / Feitiço</t>
        </is>
      </c>
      <c r="C2785" s="13" t="inlineStr">
        <is>
          <t>Common / Comum</t>
        </is>
      </c>
      <c r="D2785" s="13"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2785" s="13" t="inlineStr">
        <is>
          <t>{2}{R}</t>
        </is>
      </c>
      <c r="F2785" s="13" t="inlineStr">
        <is>
          <t>Vermelho</t>
        </is>
      </c>
      <c r="G2785" s="8" t="n">
        <v>0.21</v>
      </c>
      <c r="H2785" s="13" t="inlineStr">
        <is>
          <t>Ravnica Allegiance (RNA)</t>
        </is>
      </c>
      <c r="I2785" s="13" t="inlineStr">
        <is>
          <t>Não</t>
        </is>
      </c>
      <c r="J2785" s="13" t="n">
        <v>2019</v>
      </c>
      <c r="L2785" s="13" t="n">
        <v>4</v>
      </c>
      <c r="M2785" s="8">
        <f>L2785*G2785</f>
        <v/>
      </c>
      <c r="P2785" s="9" t="n"/>
    </row>
    <row r="2786">
      <c r="A2786" s="13" t="inlineStr">
        <is>
          <t>Skirk Commando / Comando de Skirk</t>
        </is>
      </c>
      <c r="B2786" s="13" t="inlineStr">
        <is>
          <t>Creature — Goblin / Criatura — Goblin</t>
        </is>
      </c>
      <c r="C2786" s="13" t="inlineStr">
        <is>
          <t>Common / Comum</t>
        </is>
      </c>
      <c r="D2786" s="13"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786" s="13" t="inlineStr">
        <is>
          <t>{1}{R}{R}</t>
        </is>
      </c>
      <c r="F2786" s="13" t="inlineStr">
        <is>
          <t>Vermelho</t>
        </is>
      </c>
      <c r="G2786" s="8" t="n">
        <v>0.04</v>
      </c>
      <c r="H2786" s="13" t="inlineStr">
        <is>
          <t>Onslaught (ONS)</t>
        </is>
      </c>
      <c r="I2786" s="13" t="inlineStr">
        <is>
          <t>Não</t>
        </is>
      </c>
      <c r="J2786" s="13" t="n">
        <v>2002</v>
      </c>
      <c r="K2786" s="10" t="n">
        <v>46024</v>
      </c>
      <c r="L2786" s="13" t="n">
        <v>1</v>
      </c>
      <c r="M2786" s="8">
        <f>L2786*G2786</f>
        <v/>
      </c>
      <c r="P2786" s="9" t="n"/>
    </row>
    <row r="2787">
      <c r="A2787" s="13" t="inlineStr">
        <is>
          <t>Skirk Marauder / Saqueador de Skirk</t>
        </is>
      </c>
      <c r="B2787" s="13" t="inlineStr">
        <is>
          <t>Creature — Goblin / Criatura — Goblin</t>
        </is>
      </c>
      <c r="C2787" s="13" t="inlineStr">
        <is>
          <t>Rare / Rara</t>
        </is>
      </c>
      <c r="D2787" s="13"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787" s="13" t="inlineStr">
        <is>
          <t>{1}{R}</t>
        </is>
      </c>
      <c r="F2787" s="13" t="inlineStr">
        <is>
          <t>Vermelho</t>
        </is>
      </c>
      <c r="G2787" s="8" t="n">
        <v>0.06</v>
      </c>
      <c r="H2787" s="13" t="inlineStr">
        <is>
          <t>Arena League 2003 (PAL03)</t>
        </is>
      </c>
      <c r="I2787" s="13" t="inlineStr">
        <is>
          <t>Sim</t>
        </is>
      </c>
      <c r="J2787" s="13" t="n">
        <v>2003</v>
      </c>
      <c r="K2787" s="10" t="n">
        <v>46024</v>
      </c>
      <c r="L2787" s="13" t="n">
        <v>1</v>
      </c>
      <c r="M2787" s="8">
        <f>L2787*G2787</f>
        <v/>
      </c>
      <c r="P2787" s="9" t="n"/>
    </row>
    <row r="2788">
      <c r="A2788" s="13" t="inlineStr">
        <is>
          <t>Skirk Outrider / Vanguardeiro de Skirk</t>
        </is>
      </c>
      <c r="B2788" s="13" t="inlineStr">
        <is>
          <t>Creature — Goblin / Criatura — Goblin</t>
        </is>
      </c>
      <c r="C2788" s="13" t="inlineStr">
        <is>
          <t>Common / Comum</t>
        </is>
      </c>
      <c r="D2788" s="13" t="inlineStr">
        <is>
          <t>As long as you control a Beast, this creature gets +2/+2 and has trample. / Vanguardeiro de Skirk recebe +2/+2 e tem a habilidade de atropelar desde que você controle uma Besta.</t>
        </is>
      </c>
      <c r="E2788" s="13" t="inlineStr">
        <is>
          <t>{3}{R}</t>
        </is>
      </c>
      <c r="F2788" s="13" t="inlineStr">
        <is>
          <t>Vermelho</t>
        </is>
      </c>
      <c r="G2788" s="8" t="n">
        <v>0.08</v>
      </c>
      <c r="H2788" s="13" t="inlineStr">
        <is>
          <t>Legions (LGN)</t>
        </is>
      </c>
      <c r="I2788" s="13" t="inlineStr">
        <is>
          <t>Não</t>
        </is>
      </c>
      <c r="J2788" s="13" t="n">
        <v>2003</v>
      </c>
      <c r="K2788" s="10" t="n">
        <v>46055</v>
      </c>
      <c r="L2788" s="13" t="n">
        <v>1</v>
      </c>
      <c r="M2788" s="8">
        <f>L2788*G2788</f>
        <v/>
      </c>
      <c r="P2788" s="9" t="n"/>
    </row>
    <row r="2789">
      <c r="A2789" s="13" t="inlineStr">
        <is>
          <t>Skirk Volcanist / Vulcanólogo de Skirk</t>
        </is>
      </c>
      <c r="B2789" s="13" t="inlineStr">
        <is>
          <t>Creature — Goblin / Criatura — Goblin</t>
        </is>
      </c>
      <c r="C2789" s="13" t="inlineStr">
        <is>
          <t>Uncommon / Incomum</t>
        </is>
      </c>
      <c r="D2789" s="13"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789" s="13" t="inlineStr">
        <is>
          <t>{3}{R}</t>
        </is>
      </c>
      <c r="F2789" s="13" t="inlineStr">
        <is>
          <t>Vermelho</t>
        </is>
      </c>
      <c r="G2789" s="8" t="n">
        <v>0.08</v>
      </c>
      <c r="H2789" s="13" t="inlineStr">
        <is>
          <t>Scourge (SCG)</t>
        </is>
      </c>
      <c r="I2789" s="13" t="inlineStr">
        <is>
          <t>Não</t>
        </is>
      </c>
      <c r="J2789" s="13" t="n">
        <v>2003</v>
      </c>
      <c r="K2789" s="10" t="n">
        <v>46025</v>
      </c>
      <c r="L2789" s="13" t="n">
        <v>1</v>
      </c>
      <c r="M2789" s="8">
        <f>L2789*G2789</f>
        <v/>
      </c>
      <c r="P2789" s="9" t="n"/>
    </row>
    <row r="2790">
      <c r="A2790" s="13" t="inlineStr">
        <is>
          <t>Skoa, Embermage / Skoa, Maga Ígnea</t>
        </is>
      </c>
      <c r="B2790" s="13" t="inlineStr">
        <is>
          <t>Legendary Creature — Goblin Wizard / Criatura Lendária — Goblin Mago</t>
        </is>
      </c>
      <c r="C2790" s="13" t="inlineStr">
        <is>
          <t>Common / Comum</t>
        </is>
      </c>
      <c r="D2790" s="13"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2790" s="13" t="inlineStr">
        <is>
          <t>{4}{R}{R}</t>
        </is>
      </c>
      <c r="F2790" s="13" t="inlineStr">
        <is>
          <t>Vermelho</t>
        </is>
      </c>
      <c r="G2790" s="8" t="n">
        <v>0.1</v>
      </c>
      <c r="H2790" s="13" t="inlineStr">
        <is>
          <t>Modern Horizons 3 (MH3)</t>
        </is>
      </c>
      <c r="I2790" s="13" t="inlineStr">
        <is>
          <t>Não</t>
        </is>
      </c>
      <c r="J2790" s="13" t="n">
        <v>2024</v>
      </c>
      <c r="K2790" s="10" t="n">
        <v>46116</v>
      </c>
      <c r="L2790" s="13" t="n">
        <v>1</v>
      </c>
      <c r="M2790" s="8">
        <f>L2790*G2790</f>
        <v/>
      </c>
      <c r="P2790" s="9" t="n"/>
    </row>
    <row r="2791">
      <c r="A2791" s="13" t="inlineStr">
        <is>
          <t>Skull Catapult / Catapulta de Crânios</t>
        </is>
      </c>
      <c r="B2791" s="13" t="inlineStr">
        <is>
          <t>Artifact / Artefato</t>
        </is>
      </c>
      <c r="C2791" s="13" t="inlineStr">
        <is>
          <t>Uncommon / Incomum</t>
        </is>
      </c>
      <c r="D2791" s="13" t="inlineStr">
        <is>
          <t>{1}, {T}, Sacrifice a creature: This artifact deals 2 damage to any target.</t>
        </is>
      </c>
      <c r="E2791" s="13" t="inlineStr">
        <is>
          <t>{4}</t>
        </is>
      </c>
      <c r="F2791" s="13" t="inlineStr">
        <is>
          <t>Incolor</t>
        </is>
      </c>
      <c r="G2791" s="8" t="n">
        <v>0.1</v>
      </c>
      <c r="H2791" s="13" t="inlineStr">
        <is>
          <t>Ice Age (ICE)</t>
        </is>
      </c>
      <c r="I2791" s="13" t="inlineStr">
        <is>
          <t>Não</t>
        </is>
      </c>
      <c r="J2791" s="13" t="n">
        <v>1995</v>
      </c>
      <c r="L2791" s="13" t="n">
        <v>1</v>
      </c>
      <c r="M2791" s="8">
        <f>L2791*G2791</f>
        <v/>
      </c>
      <c r="P2791" s="9" t="n"/>
    </row>
    <row r="2792">
      <c r="A2792" s="13" t="inlineStr">
        <is>
          <t>Skull Catapult / Catapulta de Crânios</t>
        </is>
      </c>
      <c r="B2792" s="13" t="inlineStr">
        <is>
          <t>Artifact / Artefato</t>
        </is>
      </c>
      <c r="C2792" s="13" t="inlineStr">
        <is>
          <t>Uncommon / Incomum</t>
        </is>
      </c>
      <c r="D2792" s="13" t="inlineStr">
        <is>
          <t>{1}, {T}, Sacrifice a creature: Skull Catapult deals 2 damage to target creature or player. / {1}, {T}, Sacrifique uma criatura: Catapulta de Crânios causa 2 pontos de dano à criatura ou jogador alvo.</t>
        </is>
      </c>
      <c r="E2792" s="13" t="inlineStr">
        <is>
          <t>{4}</t>
        </is>
      </c>
      <c r="F2792" s="13" t="inlineStr">
        <is>
          <t>Incolor</t>
        </is>
      </c>
      <c r="G2792" s="8" t="n">
        <v>0.25</v>
      </c>
      <c r="H2792" s="13" t="inlineStr">
        <is>
          <t>Sixth Edition (6ED)</t>
        </is>
      </c>
      <c r="I2792" s="13" t="inlineStr">
        <is>
          <t>No</t>
        </is>
      </c>
      <c r="J2792" s="13" t="n">
        <v>1999</v>
      </c>
      <c r="L2792" s="13" t="n">
        <v>1</v>
      </c>
      <c r="M2792" s="8">
        <f>L2792*G2792</f>
        <v/>
      </c>
      <c r="P2792" s="9" t="n"/>
    </row>
    <row r="2793">
      <c r="A2793" s="13" t="inlineStr">
        <is>
          <t>Skullport Merchant / Mercadora do Porto da Caveira</t>
        </is>
      </c>
      <c r="B2793" s="13" t="inlineStr">
        <is>
          <t>Creature — Dwarf Citizen / Criatura — Anão Cidadão</t>
        </is>
      </c>
      <c r="C2793" s="13" t="inlineStr">
        <is>
          <t>Uncommon / Incomum</t>
        </is>
      </c>
      <c r="D2793" s="13"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2793" s="13" t="inlineStr">
        <is>
          <t>{2}{B}</t>
        </is>
      </c>
      <c r="F2793" s="13" t="inlineStr">
        <is>
          <t>Preto</t>
        </is>
      </c>
      <c r="G2793" s="8" t="n">
        <v>0.09</v>
      </c>
      <c r="H2793" s="13" t="inlineStr">
        <is>
          <t>Commander Legends: Battle for Baldur's Gate (CLB)</t>
        </is>
      </c>
      <c r="I2793" s="13" t="inlineStr">
        <is>
          <t>Não</t>
        </is>
      </c>
      <c r="J2793" s="13" t="n">
        <v>2022</v>
      </c>
      <c r="K2793" s="10" t="n">
        <v>46113</v>
      </c>
      <c r="L2793" s="13" t="n">
        <v>1</v>
      </c>
      <c r="M2793" s="8">
        <f>L2793*G2793</f>
        <v/>
      </c>
      <c r="P2793" s="9" t="n"/>
    </row>
    <row r="2794">
      <c r="A2794" s="13" t="inlineStr">
        <is>
          <t>Sky Crier / Serralheira dos Arranha-céus</t>
        </is>
      </c>
      <c r="B2794" s="13" t="inlineStr">
        <is>
          <t>Creature — Elf Citizen / Criatura — Elfo Cidadão</t>
        </is>
      </c>
      <c r="C2794" s="13" t="inlineStr">
        <is>
          <t>Common / Comum</t>
        </is>
      </c>
      <c r="D2794" s="13" t="inlineStr">
        <is>
          <t>Reach. Whenever Sky Crier blocks a creature with flying, it gets +2/+0 until end of turn. / Alcance. Toda vez que Serralheira dos Arranha-céus bloqueia uma criatura com voar, Serralheira dos Arranha-céus recebe +2/+0 até o final do turno.</t>
        </is>
      </c>
      <c r="E2794" s="13" t="inlineStr">
        <is>
          <t>{2}{G}</t>
        </is>
      </c>
      <c r="F2794" s="13" t="inlineStr">
        <is>
          <t>Verde</t>
        </is>
      </c>
      <c r="G2794" s="8" t="n">
        <v>0.04</v>
      </c>
      <c r="H2794" s="13" t="inlineStr">
        <is>
          <t>Streets of New Capenna (SNC)</t>
        </is>
      </c>
      <c r="I2794" s="13" t="inlineStr">
        <is>
          <t>Não</t>
        </is>
      </c>
      <c r="J2794" s="13" t="n">
        <v>2022</v>
      </c>
      <c r="K2794" s="10" t="n">
        <v>46083</v>
      </c>
      <c r="L2794" s="13" t="n">
        <v>3</v>
      </c>
      <c r="M2794" s="8">
        <f>L2794*G2794</f>
        <v/>
      </c>
      <c r="P2794" s="9" t="n"/>
    </row>
    <row r="2795">
      <c r="A2795" s="13" t="inlineStr">
        <is>
          <t>Sky Diamond</t>
        </is>
      </c>
      <c r="B2795" s="13" t="inlineStr">
        <is>
          <t>Artifact</t>
        </is>
      </c>
      <c r="C2795" s="13" t="inlineStr">
        <is>
          <t>Common</t>
        </is>
      </c>
      <c r="D2795" s="13" t="inlineStr">
        <is>
          <t>Sky Diamond comes into play tapped. {T}: Add {U} to your mana pool. Play this ability as a mana source.</t>
        </is>
      </c>
      <c r="E2795" s="13" t="inlineStr">
        <is>
          <t>{2}</t>
        </is>
      </c>
      <c r="F2795" s="13" t="inlineStr">
        <is>
          <t>Colorless</t>
        </is>
      </c>
      <c r="G2795" s="8" t="n">
        <v>2.5</v>
      </c>
      <c r="H2795" s="13" t="inlineStr">
        <is>
          <t>Mirage (MIR)</t>
        </is>
      </c>
      <c r="I2795" s="13" t="inlineStr">
        <is>
          <t>No</t>
        </is>
      </c>
      <c r="J2795" s="13" t="n">
        <v>1996</v>
      </c>
      <c r="L2795" s="13" t="n">
        <v>1</v>
      </c>
      <c r="M2795" s="8">
        <f>L2795*G2795</f>
        <v/>
      </c>
      <c r="P2795" s="9" t="n"/>
    </row>
    <row r="2796">
      <c r="A2796" s="13" t="inlineStr">
        <is>
          <t>Sky Tether / Corrente Celeste</t>
        </is>
      </c>
      <c r="B2796" s="13" t="inlineStr">
        <is>
          <t>Enchantment — Aura / Encantamento — Aura</t>
        </is>
      </c>
      <c r="C2796" s="13" t="inlineStr">
        <is>
          <t>Uncommon / Incomum</t>
        </is>
      </c>
      <c r="D2796" s="13" t="inlineStr">
        <is>
          <t>Enchant creature Enchanted creature has defender and loses flying. / Encantar criatura A criatura encantada tem defensor e perde voar.</t>
        </is>
      </c>
      <c r="E2796" s="13" t="inlineStr">
        <is>
          <t>{W}</t>
        </is>
      </c>
      <c r="F2796" s="13" t="inlineStr">
        <is>
          <t>Branco</t>
        </is>
      </c>
      <c r="G2796" s="8" t="n">
        <v>0.03</v>
      </c>
      <c r="H2796" s="13" t="inlineStr">
        <is>
          <t>Ravnica Allegiance (RNA)</t>
        </is>
      </c>
      <c r="I2796" s="13" t="inlineStr">
        <is>
          <t>Não</t>
        </is>
      </c>
      <c r="J2796" s="13" t="n">
        <v>2019</v>
      </c>
      <c r="L2796" s="13" t="n">
        <v>1</v>
      </c>
      <c r="M2796" s="8">
        <f>L2796*G2796</f>
        <v/>
      </c>
      <c r="N2796" s="13" t="inlineStr">
        <is>
          <t>Bulk Shopee</t>
        </is>
      </c>
      <c r="P2796" s="9" t="n"/>
    </row>
    <row r="2797">
      <c r="A2797" s="13" t="inlineStr">
        <is>
          <t>Sky Theater Strix / Strix do Palco Celeste</t>
        </is>
      </c>
      <c r="B2797" s="13" t="inlineStr">
        <is>
          <t>Creature — Bird / Criatura — Ave</t>
        </is>
      </c>
      <c r="C2797" s="13" t="inlineStr">
        <is>
          <t>Common / Comum</t>
        </is>
      </c>
      <c r="D2797" s="13" t="inlineStr">
        <is>
          <t>Flying Whenever you cast a noncreature spell, this creature gets +1/+0 until end of turn. / Voar Toda vez que você conjura uma mágica que não seja de criatura, Strix do Palco Celeste recebe +1/+0 até o final do turno.</t>
        </is>
      </c>
      <c r="E2797" s="13" t="inlineStr">
        <is>
          <t>{1}{U}</t>
        </is>
      </c>
      <c r="F2797" s="13" t="inlineStr">
        <is>
          <t>Azul</t>
        </is>
      </c>
      <c r="G2797" s="8" t="n">
        <v>0.03</v>
      </c>
      <c r="H2797" s="13" t="inlineStr">
        <is>
          <t>War of the Spark (WAR)</t>
        </is>
      </c>
      <c r="I2797" s="13" t="inlineStr">
        <is>
          <t>Não</t>
        </is>
      </c>
      <c r="J2797" s="13" t="n">
        <v>2019</v>
      </c>
      <c r="K2797" s="10" t="n">
        <v>46054</v>
      </c>
      <c r="L2797" s="13" t="n">
        <v>1</v>
      </c>
      <c r="M2797" s="8">
        <f>L2797*G2797</f>
        <v/>
      </c>
      <c r="P2797" s="9" t="n"/>
    </row>
    <row r="2798">
      <c r="A2798" s="13" t="inlineStr">
        <is>
          <t>Skybox Ferry</t>
        </is>
      </c>
      <c r="B2798" s="13" t="inlineStr">
        <is>
          <t>Artifact — Vehicle</t>
        </is>
      </c>
      <c r="C2798" s="13" t="inlineStr">
        <is>
          <t>Common / Comum</t>
        </is>
      </c>
      <c r="D2798" s="13" t="inlineStr">
        <is>
          <t>Flying Crew 2 (Tap any number of creatures you control with total power 2 or more: This Vehicle becomes an artifact creature until end of turn.) Cycling {2} ({2}, Discard this card: Draw a card.)</t>
        </is>
      </c>
      <c r="E2798" s="13" t="inlineStr">
        <is>
          <t>{5}</t>
        </is>
      </c>
      <c r="F2798" s="13" t="inlineStr">
        <is>
          <t>Incolor</t>
        </is>
      </c>
      <c r="G2798" s="8" t="n">
        <v>0.05</v>
      </c>
      <c r="H2798" s="13" t="inlineStr">
        <is>
          <t>Aetherdrift (DFT)</t>
        </is>
      </c>
      <c r="I2798" s="13" t="inlineStr">
        <is>
          <t>Não</t>
        </is>
      </c>
      <c r="J2798" s="13" t="n">
        <v>2025</v>
      </c>
      <c r="K2798" s="10" t="n">
        <v>46116</v>
      </c>
      <c r="L2798" s="13" t="n">
        <v>1</v>
      </c>
      <c r="M2798" s="8">
        <f>L2798*G2798</f>
        <v/>
      </c>
      <c r="P2798" s="9" t="n"/>
    </row>
    <row r="2799">
      <c r="A2799" s="13" t="inlineStr">
        <is>
          <t>Skyclave Geopede / Geopede do Enclave Celeste</t>
        </is>
      </c>
      <c r="B2799" s="13" t="inlineStr">
        <is>
          <t>Creature — Insect / Criatura — Inseto</t>
        </is>
      </c>
      <c r="C2799" s="13" t="inlineStr">
        <is>
          <t>Uncommon / Incomum</t>
        </is>
      </c>
      <c r="D2799" s="13" t="inlineStr">
        <is>
          <t>Trample Landfall — Whenever a land you control enters, this creature gets +2/+2 until end of turn. / Atropelar Aterragem — Toda vez que um terreno entra no campo de batalha sob seu controle, Geopede do Enclave Celeste recebe +2/+2 até o final do turno.</t>
        </is>
      </c>
      <c r="E2799" s="13" t="inlineStr">
        <is>
          <t>{2}{R}</t>
        </is>
      </c>
      <c r="F2799" s="13" t="inlineStr">
        <is>
          <t>Vermelho</t>
        </is>
      </c>
      <c r="G2799" s="8" t="n">
        <v>0.08</v>
      </c>
      <c r="H2799" s="13" t="inlineStr">
        <is>
          <t>Zendikar Rising (ZNR)</t>
        </is>
      </c>
      <c r="I2799" s="13" t="inlineStr">
        <is>
          <t>Não</t>
        </is>
      </c>
      <c r="J2799" s="13" t="n">
        <v>2020</v>
      </c>
      <c r="K2799" s="10" t="n">
        <v>46025</v>
      </c>
      <c r="L2799" s="13" t="n">
        <v>1</v>
      </c>
      <c r="M2799" s="8">
        <f>L2799*G2799</f>
        <v/>
      </c>
      <c r="P2799" s="9" t="n"/>
    </row>
    <row r="2800">
      <c r="A2800" s="13" t="inlineStr">
        <is>
          <t>Skyraker Giant / Gigante Varredor do Céu</t>
        </is>
      </c>
      <c r="B2800" s="13" t="inlineStr">
        <is>
          <t>Creature — Giant / Criatura — Gigante</t>
        </is>
      </c>
      <c r="C2800" s="13" t="inlineStr">
        <is>
          <t>Common / Comum</t>
        </is>
      </c>
      <c r="D2800" s="13" t="inlineStr">
        <is>
          <t>Reach (This creature can block creatures with flying.) / Alcance (Esta criatura pode bloquear criaturas com voar.)</t>
        </is>
      </c>
      <c r="E2800" s="13" t="inlineStr">
        <is>
          <t>{2}{R}{R}</t>
        </is>
      </c>
      <c r="F2800" s="13" t="inlineStr">
        <is>
          <t>Vermelho</t>
        </is>
      </c>
      <c r="G2800" s="8" t="n">
        <v>0.05</v>
      </c>
      <c r="H2800" s="13" t="inlineStr">
        <is>
          <t>Commander Legends (CMR)</t>
        </is>
      </c>
      <c r="I2800" s="13" t="inlineStr">
        <is>
          <t>Não</t>
        </is>
      </c>
      <c r="J2800" s="13" t="n">
        <v>2020</v>
      </c>
      <c r="K2800" s="10" t="n">
        <v>46085</v>
      </c>
      <c r="L2800" s="13" t="n">
        <v>1</v>
      </c>
      <c r="M2800" s="8">
        <f>L2800*G2800</f>
        <v/>
      </c>
      <c r="P2800" s="9" t="n"/>
    </row>
    <row r="2801">
      <c r="A2801" s="13" t="inlineStr">
        <is>
          <t>Skyreach Manta</t>
        </is>
      </c>
      <c r="B2801" s="13" t="inlineStr">
        <is>
          <t>Artifact Creature — Fish</t>
        </is>
      </c>
      <c r="C2801" s="13" t="inlineStr">
        <is>
          <t>Common</t>
        </is>
      </c>
      <c r="D2801" s="13" t="inlineStr">
        <is>
          <t>Sunburst (This enters the battlefield with a +1/+1 counter on it for each color of mana spent to cast it.) Flying</t>
        </is>
      </c>
      <c r="E2801" s="13" t="inlineStr">
        <is>
          <t>{5}</t>
        </is>
      </c>
      <c r="F2801" s="13" t="inlineStr">
        <is>
          <t>Colorless</t>
        </is>
      </c>
      <c r="G2801" s="8" t="n">
        <v>0.03</v>
      </c>
      <c r="H2801" s="13" t="inlineStr">
        <is>
          <t>Modern Masters 2015 (MM2)</t>
        </is>
      </c>
      <c r="I2801" s="13" t="inlineStr">
        <is>
          <t>Não</t>
        </is>
      </c>
      <c r="J2801" s="13" t="n">
        <v>2015</v>
      </c>
      <c r="K2801" s="13" t="inlineStr">
        <is>
          <t>0/0</t>
        </is>
      </c>
      <c r="L2801" s="13" t="n">
        <v>2</v>
      </c>
      <c r="M2801" s="8">
        <f>L2801*G2801</f>
        <v/>
      </c>
      <c r="P2801" s="9" t="n"/>
    </row>
    <row r="2802">
      <c r="A2802" s="13" t="inlineStr">
        <is>
          <t>Skyshaper / Modelador de Céus</t>
        </is>
      </c>
      <c r="B2802" s="13" t="inlineStr">
        <is>
          <t>Artifact</t>
        </is>
      </c>
      <c r="C2802" s="13" t="inlineStr">
        <is>
          <t>Uncommon</t>
        </is>
      </c>
      <c r="D2802" s="13" t="inlineStr">
        <is>
          <t>Sacrifice Skyshaper: All creatures you control gain flying until end of turn.</t>
        </is>
      </c>
      <c r="E2802" s="13" t="inlineStr">
        <is>
          <t>{2}</t>
        </is>
      </c>
      <c r="F2802" s="13" t="inlineStr">
        <is>
          <t>Colorless</t>
        </is>
      </c>
      <c r="G2802" s="8" t="n">
        <v>7.75</v>
      </c>
      <c r="H2802" s="13" t="inlineStr">
        <is>
          <t>Exodus (EXO)</t>
        </is>
      </c>
      <c r="I2802" s="13" t="inlineStr">
        <is>
          <t>No</t>
        </is>
      </c>
      <c r="J2802" s="13" t="n">
        <v>1998</v>
      </c>
      <c r="L2802" s="13" t="n">
        <v>1</v>
      </c>
      <c r="M2802" s="8">
        <f>L2802*G2802</f>
        <v/>
      </c>
      <c r="P2802" s="9" t="n"/>
    </row>
    <row r="2803">
      <c r="A2803" s="13" t="inlineStr">
        <is>
          <t>Skyspear Cavalry / Cavalaria da Lança Celeste</t>
        </is>
      </c>
      <c r="B2803" s="13" t="inlineStr">
        <is>
          <t>Creature — Human Soldier / Criatura — Humano Soldado</t>
        </is>
      </c>
      <c r="C2803" s="13" t="inlineStr">
        <is>
          <t>Common / Comum</t>
        </is>
      </c>
      <c r="D2803" s="13" t="inlineStr">
        <is>
          <t>Flying Double strike (This creature deals both first-strike and regular combat damage.) / Voar Golpe duplo (Esta criatura causa tanto o dano de iniciativa quanto o de combate normal.)</t>
        </is>
      </c>
      <c r="E2803" s="13" t="inlineStr">
        <is>
          <t>{3}{W}{W}</t>
        </is>
      </c>
      <c r="F2803" s="13" t="inlineStr">
        <is>
          <t>Branco</t>
        </is>
      </c>
      <c r="G2803" s="8" t="n">
        <v>0.06</v>
      </c>
      <c r="H2803" s="13" t="inlineStr">
        <is>
          <t>Ultimate Masters (UMA)</t>
        </is>
      </c>
      <c r="I2803" s="13" t="inlineStr">
        <is>
          <t>Não</t>
        </is>
      </c>
      <c r="J2803" s="13" t="n">
        <v>2018</v>
      </c>
      <c r="K2803" s="10" t="n">
        <v>46055</v>
      </c>
      <c r="L2803" s="13" t="n">
        <v>1</v>
      </c>
      <c r="M2803" s="8">
        <f>L2803*G2803</f>
        <v/>
      </c>
      <c r="P2803" s="9" t="n"/>
    </row>
    <row r="2804">
      <c r="A2804" s="13" t="inlineStr">
        <is>
          <t>Skyway Sniper / Atiradora do Céu Aberto</t>
        </is>
      </c>
      <c r="B2804" s="13" t="inlineStr">
        <is>
          <t>Creature — Elf Archer / Criatura — Elfo Arqueiro</t>
        </is>
      </c>
      <c r="C2804" s="13" t="inlineStr">
        <is>
          <t>Uncommon / Incomum</t>
        </is>
      </c>
      <c r="D2804" s="13" t="inlineStr">
        <is>
          <t>Reach (This creature can block creatures with flying.) {2}{G}: This creature deals 1 damage to target creature with flying. / Alcance (Esta criatura pode bloquear criaturas com voar.) {2}{G}: Atiradora do Céu Aberto causa 1 ponto de dano à criatura alvo com voar.</t>
        </is>
      </c>
      <c r="E2804" s="13" t="inlineStr">
        <is>
          <t>{G}</t>
        </is>
      </c>
      <c r="F2804" s="13" t="inlineStr">
        <is>
          <t>Verde</t>
        </is>
      </c>
      <c r="G2804" s="8" t="n">
        <v>0.05</v>
      </c>
      <c r="H2804" s="13" t="inlineStr">
        <is>
          <t>Core Set 2021 (M21)</t>
        </is>
      </c>
      <c r="I2804" s="13" t="inlineStr">
        <is>
          <t>Não</t>
        </is>
      </c>
      <c r="J2804" s="13" t="n">
        <v>2020</v>
      </c>
      <c r="K2804" s="10" t="n">
        <v>46054</v>
      </c>
      <c r="L2804" s="13" t="n">
        <v>1</v>
      </c>
      <c r="M2804" s="8">
        <f>L2804*G2804</f>
        <v/>
      </c>
      <c r="P2804" s="9" t="n"/>
    </row>
    <row r="2805">
      <c r="A2805" s="13" t="inlineStr">
        <is>
          <t>Slash of Light / Golpe de Luz</t>
        </is>
      </c>
      <c r="B2805" s="13" t="inlineStr">
        <is>
          <t>Mágica Instantânea</t>
        </is>
      </c>
      <c r="C2805" s="13" t="inlineStr">
        <is>
          <t>Comum</t>
        </is>
      </c>
      <c r="D2805" s="13" t="inlineStr">
        <is>
          <t>Golpe de Luz causa à criatura alvo uma quantidade de dano igual ao número de criaturas que você controla somado ao número de Equipamentos que você controla.</t>
        </is>
      </c>
      <c r="E2805" s="13" t="inlineStr">
        <is>
          <t>1{W}</t>
        </is>
      </c>
      <c r="F2805" s="13" t="inlineStr">
        <is>
          <t>Branco</t>
        </is>
      </c>
      <c r="G2805" s="8" t="n">
        <v>0.05</v>
      </c>
      <c r="H2805" s="13" t="inlineStr">
        <is>
          <t>Final Fantasy</t>
        </is>
      </c>
      <c r="I2805" s="13" t="inlineStr">
        <is>
          <t>Não</t>
        </is>
      </c>
      <c r="J2805" s="13" t="n">
        <v>2025</v>
      </c>
      <c r="L2805" s="13" t="n">
        <v>10</v>
      </c>
      <c r="M2805" s="8">
        <f>L2805*G2805</f>
        <v/>
      </c>
      <c r="P2805" s="9" t="n"/>
    </row>
    <row r="2806">
      <c r="A2806" s="13" t="inlineStr">
        <is>
          <t>Slash of Light / Golpe de Luz</t>
        </is>
      </c>
      <c r="B2806" s="13" t="inlineStr">
        <is>
          <t>Mágica Instantânea</t>
        </is>
      </c>
      <c r="C2806" s="13" t="inlineStr">
        <is>
          <t>Comum</t>
        </is>
      </c>
      <c r="D2806" s="13" t="inlineStr">
        <is>
          <t>Golpe de Luz causa à criatura alvo uma quantidade de dano igual ao número de criaturas que você controla somado ao número de Equipamentos que você controla.</t>
        </is>
      </c>
      <c r="E2806" s="13" t="inlineStr">
        <is>
          <t>1{W}</t>
        </is>
      </c>
      <c r="F2806" s="13" t="inlineStr">
        <is>
          <t>Branco</t>
        </is>
      </c>
      <c r="G2806" s="8" t="n">
        <v>0.2</v>
      </c>
      <c r="H2806" s="13" t="inlineStr">
        <is>
          <t>Final Fantasy</t>
        </is>
      </c>
      <c r="I2806" s="13" t="inlineStr">
        <is>
          <t>Sim</t>
        </is>
      </c>
      <c r="J2806" s="13" t="n">
        <v>2025</v>
      </c>
      <c r="L2806" s="13" t="n">
        <v>1</v>
      </c>
      <c r="M2806" s="8">
        <f>L2806*G2806</f>
        <v/>
      </c>
      <c r="P2806" s="9" t="n"/>
    </row>
    <row r="2807">
      <c r="A2807" s="13" t="inlineStr">
        <is>
          <t>Slate Street Ruffian / Rufião da Rua de Ardósia</t>
        </is>
      </c>
      <c r="B2807" s="13" t="inlineStr">
        <is>
          <t>Creature — Human Warrior / Criatura — Humano Guerreiro</t>
        </is>
      </c>
      <c r="C2807" s="13" t="inlineStr">
        <is>
          <t>Common / Comum</t>
        </is>
      </c>
      <c r="D2807" s="13" t="inlineStr">
        <is>
          <t>Whenever this creature becomes blocked, defending player discards a card. / Toda vez que Rufião da Rua de Ardósia é bloqueado, o jogador defensor descarta um card.</t>
        </is>
      </c>
      <c r="E2807" s="13" t="inlineStr">
        <is>
          <t>{2}{B}</t>
        </is>
      </c>
      <c r="F2807" s="13" t="inlineStr">
        <is>
          <t>Preto</t>
        </is>
      </c>
      <c r="G2807" s="8" t="n">
        <v>0.05</v>
      </c>
      <c r="H2807" s="13" t="inlineStr">
        <is>
          <t>Gatecrash (GTC)</t>
        </is>
      </c>
      <c r="I2807" s="13" t="inlineStr">
        <is>
          <t>Não</t>
        </is>
      </c>
      <c r="J2807" s="13" t="n">
        <v>2013</v>
      </c>
      <c r="K2807" s="10" t="n">
        <v>46055</v>
      </c>
      <c r="L2807" s="13" t="n">
        <v>1</v>
      </c>
      <c r="M2807" s="8">
        <f>L2807*G2807</f>
        <v/>
      </c>
      <c r="P2807" s="9" t="n"/>
    </row>
    <row r="2808">
      <c r="A2808" s="13" t="inlineStr">
        <is>
          <t>Slaughter Drone / Zangão da Matança</t>
        </is>
      </c>
      <c r="B2808" s="13" t="inlineStr">
        <is>
          <t>Creature — Eldrazi Drone / Criatura — Eldrazi Zangão</t>
        </is>
      </c>
      <c r="C2808" s="13" t="inlineStr">
        <is>
          <t>Common / Comum</t>
        </is>
      </c>
      <c r="D2808" s="13"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2808" s="13" t="inlineStr">
        <is>
          <t>{1}{B}</t>
        </is>
      </c>
      <c r="F2808" s="13" t="inlineStr">
        <is>
          <t>Preto</t>
        </is>
      </c>
      <c r="G2808" s="8" t="n">
        <v>0.04</v>
      </c>
      <c r="H2808" s="13" t="inlineStr">
        <is>
          <t>Oath of the Gatewatch (OGW)</t>
        </is>
      </c>
      <c r="I2808" s="13" t="inlineStr">
        <is>
          <t>Não</t>
        </is>
      </c>
      <c r="J2808" s="13" t="n">
        <v>2016</v>
      </c>
      <c r="K2808" s="10" t="n">
        <v>46055</v>
      </c>
      <c r="L2808" s="13" t="n">
        <v>1</v>
      </c>
      <c r="M2808" s="8">
        <f>L2808*G2808</f>
        <v/>
      </c>
      <c r="P2808" s="9" t="n"/>
    </row>
    <row r="2809">
      <c r="A2809" s="13" t="inlineStr">
        <is>
          <t>Slavering Branchsnapper</t>
        </is>
      </c>
      <c r="B2809" s="13" t="inlineStr">
        <is>
          <t>Creature — Lizard</t>
        </is>
      </c>
      <c r="C2809" s="13" t="inlineStr">
        <is>
          <t>Common / Comum</t>
        </is>
      </c>
      <c r="D2809" s="13" t="inlineStr">
        <is>
          <t>Trample Forestcycling {2} ({2}, Discard this card: Search your library for a Forest card, reveal it, put it into your hand, then shuffle.)</t>
        </is>
      </c>
      <c r="E2809" s="13" t="inlineStr">
        <is>
          <t>{4}{G}{G}</t>
        </is>
      </c>
      <c r="F2809" s="13" t="inlineStr">
        <is>
          <t>Verde</t>
        </is>
      </c>
      <c r="G2809" s="8" t="n">
        <v>0.05</v>
      </c>
      <c r="H2809" s="13" t="inlineStr">
        <is>
          <t>Duskmourn: House of Horror (DSK)</t>
        </is>
      </c>
      <c r="I2809" s="13" t="inlineStr">
        <is>
          <t>Não</t>
        </is>
      </c>
      <c r="J2809" s="13" t="n">
        <v>2024</v>
      </c>
      <c r="K2809" s="10" t="n">
        <v>46180</v>
      </c>
      <c r="L2809" s="13" t="n">
        <v>2</v>
      </c>
      <c r="M2809" s="8">
        <f>L2809*G2809</f>
        <v/>
      </c>
      <c r="P2809" s="9" t="n"/>
    </row>
    <row r="2810">
      <c r="A2810" s="13" t="inlineStr">
        <is>
          <t>Sleep Magic / Magia do Sono</t>
        </is>
      </c>
      <c r="B2810" s="13" t="inlineStr">
        <is>
          <t>Encantamento — Aura</t>
        </is>
      </c>
      <c r="C2810" s="13" t="inlineStr">
        <is>
          <t>Incomum</t>
        </is>
      </c>
      <c r="D2810" s="13" t="inlineStr">
        <is>
          <t>Encantar criatura. Quando esta Aura entrar, vire a criatura encantada. A criatura encantada não desvire durante a etapa de desvirar de seu controlador. Quando for causado dano à criatura encantada, sacrifique esta Aura.</t>
        </is>
      </c>
      <c r="E2810" s="13" t="inlineStr">
        <is>
          <t>{U}</t>
        </is>
      </c>
      <c r="F2810" s="13" t="inlineStr">
        <is>
          <t>Azul</t>
        </is>
      </c>
      <c r="G2810" s="8" t="n">
        <v>0.05</v>
      </c>
      <c r="H2810" s="13" t="inlineStr">
        <is>
          <t>Final Fantasy</t>
        </is>
      </c>
      <c r="I2810" s="13" t="inlineStr">
        <is>
          <t>Não</t>
        </is>
      </c>
      <c r="J2810" s="13" t="n">
        <v>2025</v>
      </c>
      <c r="L2810" s="13" t="n">
        <v>1</v>
      </c>
      <c r="M2810" s="8">
        <f>L2810*G2810</f>
        <v/>
      </c>
      <c r="P2810" s="9" t="n"/>
    </row>
    <row r="2811">
      <c r="A2811" s="13" t="inlineStr">
        <is>
          <t>Slice and Dice / Despedaçar</t>
        </is>
      </c>
      <c r="B2811" s="13" t="inlineStr">
        <is>
          <t>Sorcery / Feitiço</t>
        </is>
      </c>
      <c r="C2811" s="13" t="inlineStr">
        <is>
          <t>Uncommon / Incomum</t>
        </is>
      </c>
      <c r="D2811" s="13"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2811" s="13" t="inlineStr">
        <is>
          <t>{4}{R}{R}</t>
        </is>
      </c>
      <c r="F2811" s="13" t="inlineStr">
        <is>
          <t>Vermelho</t>
        </is>
      </c>
      <c r="G2811" s="8" t="n">
        <v>0.25</v>
      </c>
      <c r="H2811" s="13" t="inlineStr">
        <is>
          <t>Commander Masters (CMM)</t>
        </is>
      </c>
      <c r="I2811" s="13" t="inlineStr">
        <is>
          <t>Não</t>
        </is>
      </c>
      <c r="J2811" s="13" t="n">
        <v>2023</v>
      </c>
      <c r="L2811" s="13" t="n">
        <v>2</v>
      </c>
      <c r="M2811" s="8">
        <f>L2811*G2811</f>
        <v/>
      </c>
      <c r="P2811" s="9" t="n"/>
    </row>
    <row r="2812">
      <c r="A2812" s="13" t="inlineStr">
        <is>
          <t>Sling-Gang Lieutenant / Tenente da Gangue Atiradeira</t>
        </is>
      </c>
      <c r="B2812" s="13" t="inlineStr">
        <is>
          <t>Creature — Goblin / Criatura — Goblin</t>
        </is>
      </c>
      <c r="C2812" s="13" t="inlineStr">
        <is>
          <t>Uncommon / Incomum</t>
        </is>
      </c>
      <c r="D2812" s="13"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2812" s="13" t="inlineStr">
        <is>
          <t>{3}{B}</t>
        </is>
      </c>
      <c r="F2812" s="13" t="inlineStr">
        <is>
          <t>Preto</t>
        </is>
      </c>
      <c r="G2812" s="8" t="n">
        <v>0.39</v>
      </c>
      <c r="H2812" s="13" t="inlineStr">
        <is>
          <t>Modern Horizons (MH1)</t>
        </is>
      </c>
      <c r="I2812" s="13" t="inlineStr">
        <is>
          <t>Não</t>
        </is>
      </c>
      <c r="J2812" s="13" t="n">
        <v>2019</v>
      </c>
      <c r="K2812" s="10" t="n">
        <v>46023</v>
      </c>
      <c r="L2812" s="13" t="n">
        <v>1</v>
      </c>
      <c r="M2812" s="8">
        <f>L2812*G2812</f>
        <v/>
      </c>
      <c r="P2812" s="9" t="n"/>
    </row>
    <row r="2813">
      <c r="A2813" s="13" t="inlineStr">
        <is>
          <t>Slithering Cryptid</t>
        </is>
      </c>
      <c r="B2813" s="13" t="inlineStr">
        <is>
          <t>Creature — Fish Mutant</t>
        </is>
      </c>
      <c r="C2813" s="13" t="inlineStr">
        <is>
          <t>Common / Comum</t>
        </is>
      </c>
      <c r="D2813" s="13" t="inlineStr">
        <is>
          <t>When this creature enters, create a Mutagen token. (It's an artifact with "{1}, {T}, Sacrifice this token: Put a +1/+1 counter on target creature. Activate only as a sorcery.")</t>
        </is>
      </c>
      <c r="E2813" s="13" t="inlineStr">
        <is>
          <t>{2}{G/U}</t>
        </is>
      </c>
      <c r="F2813" s="13" t="inlineStr">
        <is>
          <t>Verde, Azul</t>
        </is>
      </c>
      <c r="G2813" s="8" t="n">
        <v>0.1</v>
      </c>
      <c r="H2813" s="13" t="inlineStr">
        <is>
          <t>Teenage Mutant Ninja Turtles (TMT)</t>
        </is>
      </c>
      <c r="I2813" s="13" t="inlineStr">
        <is>
          <t>Não</t>
        </is>
      </c>
      <c r="J2813" s="13" t="n">
        <v>2026</v>
      </c>
      <c r="K2813" s="10" t="n">
        <v>46083</v>
      </c>
      <c r="L2813" s="13" t="n">
        <v>8</v>
      </c>
      <c r="M2813" s="8">
        <f>L2813*G2813</f>
        <v/>
      </c>
      <c r="P2813" s="9" t="n"/>
    </row>
    <row r="2814">
      <c r="A2814" s="13" t="inlineStr">
        <is>
          <t>Smash to Smithereens / Reduzir a Cacos</t>
        </is>
      </c>
      <c r="B2814" s="13" t="inlineStr">
        <is>
          <t>Instant / Mágica Instantânea</t>
        </is>
      </c>
      <c r="C2814" s="13" t="inlineStr">
        <is>
          <t>Rare / Rara</t>
        </is>
      </c>
      <c r="D2814" s="13" t="inlineStr">
        <is>
          <t>Destroy target artifact. Smash to Smithereens deals 3 damage to that artifact's controller. / Destrua o artefato alvo. Reduzir a Cacos causa 3 pontos de dano ao controlador daquele artefato.</t>
        </is>
      </c>
      <c r="E2814" s="13" t="inlineStr">
        <is>
          <t>{1}{R}</t>
        </is>
      </c>
      <c r="F2814" s="13" t="inlineStr">
        <is>
          <t>Vermelho</t>
        </is>
      </c>
      <c r="G2814" s="8" t="n">
        <v>1.6</v>
      </c>
      <c r="H2814" s="13" t="inlineStr">
        <is>
          <t>Friday Night Magic 2016 (F16)</t>
        </is>
      </c>
      <c r="I2814" s="13" t="inlineStr">
        <is>
          <t>Sim</t>
        </is>
      </c>
      <c r="J2814" s="13" t="n">
        <v>2016</v>
      </c>
      <c r="L2814" s="13" t="n">
        <v>1</v>
      </c>
      <c r="M2814" s="8">
        <f>L2814*G2814</f>
        <v/>
      </c>
      <c r="P2814" s="9" t="n"/>
    </row>
    <row r="2815">
      <c r="A2815" s="13" t="inlineStr">
        <is>
          <t>Smash to Smithereens / Reduzir a Cacos</t>
        </is>
      </c>
      <c r="B2815" s="13" t="inlineStr">
        <is>
          <t>Instant / Mágica Instantânea</t>
        </is>
      </c>
      <c r="C2815" s="13" t="inlineStr">
        <is>
          <t>Rare / Rara</t>
        </is>
      </c>
      <c r="D2815" s="13" t="inlineStr">
        <is>
          <t>Destroy target artifact. Smash to Smithereens deals 3 damage to that artifact's controller. / Destrua o artefato alvo. Reduzir a Cacos causa 3 pontos de dano ao controlador daquele artefato.</t>
        </is>
      </c>
      <c r="E2815" s="13" t="inlineStr">
        <is>
          <t>{1}{R}</t>
        </is>
      </c>
      <c r="F2815" s="13" t="inlineStr">
        <is>
          <t>Vermelho</t>
        </is>
      </c>
      <c r="G2815" s="8" t="n">
        <v>0.39</v>
      </c>
      <c r="H2815" s="13" t="inlineStr">
        <is>
          <t xml:space="preserve">Pântano Sombrio </t>
        </is>
      </c>
      <c r="I2815" s="13" t="inlineStr">
        <is>
          <t>Não</t>
        </is>
      </c>
      <c r="J2815" s="13" t="n">
        <v>2008</v>
      </c>
      <c r="L2815" s="13" t="n">
        <v>1</v>
      </c>
      <c r="M2815" s="8">
        <f>L2815*G2815</f>
        <v/>
      </c>
      <c r="P2815" s="9" t="n"/>
    </row>
    <row r="2816">
      <c r="A2816" s="13" t="inlineStr">
        <is>
          <t>Smite / Castigo</t>
        </is>
      </c>
      <c r="B2816" s="13" t="inlineStr">
        <is>
          <t>Instant / Mágica Instantânea</t>
        </is>
      </c>
      <c r="C2816" s="13" t="inlineStr">
        <is>
          <t>Common / Comum</t>
        </is>
      </c>
      <c r="D2816" s="13" t="inlineStr">
        <is>
          <t>Destroy target blocked creature. / Destrua a criatura bloqueada alvo.</t>
        </is>
      </c>
      <c r="E2816" s="13" t="inlineStr">
        <is>
          <t>{W}</t>
        </is>
      </c>
      <c r="F2816" s="13" t="inlineStr">
        <is>
          <t>Branco</t>
        </is>
      </c>
      <c r="G2816" s="8" t="n">
        <v>0.09</v>
      </c>
      <c r="H2816" s="13" t="inlineStr">
        <is>
          <t>Rise of the Eldrazi (ROE)</t>
        </is>
      </c>
      <c r="I2816" s="13" t="inlineStr">
        <is>
          <t>Não</t>
        </is>
      </c>
      <c r="J2816" s="13" t="n">
        <v>2010</v>
      </c>
      <c r="L2816" s="13" t="n">
        <v>1</v>
      </c>
      <c r="M2816" s="8">
        <f>L2816*G2816</f>
        <v/>
      </c>
      <c r="P2816" s="9" t="n"/>
    </row>
    <row r="2817">
      <c r="A2817" s="13" t="inlineStr">
        <is>
          <t>Smiting Helix / Hélice Fulminante</t>
        </is>
      </c>
      <c r="B2817" s="13" t="inlineStr">
        <is>
          <t>Sorcery / Feitiço</t>
        </is>
      </c>
      <c r="C2817" s="13" t="inlineStr">
        <is>
          <t>Uncommon / Incomum</t>
        </is>
      </c>
      <c r="D2817" s="13"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2817" s="13" t="inlineStr">
        <is>
          <t>{3}{B}</t>
        </is>
      </c>
      <c r="F2817" s="13" t="inlineStr">
        <is>
          <t>Preto</t>
        </is>
      </c>
      <c r="G2817" s="8" t="n">
        <v>0.05</v>
      </c>
      <c r="H2817" s="13" t="inlineStr">
        <is>
          <t>Modern Horizons (MH1)</t>
        </is>
      </c>
      <c r="I2817" s="13" t="inlineStr">
        <is>
          <t>Não</t>
        </is>
      </c>
      <c r="J2817" s="13" t="n">
        <v>2019</v>
      </c>
      <c r="L2817" s="13" t="n">
        <v>2</v>
      </c>
      <c r="M2817" s="8">
        <f>L2817*G2817</f>
        <v/>
      </c>
      <c r="P2817" s="9" t="n"/>
    </row>
    <row r="2818">
      <c r="A2818" s="13" t="inlineStr">
        <is>
          <t>Smoke Shroud / Manto de Fumaça</t>
        </is>
      </c>
      <c r="B2818" s="13" t="inlineStr">
        <is>
          <t>Enchantment — Aura / Encantamento — Aura</t>
        </is>
      </c>
      <c r="C2818" s="13" t="inlineStr">
        <is>
          <t>Common / Comum</t>
        </is>
      </c>
      <c r="D2818" s="13"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2818" s="13" t="inlineStr">
        <is>
          <t>{1}{U}</t>
        </is>
      </c>
      <c r="F2818" s="13" t="inlineStr">
        <is>
          <t>Azul</t>
        </is>
      </c>
      <c r="G2818" s="8" t="n">
        <v>0.13</v>
      </c>
      <c r="H2818" s="13" t="inlineStr">
        <is>
          <t>Modern Horizons (MH1)</t>
        </is>
      </c>
      <c r="I2818" s="13" t="inlineStr">
        <is>
          <t>Não</t>
        </is>
      </c>
      <c r="J2818" s="13" t="n">
        <v>2019</v>
      </c>
      <c r="L2818" s="13" t="n">
        <v>2</v>
      </c>
      <c r="M2818" s="8">
        <f>L2818*G2818</f>
        <v/>
      </c>
      <c r="P2818" s="9" t="n"/>
    </row>
    <row r="2819">
      <c r="A2819" s="13" t="inlineStr">
        <is>
          <t>Smoke Teller / Vidente da Fumaça</t>
        </is>
      </c>
      <c r="B2819" s="13" t="inlineStr">
        <is>
          <t>Creature — Human Shaman / Criatura — Humano Xamã</t>
        </is>
      </c>
      <c r="C2819" s="13" t="inlineStr">
        <is>
          <t>Common / Comum</t>
        </is>
      </c>
      <c r="D2819" s="13" t="inlineStr">
        <is>
          <t>{1}{U}: Look at target face-down creature. / {1}{U}: Olhe a criatura alvo voltada para baixo.</t>
        </is>
      </c>
      <c r="E2819" s="13" t="inlineStr">
        <is>
          <t>{1}{G}</t>
        </is>
      </c>
      <c r="F2819" s="13" t="inlineStr">
        <is>
          <t>Verde</t>
        </is>
      </c>
      <c r="G2819" s="8" t="n">
        <v>0.05</v>
      </c>
      <c r="H2819" s="13" t="inlineStr">
        <is>
          <t>Khans of Tarkir (KTK)</t>
        </is>
      </c>
      <c r="I2819" s="13" t="inlineStr">
        <is>
          <t>Não</t>
        </is>
      </c>
      <c r="J2819" s="13" t="n">
        <v>2014</v>
      </c>
      <c r="K2819" s="10" t="n">
        <v>46055</v>
      </c>
      <c r="L2819" s="13" t="n">
        <v>1</v>
      </c>
      <c r="M2819" s="8">
        <f>L2819*G2819</f>
        <v/>
      </c>
      <c r="P2819" s="9" t="n"/>
    </row>
    <row r="2820">
      <c r="A2820" s="13" t="inlineStr">
        <is>
          <t>Smoldering Wastes / Desolação Fumegante</t>
        </is>
      </c>
      <c r="B2820" s="13" t="inlineStr">
        <is>
          <t>Land / Terreno</t>
        </is>
      </c>
      <c r="C2820" s="13" t="inlineStr">
        <is>
          <t>Uncommon / Incomum</t>
        </is>
      </c>
      <c r="D2820" s="13"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2820" s="13" t="inlineStr">
        <is>
          <t>Incolor</t>
        </is>
      </c>
      <c r="G2820" s="8" t="n">
        <v>1.15</v>
      </c>
      <c r="H2820" s="13" t="inlineStr">
        <is>
          <t>Warhammer 40,000 (40K)</t>
        </is>
      </c>
      <c r="I2820" s="13" t="inlineStr">
        <is>
          <t>Não</t>
        </is>
      </c>
      <c r="J2820" s="13" t="n">
        <v>2022</v>
      </c>
      <c r="L2820" s="13" t="n">
        <v>2</v>
      </c>
      <c r="M2820" s="8">
        <f>L2820*G2820</f>
        <v/>
      </c>
      <c r="P2820" s="9" t="n"/>
    </row>
    <row r="2821">
      <c r="A2821" s="13" t="inlineStr">
        <is>
          <t>Sneering Shadewriter / Escritor de Sombras Zombeteiro</t>
        </is>
      </c>
      <c r="B2821" s="13" t="inlineStr">
        <is>
          <t>Creature — Vampire Warlock / Criatura — Vampiro Bruxo</t>
        </is>
      </c>
      <c r="C2821" s="13" t="inlineStr">
        <is>
          <t>Common / Comum</t>
        </is>
      </c>
      <c r="D2821" s="13" t="inlineStr">
        <is>
          <t>Flying. When this creature enters, each opponent loses 2 life and you gain 2 life. / Voar. Quando esta criatura entra, cada oponente perde 2 pontos de vida e você ganha 2 pontos de vida.</t>
        </is>
      </c>
      <c r="E2821" s="13" t="inlineStr">
        <is>
          <t>{4}{B}</t>
        </is>
      </c>
      <c r="F2821" s="13" t="inlineStr">
        <is>
          <t>Preto</t>
        </is>
      </c>
      <c r="G2821" s="8" t="n">
        <v>0.09</v>
      </c>
      <c r="H2821" s="13" t="inlineStr">
        <is>
          <t>Shadows of Sothia (SOS)</t>
        </is>
      </c>
      <c r="I2821" s="13" t="inlineStr">
        <is>
          <t>No</t>
        </is>
      </c>
      <c r="J2821" s="13" t="n">
        <v>2026</v>
      </c>
      <c r="K2821" s="10" t="n">
        <v>46084</v>
      </c>
      <c r="L2821" s="13" t="n">
        <v>1</v>
      </c>
      <c r="M2821" s="8">
        <f>L2821*G2821</f>
        <v/>
      </c>
      <c r="P2821" s="9" t="n"/>
    </row>
    <row r="2822">
      <c r="A2822" s="13" t="inlineStr">
        <is>
          <t>Snow Villiers / Snow Villiers</t>
        </is>
      </c>
      <c r="B2822" s="13" t="inlineStr">
        <is>
          <t>Criatura Lendária — Humano Rebelde Monge</t>
        </is>
      </c>
      <c r="C2822" s="13" t="inlineStr">
        <is>
          <t>Incomum</t>
        </is>
      </c>
      <c r="D2822" s="13" t="inlineStr">
        <is>
          <t>Vigilância. O poder de Snow Villiers é igual ao número de criaturas que você controla.</t>
        </is>
      </c>
      <c r="E2822" s="13" t="inlineStr">
        <is>
          <t>2{W}</t>
        </is>
      </c>
      <c r="F2822" s="13" t="inlineStr">
        <is>
          <t>Branco</t>
        </is>
      </c>
      <c r="G2822" s="8" t="n">
        <v>0.19</v>
      </c>
      <c r="H2822" s="13" t="inlineStr">
        <is>
          <t>Final Fantasy</t>
        </is>
      </c>
      <c r="I2822" s="13" t="inlineStr">
        <is>
          <t>Não</t>
        </is>
      </c>
      <c r="J2822" s="13" t="n">
        <v>2025</v>
      </c>
      <c r="K2822" s="13" t="inlineStr">
        <is>
          <t>*/3</t>
        </is>
      </c>
      <c r="L2822" s="13" t="n">
        <v>2</v>
      </c>
      <c r="M2822" s="8">
        <f>L2822*G2822</f>
        <v/>
      </c>
      <c r="P2822" s="9" t="n"/>
    </row>
    <row r="2823">
      <c r="A2823" s="13" t="inlineStr">
        <is>
          <t>Snowhorn Rider / Ginete de Nivicórneo</t>
        </is>
      </c>
      <c r="B2823" s="13" t="inlineStr">
        <is>
          <t>Creature — Human Warrior / Criatura — Humano Guerreiro</t>
        </is>
      </c>
      <c r="C2823" s="13" t="inlineStr">
        <is>
          <t>Common / Comum</t>
        </is>
      </c>
      <c r="D2823" s="13"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2823" s="13" t="inlineStr">
        <is>
          <t>{3}{G}{U}{R}</t>
        </is>
      </c>
      <c r="F2823" s="13" t="inlineStr">
        <is>
          <t>Verde, Vermelho, Azul</t>
        </is>
      </c>
      <c r="G2823" s="8" t="n">
        <v>0.05</v>
      </c>
      <c r="H2823" s="13" t="inlineStr">
        <is>
          <t>Khans of Tarkir (KTK)</t>
        </is>
      </c>
      <c r="I2823" s="13" t="inlineStr">
        <is>
          <t>Não</t>
        </is>
      </c>
      <c r="J2823" s="13" t="n">
        <v>2014</v>
      </c>
      <c r="K2823" s="10" t="n">
        <v>46147</v>
      </c>
      <c r="L2823" s="13" t="n">
        <v>1</v>
      </c>
      <c r="M2823" s="8">
        <f>L2823*G2823</f>
        <v/>
      </c>
      <c r="P2823" s="9" t="n"/>
    </row>
    <row r="2824">
      <c r="A2824" s="13" t="inlineStr">
        <is>
          <t>So Tiny / Tão Pequenininho</t>
        </is>
      </c>
      <c r="B2824" s="13" t="inlineStr">
        <is>
          <t>Enchantment — Aura / Encantamento — Aura</t>
        </is>
      </c>
      <c r="C2824" s="13" t="inlineStr">
        <is>
          <t>Common / Comum</t>
        </is>
      </c>
      <c r="D2824" s="13"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824" s="13" t="inlineStr">
        <is>
          <t>{U}</t>
        </is>
      </c>
      <c r="F2824" s="13" t="inlineStr">
        <is>
          <t>Azul</t>
        </is>
      </c>
      <c r="G2824" s="8" t="n">
        <v>0.03</v>
      </c>
      <c r="H2824" s="13" t="inlineStr">
        <is>
          <t>Throne of Eldraine (ELD)</t>
        </is>
      </c>
      <c r="I2824" s="13" t="inlineStr">
        <is>
          <t>Não</t>
        </is>
      </c>
      <c r="J2824" s="13" t="n">
        <v>2019</v>
      </c>
      <c r="L2824" s="13" t="n">
        <v>1</v>
      </c>
      <c r="M2824" s="8">
        <f>L2824*G2824</f>
        <v/>
      </c>
      <c r="N2824" s="13" t="inlineStr">
        <is>
          <t>Bulk Shopee</t>
        </is>
      </c>
      <c r="P2824" s="9" t="n"/>
    </row>
    <row r="2825">
      <c r="A2825" s="13" t="inlineStr">
        <is>
          <t>Soaring Drake / Dragonete Planador</t>
        </is>
      </c>
      <c r="B2825" s="13" t="inlineStr">
        <is>
          <t>Creature — Drake / Criatura — Dragonete</t>
        </is>
      </c>
      <c r="C2825" s="13" t="inlineStr">
        <is>
          <t>Common / Comum</t>
        </is>
      </c>
      <c r="D2825" s="13" t="inlineStr">
        <is>
          <t>Flying / Voar</t>
        </is>
      </c>
      <c r="E2825" s="13" t="inlineStr">
        <is>
          <t>{2}{U}</t>
        </is>
      </c>
      <c r="F2825" s="13" t="inlineStr">
        <is>
          <t>Azul</t>
        </is>
      </c>
      <c r="G2825" s="8" t="n">
        <v>0.04</v>
      </c>
      <c r="H2825" s="13" t="inlineStr">
        <is>
          <t>Dominaria United (DMU)</t>
        </is>
      </c>
      <c r="I2825" s="13" t="inlineStr">
        <is>
          <t>Não</t>
        </is>
      </c>
      <c r="J2825" s="13" t="n">
        <v>2022</v>
      </c>
      <c r="K2825" s="10" t="n">
        <v>46083</v>
      </c>
      <c r="L2825" s="13" t="n">
        <v>1</v>
      </c>
      <c r="M2825" s="8">
        <f>L2825*G2825</f>
        <v/>
      </c>
      <c r="P2825" s="9" t="n"/>
    </row>
    <row r="2826">
      <c r="A2826" s="13" t="inlineStr">
        <is>
          <t>Sobrevivente de Pelargir / Pelargir Survivor</t>
        </is>
      </c>
      <c r="B2826" s="13" t="inlineStr">
        <is>
          <t>Criatura — Humano Plebeu</t>
        </is>
      </c>
      <c r="C2826" s="13" t="inlineStr">
        <is>
          <t>Comum</t>
        </is>
      </c>
      <c r="D2826" s="13" t="inlineStr">
        <is>
          <t>{T}: Adicione um mana de qualquer cor. Gaste este mana apenas para conjurar uma mágica instantânea ou um feitiço. {5}{U}, {T}: O jogador alvo tritura três cards. (Ele coloca os três cards do topo do próprio grimório no próprio cemitério.)</t>
        </is>
      </c>
      <c r="E2826" s="13" t="inlineStr">
        <is>
          <t>1{U}</t>
        </is>
      </c>
      <c r="F2826" s="13" t="inlineStr">
        <is>
          <t>Azul</t>
        </is>
      </c>
      <c r="G2826" s="8" t="n">
        <v>0.08</v>
      </c>
      <c r="H2826" s="13" t="inlineStr">
        <is>
          <t>The Lord of the Rings: Tales of Middle-earth (LTR)</t>
        </is>
      </c>
      <c r="I2826" s="13" t="inlineStr">
        <is>
          <t>Não</t>
        </is>
      </c>
      <c r="J2826" s="13" t="n">
        <v>2023</v>
      </c>
      <c r="K2826" s="10" t="n">
        <v>46082</v>
      </c>
      <c r="L2826" s="13" t="n">
        <v>1</v>
      </c>
      <c r="M2826" s="8">
        <f>L2826*G2826</f>
        <v/>
      </c>
      <c r="P2826" s="9" t="n"/>
    </row>
    <row r="2827">
      <c r="A2827" s="13" t="inlineStr">
        <is>
          <t>Sokka, Bold Boomeranger</t>
        </is>
      </c>
      <c r="B2827" s="13" t="inlineStr">
        <is>
          <t>Legendary Creature — Human Warrior Ally</t>
        </is>
      </c>
      <c r="C2827" s="13" t="inlineStr">
        <is>
          <t>Rare / Rara</t>
        </is>
      </c>
      <c r="D2827" s="13" t="inlineStr">
        <is>
          <t>When Sokka enters, discard up to two cards, then draw that many cards. Whenever you cast an artifact or Lesson spell, put a +1/+1 counter on Sokka.</t>
        </is>
      </c>
      <c r="E2827" s="13" t="inlineStr">
        <is>
          <t>{U}{R}</t>
        </is>
      </c>
      <c r="F2827" s="13" t="inlineStr">
        <is>
          <t>Vermelho, Azul</t>
        </is>
      </c>
      <c r="G2827" s="8" t="n">
        <v>1.69</v>
      </c>
      <c r="H2827" s="13" t="inlineStr">
        <is>
          <t>Avatar: The Last Airbender (TLA)</t>
        </is>
      </c>
      <c r="I2827" s="13" t="inlineStr">
        <is>
          <t>Não</t>
        </is>
      </c>
      <c r="J2827" s="13" t="n">
        <v>2025</v>
      </c>
      <c r="K2827" s="10" t="n">
        <v>46023</v>
      </c>
      <c r="L2827" s="13" t="n">
        <v>1</v>
      </c>
      <c r="M2827" s="8">
        <f>L2827*G2827</f>
        <v/>
      </c>
      <c r="P2827" s="9" t="n"/>
    </row>
    <row r="2828">
      <c r="A2828" s="13" t="inlineStr">
        <is>
          <t>Sokka, Lateral Strategist</t>
        </is>
      </c>
      <c r="B2828" s="13" t="inlineStr">
        <is>
          <t>Legendary Creature — Human Warrior Ally</t>
        </is>
      </c>
      <c r="C2828" s="13" t="inlineStr">
        <is>
          <t>Uncommon / Incomum</t>
        </is>
      </c>
      <c r="D2828" s="13" t="inlineStr">
        <is>
          <t>Vigilance Whenever Sokka and at least one other creature attack, draw a card.</t>
        </is>
      </c>
      <c r="E2828" s="13" t="inlineStr">
        <is>
          <t>{1}{W/U}{W/U}</t>
        </is>
      </c>
      <c r="F2828" s="13" t="inlineStr">
        <is>
          <t>Azul, Branco</t>
        </is>
      </c>
      <c r="G2828" s="8" t="n">
        <v>0.54</v>
      </c>
      <c r="H2828" s="13" t="inlineStr">
        <is>
          <t>Avatar: The Last Airbender (TLA)</t>
        </is>
      </c>
      <c r="I2828" s="13" t="inlineStr">
        <is>
          <t>Sim</t>
        </is>
      </c>
      <c r="J2828" s="13" t="n">
        <v>2025</v>
      </c>
      <c r="K2828" s="10" t="n">
        <v>46114</v>
      </c>
      <c r="L2828" s="13" t="n">
        <v>1</v>
      </c>
      <c r="M2828" s="8">
        <f>L2828*G2828</f>
        <v/>
      </c>
      <c r="P2828" s="9" t="n"/>
    </row>
    <row r="2829">
      <c r="A2829" s="13" t="inlineStr">
        <is>
          <t>Sokka's Sword Training</t>
        </is>
      </c>
      <c r="B2829" s="13" t="inlineStr">
        <is>
          <t>Instant — Lesson</t>
        </is>
      </c>
      <c r="C2829" s="13" t="inlineStr">
        <is>
          <t>Common / Comum</t>
        </is>
      </c>
      <c r="D2829" s="13" t="inlineStr">
        <is>
          <t>Target creature gets +2/+2 until end of turn. Create a Clue token. (It's an artifact with "{2}, Sacrifice this token: Draw a card.")</t>
        </is>
      </c>
      <c r="E2829" s="13" t="inlineStr">
        <is>
          <t>{1}{W}</t>
        </is>
      </c>
      <c r="F2829" s="13" t="inlineStr">
        <is>
          <t>Branco</t>
        </is>
      </c>
      <c r="G2829" s="8" t="n">
        <v>0.35</v>
      </c>
      <c r="H2829" s="13" t="inlineStr">
        <is>
          <t>Avatar: The Last Airbender Eternal (TLE)</t>
        </is>
      </c>
      <c r="I2829" s="13" t="inlineStr">
        <is>
          <t>Não</t>
        </is>
      </c>
      <c r="J2829" s="13" t="n">
        <v>2025</v>
      </c>
      <c r="L2829" s="13" t="n">
        <v>1</v>
      </c>
      <c r="M2829" s="8">
        <f>L2829*G2829</f>
        <v/>
      </c>
      <c r="P2829" s="9" t="n"/>
    </row>
    <row r="2830">
      <c r="A2830" s="13" t="inlineStr">
        <is>
          <t>Sol Ring</t>
        </is>
      </c>
      <c r="B2830" s="13" t="inlineStr">
        <is>
          <t>Artifact</t>
        </is>
      </c>
      <c r="C2830" s="13" t="inlineStr">
        <is>
          <t>Uncommon</t>
        </is>
      </c>
      <c r="D2830" s="13" t="inlineStr">
        <is>
          <t>{T}: Add {C}{C}.</t>
        </is>
      </c>
      <c r="E2830" s="13" t="inlineStr">
        <is>
          <t>{1}</t>
        </is>
      </c>
      <c r="F2830" s="13" t="inlineStr">
        <is>
          <t>Colorless</t>
        </is>
      </c>
      <c r="G2830" s="8" t="n">
        <v>8.75</v>
      </c>
      <c r="H2830" s="13" t="inlineStr">
        <is>
          <t>Commander (SOC)</t>
        </is>
      </c>
      <c r="I2830" s="13" t="inlineStr">
        <is>
          <t>No</t>
        </is>
      </c>
      <c r="J2830" s="13" t="n">
        <v>2026</v>
      </c>
      <c r="L2830" s="13" t="n">
        <v>1</v>
      </c>
      <c r="M2830" s="8">
        <f>L2830*G2830</f>
        <v/>
      </c>
      <c r="P2830" s="9" t="n"/>
    </row>
    <row r="2831">
      <c r="A2831" s="13" t="inlineStr">
        <is>
          <t>Solar Transformer / Transformador Solar</t>
        </is>
      </c>
      <c r="B2831" s="13" t="inlineStr">
        <is>
          <t>Artifact / Artefato</t>
        </is>
      </c>
      <c r="C2831" s="13" t="inlineStr">
        <is>
          <t>Uncommon / Incomum</t>
        </is>
      </c>
      <c r="D2831" s="13"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2831" s="13" t="inlineStr">
        <is>
          <t>{2}</t>
        </is>
      </c>
      <c r="F2831" s="13" t="inlineStr">
        <is>
          <t>Incolor</t>
        </is>
      </c>
      <c r="G2831" s="8" t="n">
        <v>0.2</v>
      </c>
      <c r="H2831" s="13" t="inlineStr">
        <is>
          <t>Modern Horizons 3 (MH3)</t>
        </is>
      </c>
      <c r="I2831" s="13" t="inlineStr">
        <is>
          <t>Sim</t>
        </is>
      </c>
      <c r="J2831" s="13" t="n">
        <v>2024</v>
      </c>
      <c r="L2831" s="13" t="n">
        <v>1</v>
      </c>
      <c r="M2831" s="8">
        <f>L2831*G2831</f>
        <v/>
      </c>
      <c r="P2831" s="9" t="n"/>
    </row>
    <row r="2832">
      <c r="A2832" s="13" t="inlineStr">
        <is>
          <t>Sold Out</t>
        </is>
      </c>
      <c r="B2832" s="13" t="inlineStr">
        <is>
          <t>Instant</t>
        </is>
      </c>
      <c r="C2832" s="13" t="inlineStr">
        <is>
          <t>Common / Comum</t>
        </is>
      </c>
      <c r="D2832" s="13" t="inlineStr">
        <is>
          <t>Exile target creature. If it was dealt damage this turn, create a Clue token. (It's an artifact with "{2}, Sacrifice this token: Draw a card.")</t>
        </is>
      </c>
      <c r="E2832" s="13" t="inlineStr">
        <is>
          <t>{3}{B}</t>
        </is>
      </c>
      <c r="F2832" s="13" t="inlineStr">
        <is>
          <t>Preto</t>
        </is>
      </c>
      <c r="G2832" s="8" t="n">
        <v>0.05</v>
      </c>
      <c r="H2832" s="13" t="inlineStr">
        <is>
          <t>Avatar: The Last Airbender (TLA)</t>
        </is>
      </c>
      <c r="I2832" s="13" t="inlineStr">
        <is>
          <t>Não</t>
        </is>
      </c>
      <c r="J2832" s="13" t="n">
        <v>2025</v>
      </c>
      <c r="L2832" s="13" t="n">
        <v>1</v>
      </c>
      <c r="M2832" s="8">
        <f>L2832*G2832</f>
        <v/>
      </c>
      <c r="P2832" s="9" t="n"/>
    </row>
    <row r="2833">
      <c r="A2833" s="13" t="inlineStr">
        <is>
          <t>Soldevi Heretic / Herege Soldeviano</t>
        </is>
      </c>
      <c r="B2833" s="13" t="inlineStr">
        <is>
          <t>Creature — Human Cleric</t>
        </is>
      </c>
      <c r="C2833" s="13" t="inlineStr">
        <is>
          <t>Common / Comum</t>
        </is>
      </c>
      <c r="D2833" s="13" t="inlineStr">
        <is>
          <t>{W}, {T}: Prevent the next 2 damage that would be dealt to target creature this turn. Target opponent may draw a card.</t>
        </is>
      </c>
      <c r="E2833" s="13" t="inlineStr">
        <is>
          <t>{2}{U}</t>
        </is>
      </c>
      <c r="F2833" s="13" t="inlineStr">
        <is>
          <t>Azul</t>
        </is>
      </c>
      <c r="G2833" s="8" t="n">
        <v>0.05</v>
      </c>
      <c r="H2833" s="13" t="inlineStr">
        <is>
          <t>Alliances (ALL)</t>
        </is>
      </c>
      <c r="I2833" s="13" t="inlineStr">
        <is>
          <t>Não</t>
        </is>
      </c>
      <c r="J2833" s="13" t="n">
        <v>1996</v>
      </c>
      <c r="K2833" s="10" t="n">
        <v>46055</v>
      </c>
      <c r="L2833" s="13" t="n">
        <v>1</v>
      </c>
      <c r="M2833" s="8">
        <f>L2833*G2833</f>
        <v/>
      </c>
      <c r="P2833" s="9" t="n"/>
    </row>
    <row r="2834">
      <c r="A2834" s="13" t="inlineStr">
        <is>
          <t>Soldevi Simulacrum / Simulacro Soldeviano</t>
        </is>
      </c>
      <c r="B2834" s="13" t="inlineStr">
        <is>
          <t>Artifact Creature — Soldier</t>
        </is>
      </c>
      <c r="C2834" s="13" t="inlineStr">
        <is>
          <t>Uncommon / Incomum</t>
        </is>
      </c>
      <c r="D2834" s="13" t="inlineStr">
        <is>
          <t>Cumulative upkeep {1} (At the beginning of your upkeep, put an age counter on this permanent, then sacrifice it unless you pay its upkeep cost for each age counter on it.) {1}: This creature gets +1/+0 until end of turn.</t>
        </is>
      </c>
      <c r="E2834" s="13" t="inlineStr">
        <is>
          <t>{4}</t>
        </is>
      </c>
      <c r="F2834" s="13" t="inlineStr">
        <is>
          <t>Incolor</t>
        </is>
      </c>
      <c r="G2834" s="8" t="n">
        <v>0.12</v>
      </c>
      <c r="H2834" s="13" t="inlineStr">
        <is>
          <t>Ice Age (ICE)</t>
        </is>
      </c>
      <c r="I2834" s="13" t="inlineStr">
        <is>
          <t>Não</t>
        </is>
      </c>
      <c r="J2834" s="13" t="n">
        <v>1995</v>
      </c>
      <c r="K2834" s="10" t="n">
        <v>46114</v>
      </c>
      <c r="L2834" s="13" t="n">
        <v>1</v>
      </c>
      <c r="M2834" s="8">
        <f>L2834*G2834</f>
        <v/>
      </c>
      <c r="P2834" s="9" t="n"/>
    </row>
    <row r="2835">
      <c r="A2835" s="13" t="inlineStr">
        <is>
          <t>Soldevi Steam Beast</t>
        </is>
      </c>
      <c r="B2835" s="13" t="inlineStr">
        <is>
          <t>Criatura Artefato / Artifact Creature</t>
        </is>
      </c>
      <c r="C2835" s="13" t="inlineStr">
        <is>
          <t>Comum / Common</t>
        </is>
      </c>
      <c r="D2835" s="13" t="inlineStr">
        <is>
          <t>Whenever Soldevi Steam Beast becomes tapped, target opponent gains 2 life. {2}: Regenerate.</t>
        </is>
      </c>
      <c r="E2835" s="13" t="inlineStr">
        <is>
          <t>{5}</t>
        </is>
      </c>
      <c r="F2835" s="13" t="inlineStr">
        <is>
          <t>Incolor / Colorless</t>
        </is>
      </c>
      <c r="G2835" s="8" t="n">
        <v>0.05</v>
      </c>
      <c r="H2835" s="13" t="inlineStr">
        <is>
          <t>Alliances (ALL)</t>
        </is>
      </c>
      <c r="I2835" s="13" t="inlineStr">
        <is>
          <t>Não</t>
        </is>
      </c>
      <c r="J2835" s="13" t="n">
        <v>1996</v>
      </c>
      <c r="K2835" s="10" t="n">
        <v>46057</v>
      </c>
      <c r="L2835" s="13" t="n">
        <v>1</v>
      </c>
      <c r="M2835" s="8">
        <f>L2835*G2835</f>
        <v/>
      </c>
      <c r="P2835" s="9" t="n"/>
    </row>
    <row r="2836">
      <c r="A2836" s="13" t="inlineStr">
        <is>
          <t>Soldevi Steam Beast / Besta de Vapor Soldevi</t>
        </is>
      </c>
      <c r="B2836" s="13" t="inlineStr">
        <is>
          <t>Artifact Creature — Beast / Criatura Artefato — Besta</t>
        </is>
      </c>
      <c r="C2836" s="13" t="inlineStr">
        <is>
          <t>Common / Comum</t>
        </is>
      </c>
      <c r="D2836" s="13" t="inlineStr">
        <is>
          <t>Whenever Soldevi Steam Beast becomes tapped, target opponent gains 2 life. {2}: Regenerate. / Sempre que Besta de Vapor Soldevi se torna virada, o oponente alvo ganha 2 pontos de vida. {2}: Regenerar.</t>
        </is>
      </c>
      <c r="E2836" s="13" t="inlineStr">
        <is>
          <t>{5}</t>
        </is>
      </c>
      <c r="F2836" s="13" t="inlineStr">
        <is>
          <t>Incolor</t>
        </is>
      </c>
      <c r="G2836" s="8" t="n">
        <v>0.05</v>
      </c>
      <c r="H2836" s="13" t="inlineStr">
        <is>
          <t>Alliances (ALL)</t>
        </is>
      </c>
      <c r="I2836" s="13" t="inlineStr">
        <is>
          <t>No</t>
        </is>
      </c>
      <c r="J2836" s="13" t="n">
        <v>1996</v>
      </c>
      <c r="K2836" s="10" t="n">
        <v>46057</v>
      </c>
      <c r="L2836" s="13" t="n">
        <v>1</v>
      </c>
      <c r="M2836" s="8">
        <f>L2836*G2836</f>
        <v/>
      </c>
      <c r="P2836" s="9" t="n"/>
    </row>
    <row r="2837">
      <c r="A2837" s="13" t="inlineStr">
        <is>
          <t>Soldier of the Grey Host / Soldado da Hoste Cinzenta</t>
        </is>
      </c>
      <c r="B2837" s="13" t="inlineStr">
        <is>
          <t>Creature — Spirit Soldier / Criatura — Espírito Soldado</t>
        </is>
      </c>
      <c r="C2837" s="13" t="inlineStr">
        <is>
          <t>Common / Comum</t>
        </is>
      </c>
      <c r="D2837" s="13" t="inlineStr">
        <is>
          <t>Flash. Flying. When Soldier of the Grey Host enters the battlefield, target creature gets +2/+0 until end of turn. / Lampejo. Voar. Quando Soldado da Hoste Cinzenta entra no campo de batalha, a criatura alvo recebe +2/+0 até o final do turno.</t>
        </is>
      </c>
      <c r="E2837" s="13" t="inlineStr">
        <is>
          <t>{3}{W}</t>
        </is>
      </c>
      <c r="F2837" s="13" t="inlineStr">
        <is>
          <t>Branco</t>
        </is>
      </c>
      <c r="G2837" s="8" t="n">
        <v>0.08</v>
      </c>
      <c r="H2837" s="13" t="inlineStr">
        <is>
          <t>The Lord of the Rings: Tales of Middle-earth (LTR)</t>
        </is>
      </c>
      <c r="I2837" s="13" t="inlineStr">
        <is>
          <t>Não</t>
        </is>
      </c>
      <c r="J2837" s="13" t="n">
        <v>2023</v>
      </c>
      <c r="K2837" s="10" t="n">
        <v>46055</v>
      </c>
      <c r="L2837" s="13" t="n">
        <v>1</v>
      </c>
      <c r="M2837" s="8">
        <f>L2837*G2837</f>
        <v/>
      </c>
      <c r="P2837" s="9" t="n"/>
    </row>
    <row r="2838">
      <c r="A2838" s="13" t="inlineStr">
        <is>
          <t>Solidarity of Heroes / Solidariedade dos Heróis</t>
        </is>
      </c>
      <c r="B2838" s="13" t="inlineStr">
        <is>
          <t>Instant / Mágica Instantânea</t>
        </is>
      </c>
      <c r="C2838" s="13" t="inlineStr">
        <is>
          <t>Uncommon / Incomum</t>
        </is>
      </c>
      <c r="D2838" s="13"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838" s="13" t="inlineStr">
        <is>
          <t>{1}{G}</t>
        </is>
      </c>
      <c r="F2838" s="13" t="inlineStr">
        <is>
          <t>Verde</t>
        </is>
      </c>
      <c r="G2838" s="8" t="n">
        <v>0.86</v>
      </c>
      <c r="H2838" s="13" t="inlineStr">
        <is>
          <t>Commander 2016 (C16)</t>
        </is>
      </c>
      <c r="I2838" s="13" t="inlineStr">
        <is>
          <t>Não</t>
        </is>
      </c>
      <c r="J2838" s="13" t="n">
        <v>2016</v>
      </c>
      <c r="L2838" s="13" t="n">
        <v>1</v>
      </c>
      <c r="M2838" s="8">
        <f>L2838*G2838</f>
        <v/>
      </c>
      <c r="P2838" s="9" t="n"/>
    </row>
    <row r="2839">
      <c r="A2839" s="13" t="inlineStr">
        <is>
          <t>Solstice Revelations</t>
        </is>
      </c>
      <c r="B2839" s="13" t="inlineStr">
        <is>
          <t>Instant — Lesson</t>
        </is>
      </c>
      <c r="C2839" s="13" t="inlineStr">
        <is>
          <t>Uncommon / Incomum</t>
        </is>
      </c>
      <c r="D2839" s="13"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839" s="13" t="inlineStr">
        <is>
          <t>{2}{R}</t>
        </is>
      </c>
      <c r="F2839" s="13" t="inlineStr">
        <is>
          <t>Vermelho</t>
        </is>
      </c>
      <c r="G2839" s="8" t="n">
        <v>0.23</v>
      </c>
      <c r="H2839" s="13" t="inlineStr">
        <is>
          <t>Avatar: The Last Airbender (TLA)</t>
        </is>
      </c>
      <c r="I2839" s="13" t="inlineStr">
        <is>
          <t>Não</t>
        </is>
      </c>
      <c r="J2839" s="13" t="n">
        <v>2025</v>
      </c>
      <c r="L2839" s="13" t="n">
        <v>1</v>
      </c>
      <c r="M2839" s="8">
        <f>L2839*G2839</f>
        <v/>
      </c>
      <c r="P2839" s="9" t="n"/>
    </row>
    <row r="2840">
      <c r="A2840" s="13" t="inlineStr">
        <is>
          <t>Soltari Lancer / Lanceiro Soltari</t>
        </is>
      </c>
      <c r="B2840" s="13" t="inlineStr">
        <is>
          <t>Creature — Knight / Criatura — Cavaleiro</t>
        </is>
      </c>
      <c r="C2840" s="13" t="inlineStr">
        <is>
          <t>Common / Comum</t>
        </is>
      </c>
      <c r="D2840" s="13" t="inlineStr">
        <is>
          <t>Shadow (This creature can block or be blocked by only creatures with shadow). First strike when attacking. / Sombra (Esta criatura pode bloquear ou ser bloqueada apenas por criaturas com sombra). Iniciativa quando ataca.</t>
        </is>
      </c>
      <c r="E2840" s="13" t="inlineStr">
        <is>
          <t>{2}{W}</t>
        </is>
      </c>
      <c r="F2840" s="13" t="inlineStr">
        <is>
          <t>Branco</t>
        </is>
      </c>
      <c r="G2840" s="8" t="n">
        <v>0.05</v>
      </c>
      <c r="H2840" s="13" t="inlineStr">
        <is>
          <t>Tempest (TMP)</t>
        </is>
      </c>
      <c r="I2840" s="13" t="inlineStr">
        <is>
          <t>No</t>
        </is>
      </c>
      <c r="J2840" s="13" t="n">
        <v>1997</v>
      </c>
      <c r="K2840" s="10" t="n">
        <v>46055</v>
      </c>
      <c r="L2840" s="13" t="n">
        <v>1</v>
      </c>
      <c r="M2840" s="8">
        <f>L2840*G2840</f>
        <v/>
      </c>
      <c r="P2840" s="9" t="n"/>
    </row>
    <row r="2841">
      <c r="A2841" s="13" t="inlineStr">
        <is>
          <t>Soltari Monk</t>
        </is>
      </c>
      <c r="B2841" s="13" t="inlineStr">
        <is>
          <t>Summon Cleric</t>
        </is>
      </c>
      <c r="C2841" s="13" t="inlineStr">
        <is>
          <t>Common</t>
        </is>
      </c>
      <c r="D2841" s="13" t="inlineStr">
        <is>
          <t>Protection from Preto; shadow (This creature can block or be blocked by only creatures with shadow.)</t>
        </is>
      </c>
      <c r="E2841" s="13" t="inlineStr">
        <is>
          <t>{W}{W}</t>
        </is>
      </c>
      <c r="F2841" s="13" t="inlineStr">
        <is>
          <t>White</t>
        </is>
      </c>
      <c r="G2841" s="8" t="n">
        <v>4.41</v>
      </c>
      <c r="H2841" s="13" t="inlineStr">
        <is>
          <t>Tempest (TMP)</t>
        </is>
      </c>
      <c r="I2841" s="13" t="inlineStr">
        <is>
          <t>No</t>
        </is>
      </c>
      <c r="J2841" s="13" t="n">
        <v>1997</v>
      </c>
      <c r="K2841" s="10" t="n">
        <v>46024</v>
      </c>
      <c r="L2841" s="13" t="n">
        <v>1</v>
      </c>
      <c r="M2841" s="8">
        <f>L2841*G2841</f>
        <v/>
      </c>
      <c r="P2841" s="9" t="n"/>
    </row>
    <row r="2842">
      <c r="A2842" s="13" t="inlineStr">
        <is>
          <t>Soltari Trooper / Soldado Soltari</t>
        </is>
      </c>
      <c r="B2842" s="13" t="inlineStr">
        <is>
          <t>Creature — Soldier / Criatura — Soldado</t>
        </is>
      </c>
      <c r="C2842" s="13" t="inlineStr">
        <is>
          <t>Common / Comum</t>
        </is>
      </c>
      <c r="D2842" s="13"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2842" s="13" t="inlineStr">
        <is>
          <t>{1}{W}</t>
        </is>
      </c>
      <c r="F2842" s="13" t="inlineStr">
        <is>
          <t>Branco</t>
        </is>
      </c>
      <c r="G2842" s="8" t="n">
        <v>0.19</v>
      </c>
      <c r="H2842" s="13" t="inlineStr">
        <is>
          <t>Tempest (TMP)</t>
        </is>
      </c>
      <c r="I2842" s="13" t="inlineStr">
        <is>
          <t>No</t>
        </is>
      </c>
      <c r="J2842" s="13" t="n">
        <v>1997</v>
      </c>
      <c r="K2842" s="10" t="n">
        <v>46023</v>
      </c>
      <c r="L2842" s="13" t="n">
        <v>1</v>
      </c>
      <c r="M2842" s="8">
        <f>L2842*G2842</f>
        <v/>
      </c>
      <c r="P2842" s="9" t="n"/>
    </row>
    <row r="2843">
      <c r="A2843" s="13" t="inlineStr">
        <is>
          <t>Sonar Strike</t>
        </is>
      </c>
      <c r="B2843" s="13" t="inlineStr">
        <is>
          <t>Instant</t>
        </is>
      </c>
      <c r="C2843" s="13" t="inlineStr">
        <is>
          <t>Common / Comum</t>
        </is>
      </c>
      <c r="D2843" s="13" t="inlineStr">
        <is>
          <t>Sonar Strike deals 4 damage to target attacking, blocking, or tapped creature. You gain 3 life if you control a Bat.</t>
        </is>
      </c>
      <c r="E2843" s="13" t="inlineStr">
        <is>
          <t>{1}{W}</t>
        </is>
      </c>
      <c r="F2843" s="13" t="inlineStr">
        <is>
          <t>Branco</t>
        </is>
      </c>
      <c r="G2843" s="8" t="n">
        <v>0.07000000000000001</v>
      </c>
      <c r="H2843" s="13" t="inlineStr">
        <is>
          <t>Bloomburrow (BLB)</t>
        </is>
      </c>
      <c r="I2843" s="13" t="inlineStr">
        <is>
          <t>Não</t>
        </is>
      </c>
      <c r="J2843" s="13" t="n">
        <v>2024</v>
      </c>
      <c r="L2843" s="13" t="n">
        <v>1</v>
      </c>
      <c r="M2843" s="8">
        <f>L2843*G2843</f>
        <v/>
      </c>
      <c r="P2843" s="9" t="n"/>
    </row>
    <row r="2844">
      <c r="A2844" s="13" t="inlineStr">
        <is>
          <t>Song of Freyalise / Canção de Freyalise</t>
        </is>
      </c>
      <c r="B2844" s="13" t="inlineStr">
        <is>
          <t>Enchantment — Saga / Encantamento — Saga</t>
        </is>
      </c>
      <c r="C2844" s="13" t="inlineStr">
        <is>
          <t>Uncommon / Incomum</t>
        </is>
      </c>
      <c r="D2844" s="13"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2844" s="13" t="inlineStr">
        <is>
          <t>{1}{G}</t>
        </is>
      </c>
      <c r="F2844" s="13" t="inlineStr">
        <is>
          <t>Verde</t>
        </is>
      </c>
      <c r="G2844" s="8" t="n">
        <v>0.59</v>
      </c>
      <c r="H2844" s="13" t="inlineStr">
        <is>
          <t>Dominaria (DOM)</t>
        </is>
      </c>
      <c r="I2844" s="13" t="inlineStr">
        <is>
          <t>Não</t>
        </is>
      </c>
      <c r="J2844" s="13" t="n">
        <v>2018</v>
      </c>
      <c r="L2844" s="13" t="n">
        <v>1</v>
      </c>
      <c r="M2844" s="8">
        <f>L2844*G2844</f>
        <v/>
      </c>
      <c r="P2844" s="9" t="n"/>
    </row>
    <row r="2845">
      <c r="A2845" s="13" t="inlineStr">
        <is>
          <t>Sorcerer's Broom / Vassoura do Feiticeiro</t>
        </is>
      </c>
      <c r="B2845" s="13" t="inlineStr">
        <is>
          <t>Artifact Creature — Spirit / Criatura Artefato — Espírito</t>
        </is>
      </c>
      <c r="C2845" s="13" t="inlineStr">
        <is>
          <t>Uncommon / Incomum</t>
        </is>
      </c>
      <c r="D2845" s="13" t="inlineStr">
        <is>
          <t>Whenever you sacrifice another permanent, you may pay {3}. If you do, create a token that's a copy of this creature. / Toda vez que sacrifica outra permanente, você pode pagar {3}. Se fizer isso, crie uma ficha que seja uma cópia de Vassoura do Feiticeiro.</t>
        </is>
      </c>
      <c r="E2845" s="13" t="inlineStr">
        <is>
          <t>{2}</t>
        </is>
      </c>
      <c r="F2845" s="13" t="inlineStr">
        <is>
          <t>Incolor</t>
        </is>
      </c>
      <c r="G2845" s="8" t="n">
        <v>0.09</v>
      </c>
      <c r="H2845" s="13" t="inlineStr">
        <is>
          <t>Throne of Eldraine (ELD)</t>
        </is>
      </c>
      <c r="I2845" s="13" t="inlineStr">
        <is>
          <t>Não</t>
        </is>
      </c>
      <c r="J2845" s="13" t="n">
        <v>2019</v>
      </c>
      <c r="K2845" s="10" t="n">
        <v>46024</v>
      </c>
      <c r="L2845" s="13" t="n">
        <v>1</v>
      </c>
      <c r="M2845" s="8">
        <f>L2845*G2845</f>
        <v/>
      </c>
      <c r="P2845" s="9" t="n"/>
    </row>
    <row r="2846">
      <c r="A2846" s="13" t="inlineStr">
        <is>
          <t>Sorceress's Schemes / Planos da Feiticeira</t>
        </is>
      </c>
      <c r="B2846" s="13" t="inlineStr">
        <is>
          <t>Feitiço</t>
        </is>
      </c>
      <c r="C2846" s="13" t="inlineStr">
        <is>
          <t>Incomum</t>
        </is>
      </c>
      <c r="D2846" s="13"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2846" s="13" t="inlineStr">
        <is>
          <t>3R</t>
        </is>
      </c>
      <c r="F2846" s="13" t="inlineStr">
        <is>
          <t>Vermelho</t>
        </is>
      </c>
      <c r="G2846" s="8" t="n">
        <v>0.24</v>
      </c>
      <c r="H2846" s="13" t="inlineStr">
        <is>
          <t>Final Fantasy</t>
        </is>
      </c>
      <c r="I2846" s="13" t="inlineStr">
        <is>
          <t>Não</t>
        </is>
      </c>
      <c r="J2846" s="13" t="n">
        <v>2025</v>
      </c>
      <c r="L2846" s="13" t="n">
        <v>1</v>
      </c>
      <c r="M2846" s="8">
        <f>L2846*G2846</f>
        <v/>
      </c>
      <c r="P2846" s="9" t="n"/>
    </row>
    <row r="2847">
      <c r="A2847" s="13" t="inlineStr">
        <is>
          <t>Soul Charmer / Encantadora de Almas</t>
        </is>
      </c>
      <c r="B2847" s="13" t="inlineStr">
        <is>
          <t>Creature — Rebel / Criatura — Rebelde</t>
        </is>
      </c>
      <c r="C2847" s="13" t="inlineStr">
        <is>
          <t>Common / Comum</t>
        </is>
      </c>
      <c r="D2847" s="13"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2847" s="13" t="inlineStr">
        <is>
          <t>{2}{W}</t>
        </is>
      </c>
      <c r="F2847" s="13" t="inlineStr">
        <is>
          <t>Branco</t>
        </is>
      </c>
      <c r="G2847" s="8" t="n">
        <v>0.03</v>
      </c>
      <c r="H2847" s="13" t="inlineStr">
        <is>
          <t>Prophecy (PCY)</t>
        </is>
      </c>
      <c r="I2847" s="13" t="inlineStr">
        <is>
          <t>No</t>
        </is>
      </c>
      <c r="J2847" s="13" t="n">
        <v>2000</v>
      </c>
      <c r="K2847" s="10" t="n">
        <v>46055</v>
      </c>
      <c r="L2847" s="13" t="n">
        <v>1</v>
      </c>
      <c r="M2847" s="8">
        <f>L2847*G2847</f>
        <v/>
      </c>
      <c r="P2847" s="9" t="n"/>
    </row>
    <row r="2848">
      <c r="A2848" s="13" t="inlineStr">
        <is>
          <t>Soul Enervation / Enervação da Alma</t>
        </is>
      </c>
      <c r="B2848" s="13" t="inlineStr">
        <is>
          <t>Enchantment / Encantamento</t>
        </is>
      </c>
      <c r="C2848" s="13" t="inlineStr">
        <is>
          <t>Uncommon / Incomum</t>
        </is>
      </c>
      <c r="D2848" s="13"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2848" s="13" t="inlineStr">
        <is>
          <t>{3}{B}</t>
        </is>
      </c>
      <c r="F2848" s="13" t="inlineStr">
        <is>
          <t>Preto</t>
        </is>
      </c>
      <c r="G2848" s="8" t="n">
        <v>0.15</v>
      </c>
      <c r="H2848" s="13" t="inlineStr">
        <is>
          <t>Murders at Karlov Manor (MKM)</t>
        </is>
      </c>
      <c r="I2848" s="13" t="inlineStr">
        <is>
          <t>Não</t>
        </is>
      </c>
      <c r="J2848" s="13" t="n">
        <v>2024</v>
      </c>
      <c r="L2848" s="13" t="n">
        <v>1</v>
      </c>
      <c r="M2848" s="8">
        <f>L2848*G2848</f>
        <v/>
      </c>
      <c r="P2848" s="9" t="n"/>
    </row>
    <row r="2849">
      <c r="A2849" s="13" t="inlineStr">
        <is>
          <t>Soul Kiss / Beijo da Alma</t>
        </is>
      </c>
      <c r="B2849" s="13" t="inlineStr">
        <is>
          <t>Enchantment — Aura</t>
        </is>
      </c>
      <c r="C2849" s="13" t="inlineStr">
        <is>
          <t>Common / Comum</t>
        </is>
      </c>
      <c r="D2849" s="13" t="inlineStr">
        <is>
          <t>Enchant creature {B}, Pay 1 life: Enchanted creature gets +2/+2 until end of turn. Activate no more than three times each turn.</t>
        </is>
      </c>
      <c r="E2849" s="13" t="inlineStr">
        <is>
          <t>{2}{B}</t>
        </is>
      </c>
      <c r="F2849" s="13" t="inlineStr">
        <is>
          <t>Preto</t>
        </is>
      </c>
      <c r="G2849" s="8" t="n">
        <v>0.05</v>
      </c>
      <c r="H2849" s="13" t="inlineStr">
        <is>
          <t>Ice Age (ICE)</t>
        </is>
      </c>
      <c r="I2849" s="13" t="inlineStr">
        <is>
          <t>Não</t>
        </is>
      </c>
      <c r="J2849" s="13" t="n">
        <v>1995</v>
      </c>
      <c r="L2849" s="13" t="n">
        <v>1</v>
      </c>
      <c r="M2849" s="8">
        <f>L2849*G2849</f>
        <v/>
      </c>
      <c r="P2849" s="9" t="n"/>
    </row>
    <row r="2850">
      <c r="A2850" s="13" t="inlineStr">
        <is>
          <t>Soul Net / Rede de Almas</t>
        </is>
      </c>
      <c r="B2850" s="13" t="inlineStr">
        <is>
          <t>Artifact</t>
        </is>
      </c>
      <c r="C2850" s="13" t="inlineStr">
        <is>
          <t>Uncommon / Incomum</t>
        </is>
      </c>
      <c r="D2850" s="13" t="inlineStr">
        <is>
          <t>Whenever a creature dies, you may pay {1}. If you do, you gain 1 life.</t>
        </is>
      </c>
      <c r="E2850" s="13" t="inlineStr">
        <is>
          <t>{1}</t>
        </is>
      </c>
      <c r="F2850" s="13" t="inlineStr">
        <is>
          <t>Incolor</t>
        </is>
      </c>
      <c r="G2850" s="8" t="n">
        <v>0.1</v>
      </c>
      <c r="H2850" s="13" t="inlineStr">
        <is>
          <t>Fourth Edition</t>
        </is>
      </c>
      <c r="I2850" s="13" t="inlineStr">
        <is>
          <t>Não</t>
        </is>
      </c>
      <c r="J2850" s="13" t="n">
        <v>1995</v>
      </c>
      <c r="L2850" s="13" t="n">
        <v>2</v>
      </c>
      <c r="M2850" s="8">
        <f>L2850*G2850</f>
        <v/>
      </c>
      <c r="P2850" s="9" t="n"/>
    </row>
    <row r="2851">
      <c r="A2851" s="13" t="inlineStr">
        <is>
          <t>Soul Transfer / Transferência de Alma</t>
        </is>
      </c>
      <c r="B2851" s="13" t="inlineStr">
        <is>
          <t>Sorcery / Feitiço</t>
        </is>
      </c>
      <c r="C2851" s="13" t="inlineStr">
        <is>
          <t>Rare / Rara</t>
        </is>
      </c>
      <c r="D2851" s="13"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2851" s="13" t="inlineStr">
        <is>
          <t>{1}{B}{B}</t>
        </is>
      </c>
      <c r="F2851" s="13" t="inlineStr">
        <is>
          <t>Preto</t>
        </is>
      </c>
      <c r="G2851" s="8" t="n">
        <v>0.35</v>
      </c>
      <c r="H2851" s="13" t="inlineStr">
        <is>
          <t>Kamigawa: Neon Dynasty (NEO)</t>
        </is>
      </c>
      <c r="I2851" s="13" t="inlineStr">
        <is>
          <t>Não</t>
        </is>
      </c>
      <c r="J2851" s="13" t="n">
        <v>2022</v>
      </c>
      <c r="L2851" s="13" t="n">
        <v>1</v>
      </c>
      <c r="M2851" s="8">
        <f>L2851*G2851</f>
        <v/>
      </c>
      <c r="P2851" s="9" t="n"/>
    </row>
    <row r="2852">
      <c r="A2852" s="13" t="inlineStr">
        <is>
          <t>Soul-Shackled Zombie</t>
        </is>
      </c>
      <c r="B2852" s="13" t="inlineStr">
        <is>
          <t>Creature — Zombie</t>
        </is>
      </c>
      <c r="C2852" s="13" t="inlineStr">
        <is>
          <t>Common / Comum</t>
        </is>
      </c>
      <c r="D2852" s="13" t="inlineStr">
        <is>
          <t>When this creature enters, exile up to two target cards from a single graveyard. If at least one creature card was exiled this way, each opponent loses 2 life and you gain 2 life.</t>
        </is>
      </c>
      <c r="E2852" s="13" t="inlineStr">
        <is>
          <t>{3}{B}</t>
        </is>
      </c>
      <c r="F2852" s="13" t="inlineStr">
        <is>
          <t>Preto</t>
        </is>
      </c>
      <c r="G2852" s="8" t="n">
        <v>0.04</v>
      </c>
      <c r="H2852" s="13" t="inlineStr">
        <is>
          <t>Foundations (FDN)</t>
        </is>
      </c>
      <c r="I2852" s="13" t="inlineStr">
        <is>
          <t>Não</t>
        </is>
      </c>
      <c r="J2852" s="13" t="n">
        <v>2024</v>
      </c>
      <c r="K2852" s="10" t="n">
        <v>46057</v>
      </c>
      <c r="L2852" s="13" t="n">
        <v>1</v>
      </c>
      <c r="M2852" s="8">
        <f>L2852*G2852</f>
        <v/>
      </c>
      <c r="P2852" s="9" t="n"/>
    </row>
    <row r="2853">
      <c r="A2853" s="13" t="inlineStr">
        <is>
          <t>Soul's Might / Poder da Alma</t>
        </is>
      </c>
      <c r="B2853" s="13" t="inlineStr">
        <is>
          <t>Sorcery / Feitiço</t>
        </is>
      </c>
      <c r="C2853" s="13" t="inlineStr">
        <is>
          <t>Common / Comum</t>
        </is>
      </c>
      <c r="D2853" s="13" t="inlineStr">
        <is>
          <t>Put X +1/+1 counters on target creature, where X is that creature's power. / Coloque X marcadores +1/+1 na criatura alvo, sendo X igual ao poder daquela criatura.</t>
        </is>
      </c>
      <c r="E2853" s="13" t="inlineStr">
        <is>
          <t>{4}{G}</t>
        </is>
      </c>
      <c r="F2853" s="13" t="inlineStr">
        <is>
          <t>Verde</t>
        </is>
      </c>
      <c r="G2853" s="8" t="n">
        <v>0.05</v>
      </c>
      <c r="H2853" s="13" t="inlineStr">
        <is>
          <t>Commander Legends (CMR)</t>
        </is>
      </c>
      <c r="I2853" s="13" t="inlineStr">
        <is>
          <t>Não</t>
        </is>
      </c>
      <c r="J2853" s="13" t="n">
        <v>2020</v>
      </c>
      <c r="L2853" s="13" t="n">
        <v>1</v>
      </c>
      <c r="M2853" s="8">
        <f>L2853*G2853</f>
        <v/>
      </c>
      <c r="P2853" s="9" t="n"/>
    </row>
    <row r="2854">
      <c r="A2854" s="13" t="inlineStr">
        <is>
          <t>Soul's Might / Poder da Alma</t>
        </is>
      </c>
      <c r="B2854" s="13" t="inlineStr">
        <is>
          <t>Sorcery / Feitiço</t>
        </is>
      </c>
      <c r="C2854" s="13" t="inlineStr">
        <is>
          <t>Common / Comum</t>
        </is>
      </c>
      <c r="D2854" s="13" t="inlineStr">
        <is>
          <t>Put X +1/+1 counters on target creature, where X is that creature's power. / Coloque X marcadores +1/+1 na criatura alvo, sendo X igual ao poder daquela criatura.</t>
        </is>
      </c>
      <c r="E2854" s="13" t="inlineStr">
        <is>
          <t>{4}{G}</t>
        </is>
      </c>
      <c r="F2854" s="13" t="inlineStr">
        <is>
          <t>Verde</t>
        </is>
      </c>
      <c r="G2854" s="8" t="n">
        <v>0.1</v>
      </c>
      <c r="H2854" s="13" t="inlineStr">
        <is>
          <t>Jumpstart 2022 (J22)</t>
        </is>
      </c>
      <c r="I2854" s="13" t="inlineStr">
        <is>
          <t>Não</t>
        </is>
      </c>
      <c r="J2854" s="13" t="n">
        <v>2022</v>
      </c>
      <c r="L2854" s="13" t="n">
        <v>1</v>
      </c>
      <c r="M2854" s="8">
        <f>L2854*G2854</f>
        <v/>
      </c>
      <c r="P2854" s="9" t="n"/>
    </row>
    <row r="2855">
      <c r="A2855" s="13" t="inlineStr">
        <is>
          <t>Soulbright Seeker</t>
        </is>
      </c>
      <c r="B2855" s="13" t="inlineStr">
        <is>
          <t>Creature — Elemental Sorcerer</t>
        </is>
      </c>
      <c r="C2855" s="13" t="inlineStr">
        <is>
          <t>Uncommon / Incomum</t>
        </is>
      </c>
      <c r="D2855" s="13"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2855" s="13" t="inlineStr">
        <is>
          <t>{R}</t>
        </is>
      </c>
      <c r="F2855" s="13" t="inlineStr">
        <is>
          <t>Vermelho</t>
        </is>
      </c>
      <c r="G2855" s="8" t="n">
        <v>0.19</v>
      </c>
      <c r="H2855" s="13" t="inlineStr">
        <is>
          <t>Lorwyn Eclipsed (ECL)</t>
        </is>
      </c>
      <c r="I2855" s="13" t="inlineStr">
        <is>
          <t>Não</t>
        </is>
      </c>
      <c r="J2855" s="13" t="n">
        <v>2026</v>
      </c>
      <c r="K2855" s="10" t="n">
        <v>46024</v>
      </c>
      <c r="L2855" s="13" t="n">
        <v>1</v>
      </c>
      <c r="M2855" s="8">
        <f>L2855*G2855</f>
        <v/>
      </c>
      <c r="P2855" s="9" t="n"/>
    </row>
    <row r="2856">
      <c r="A2856" s="13" t="inlineStr">
        <is>
          <t>Soulcipher Board / Tábua do Código Espiritual</t>
        </is>
      </c>
      <c r="B2856" s="13" t="inlineStr">
        <is>
          <t>Artifact / Artefato</t>
        </is>
      </c>
      <c r="C2856" s="13" t="inlineStr">
        <is>
          <t>Uncommon / Incomum</t>
        </is>
      </c>
      <c r="D2856" s="13"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2856" s="13" t="inlineStr">
        <is>
          <t>{1}{U}</t>
        </is>
      </c>
      <c r="F2856" s="13" t="inlineStr">
        <is>
          <t>Azul</t>
        </is>
      </c>
      <c r="G2856" s="8" t="n">
        <v>0.09</v>
      </c>
      <c r="H2856" s="13" t="inlineStr">
        <is>
          <t>Innistrad: Crimson Vow (VOW)</t>
        </is>
      </c>
      <c r="I2856" s="13" t="inlineStr">
        <is>
          <t>Não</t>
        </is>
      </c>
      <c r="J2856" s="13" t="n">
        <v>2021</v>
      </c>
      <c r="L2856" s="13" t="n">
        <v>1</v>
      </c>
      <c r="M2856" s="8">
        <f>L2856*G2856</f>
        <v/>
      </c>
      <c r="P2856" s="9" t="n"/>
    </row>
    <row r="2857">
      <c r="A2857" s="13" t="inlineStr">
        <is>
          <t>Soulflayer / Flagelador de Alma</t>
        </is>
      </c>
      <c r="B2857" s="13" t="inlineStr">
        <is>
          <t>Creature — Demon / Criatura — Demônio</t>
        </is>
      </c>
      <c r="C2857" s="13" t="inlineStr">
        <is>
          <t>Rare / Rara</t>
        </is>
      </c>
      <c r="D2857" s="13"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2857" s="13" t="inlineStr">
        <is>
          <t>{4}{B}{B}</t>
        </is>
      </c>
      <c r="F2857" s="13" t="inlineStr">
        <is>
          <t>Preto</t>
        </is>
      </c>
      <c r="G2857" s="8" t="n">
        <v>0.2</v>
      </c>
      <c r="H2857" s="13" t="inlineStr">
        <is>
          <t>Fate Reforged (FRF)</t>
        </is>
      </c>
      <c r="I2857" s="13" t="inlineStr">
        <is>
          <t>Não</t>
        </is>
      </c>
      <c r="J2857" s="13" t="n">
        <v>2015</v>
      </c>
      <c r="K2857" s="10" t="n">
        <v>46116</v>
      </c>
      <c r="L2857" s="13" t="n">
        <v>1</v>
      </c>
      <c r="M2857" s="8">
        <f>L2857*G2857</f>
        <v/>
      </c>
      <c r="P2857" s="9" t="n"/>
    </row>
    <row r="2858">
      <c r="A2858" s="13" t="inlineStr">
        <is>
          <t>Soulstinger / Picador de Almas</t>
        </is>
      </c>
      <c r="B2858" s="13" t="inlineStr">
        <is>
          <t>Creature — Scorpion Demon / Criatura — Escorpião Demônio</t>
        </is>
      </c>
      <c r="C2858" s="13" t="inlineStr">
        <is>
          <t>Common / Comum</t>
        </is>
      </c>
      <c r="D2858" s="13"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2858" s="13" t="inlineStr">
        <is>
          <t>{3}{B}</t>
        </is>
      </c>
      <c r="F2858" s="13" t="inlineStr">
        <is>
          <t>Preto</t>
        </is>
      </c>
      <c r="G2858" s="8" t="n">
        <v>0.03</v>
      </c>
      <c r="H2858" s="13" t="inlineStr">
        <is>
          <t>Amonkhet (AKH)</t>
        </is>
      </c>
      <c r="I2858" s="13" t="inlineStr">
        <is>
          <t>Não</t>
        </is>
      </c>
      <c r="J2858" s="13" t="n">
        <v>2017</v>
      </c>
      <c r="K2858" s="10" t="n">
        <v>46146</v>
      </c>
      <c r="L2858" s="13" t="n">
        <v>1</v>
      </c>
      <c r="M2858" s="8">
        <f>L2858*G2858</f>
        <v/>
      </c>
      <c r="P2858" s="9" t="n"/>
    </row>
    <row r="2859">
      <c r="A2859" s="13" t="inlineStr">
        <is>
          <t>Spara's Adjudicators / Árbitros de Spara</t>
        </is>
      </c>
      <c r="B2859" s="13" t="inlineStr">
        <is>
          <t>Creature — Cat Citizen / Criatura — Felino Cidadão</t>
        </is>
      </c>
      <c r="C2859" s="13" t="inlineStr">
        <is>
          <t>Common / Comum</t>
        </is>
      </c>
      <c r="D2859" s="13"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2859" s="13" t="inlineStr">
        <is>
          <t>{2}{G}{W}{U}</t>
        </is>
      </c>
      <c r="F2859" s="13" t="inlineStr">
        <is>
          <t>Verde, Azul, Branco</t>
        </is>
      </c>
      <c r="G2859" s="8" t="n">
        <v>0.04</v>
      </c>
      <c r="H2859" s="13" t="inlineStr">
        <is>
          <t>Streets of New Capenna (SNC)</t>
        </is>
      </c>
      <c r="I2859" s="13" t="inlineStr">
        <is>
          <t>Não</t>
        </is>
      </c>
      <c r="J2859" s="13" t="n">
        <v>2022</v>
      </c>
      <c r="K2859" s="10" t="n">
        <v>46116</v>
      </c>
      <c r="L2859" s="13" t="n">
        <v>1</v>
      </c>
      <c r="M2859" s="8">
        <f>L2859*G2859</f>
        <v/>
      </c>
      <c r="P2859" s="9" t="n"/>
    </row>
    <row r="2860">
      <c r="A2860" s="13" t="inlineStr">
        <is>
          <t>Spare from Evil / Poupar do Mal</t>
        </is>
      </c>
      <c r="B2860" s="13" t="inlineStr">
        <is>
          <t>Instant / Mágica Instantânea</t>
        </is>
      </c>
      <c r="C2860" s="13" t="inlineStr">
        <is>
          <t>Common / Comum</t>
        </is>
      </c>
      <c r="D2860" s="13" t="inlineStr">
        <is>
          <t>Creatures you control gain protection from non-Human creatures until end of turn. / As criaturas que você controla ganham proteção contra criaturas que não sejam do tipo Humano até o final do turno.</t>
        </is>
      </c>
      <c r="E2860" s="13" t="inlineStr">
        <is>
          <t>{1}{W}</t>
        </is>
      </c>
      <c r="F2860" s="13" t="inlineStr">
        <is>
          <t>Branco</t>
        </is>
      </c>
      <c r="G2860" s="8" t="n">
        <v>0.08</v>
      </c>
      <c r="H2860" s="13" t="inlineStr">
        <is>
          <t>Innistrad (ISD)</t>
        </is>
      </c>
      <c r="I2860" s="13" t="inlineStr">
        <is>
          <t>Não</t>
        </is>
      </c>
      <c r="J2860" s="13" t="n">
        <v>2011</v>
      </c>
      <c r="L2860" s="13" t="n">
        <v>4</v>
      </c>
      <c r="M2860" s="8">
        <f>L2860*G2860</f>
        <v/>
      </c>
      <c r="P2860" s="9" t="n"/>
    </row>
    <row r="2861">
      <c r="A2861" s="13" t="inlineStr">
        <is>
          <t>Spark Harvest / Colheita das Centelhas</t>
        </is>
      </c>
      <c r="B2861" s="13" t="inlineStr">
        <is>
          <t>Sorcery / Feitiço</t>
        </is>
      </c>
      <c r="C2861" s="13" t="inlineStr">
        <is>
          <t>Common / Comum</t>
        </is>
      </c>
      <c r="D2861" s="13" t="inlineStr">
        <is>
          <t>As an additional cost to cast this spell, sacrifice a creature or pay {3}{B}. Destroy target creature or planeswalker. / Como custo adicional para conjurar esta mágica, sacrifique uma criatura ou pague {3}{B}. Destrua a criatura ou o planeswalker alvo.</t>
        </is>
      </c>
      <c r="E2861" s="13" t="inlineStr">
        <is>
          <t>{B}</t>
        </is>
      </c>
      <c r="F2861" s="13" t="inlineStr">
        <is>
          <t>Preto</t>
        </is>
      </c>
      <c r="G2861" s="8" t="n">
        <v>0.05</v>
      </c>
      <c r="H2861" s="13" t="inlineStr">
        <is>
          <t>War of the Spark (WAR)</t>
        </is>
      </c>
      <c r="I2861" s="13" t="inlineStr">
        <is>
          <t>Não</t>
        </is>
      </c>
      <c r="J2861" s="13" t="n">
        <v>2019</v>
      </c>
      <c r="L2861" s="13" t="n">
        <v>1</v>
      </c>
      <c r="M2861" s="8">
        <f>L2861*G2861</f>
        <v/>
      </c>
      <c r="P2861" s="9" t="n"/>
    </row>
    <row r="2862">
      <c r="A2862" s="13" t="inlineStr">
        <is>
          <t>Sparkmage Apprentice / Aprendiz de Piromante de Centelhas</t>
        </is>
      </c>
      <c r="B2862" s="13" t="inlineStr">
        <is>
          <t>Criatura — Humano Mago</t>
        </is>
      </c>
      <c r="C2862" s="13" t="inlineStr">
        <is>
          <t>Comum</t>
        </is>
      </c>
      <c r="D2862" s="13" t="inlineStr">
        <is>
          <t>Quando Aprendiz de Piromante de Centelhas entra no campo de batalha, ele causa 1 de dano à criatura ou ao jogador alvo.</t>
        </is>
      </c>
      <c r="E2862" s="13" t="inlineStr">
        <is>
          <t>1R</t>
        </is>
      </c>
      <c r="F2862" s="13" t="inlineStr">
        <is>
          <t>Vermelho</t>
        </is>
      </c>
      <c r="G2862" s="8" t="n">
        <v>0.09</v>
      </c>
      <c r="H2862" s="13" t="inlineStr">
        <is>
          <t>Duel Decks: Speed vs. Cunning</t>
        </is>
      </c>
      <c r="I2862" s="13" t="inlineStr">
        <is>
          <t>Não</t>
        </is>
      </c>
      <c r="J2862" s="13" t="n">
        <v>2014</v>
      </c>
      <c r="K2862" s="10" t="n">
        <v>46023</v>
      </c>
      <c r="L2862" s="13" t="n">
        <v>1</v>
      </c>
      <c r="M2862" s="8">
        <f>L2862*G2862</f>
        <v/>
      </c>
      <c r="P2862" s="9" t="n"/>
    </row>
    <row r="2863">
      <c r="A2863" s="13" t="inlineStr">
        <is>
          <t>Spawn of Mayhem / Prole do Pandemônio</t>
        </is>
      </c>
      <c r="B2863" s="13" t="inlineStr">
        <is>
          <t>Criatura — Demônio</t>
        </is>
      </c>
      <c r="C2863" s="13" t="inlineStr">
        <is>
          <t>Mítica Rara</t>
        </is>
      </c>
      <c r="D2863" s="13"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2863" s="13" t="inlineStr">
        <is>
          <t>2{B}{B}</t>
        </is>
      </c>
      <c r="F2863" s="13" t="inlineStr">
        <is>
          <t>Preto</t>
        </is>
      </c>
      <c r="G2863" s="8" t="n">
        <v>2.17</v>
      </c>
      <c r="H2863" s="13" t="inlineStr">
        <is>
          <t>Ravnica Allegiance</t>
        </is>
      </c>
      <c r="I2863" s="13" t="inlineStr">
        <is>
          <t>Não</t>
        </is>
      </c>
      <c r="J2863" s="13" t="n">
        <v>2019</v>
      </c>
      <c r="K2863" s="10" t="n">
        <v>46116</v>
      </c>
      <c r="L2863" s="13" t="n">
        <v>1</v>
      </c>
      <c r="M2863" s="8">
        <f>L2863*G2863</f>
        <v/>
      </c>
      <c r="P2863" s="9" t="n"/>
    </row>
    <row r="2864">
      <c r="A2864" s="13" t="inlineStr">
        <is>
          <t>Spawn of Thraxes / Prole de Traxes</t>
        </is>
      </c>
      <c r="B2864" s="13" t="inlineStr">
        <is>
          <t>Criatura — Dragão</t>
        </is>
      </c>
      <c r="C2864" s="13" t="inlineStr">
        <is>
          <t>Rara</t>
        </is>
      </c>
      <c r="D2864" s="13" t="inlineStr">
        <is>
          <t>Voar Quando Prole de Traxes entra no campo de batalha, ele causa ao jogador ou à criatura alvo uma quantidade de dano igual ao número de Montanhas que você controla.</t>
        </is>
      </c>
      <c r="E2864" s="13" t="inlineStr">
        <is>
          <t>5RR</t>
        </is>
      </c>
      <c r="F2864" s="13" t="inlineStr">
        <is>
          <t>Vermelho</t>
        </is>
      </c>
      <c r="G2864" s="8" t="n">
        <v>0.33</v>
      </c>
      <c r="H2864" s="13" t="inlineStr">
        <is>
          <t>Journey into Nyx</t>
        </is>
      </c>
      <c r="I2864" s="13" t="inlineStr">
        <is>
          <t>Não</t>
        </is>
      </c>
      <c r="J2864" s="13" t="n">
        <v>2014</v>
      </c>
      <c r="K2864" s="10" t="n">
        <v>46147</v>
      </c>
      <c r="L2864" s="13" t="n">
        <v>1</v>
      </c>
      <c r="M2864" s="8">
        <f>L2864*G2864</f>
        <v/>
      </c>
      <c r="P2864" s="9" t="n"/>
    </row>
    <row r="2865">
      <c r="A2865" s="13" t="inlineStr">
        <is>
          <t>Spawn of Thraxes / Prole de Traxes</t>
        </is>
      </c>
      <c r="B2865" s="13" t="inlineStr">
        <is>
          <t>Creature — Dragon / Criatura — Dragão</t>
        </is>
      </c>
      <c r="C2865" s="13" t="inlineStr">
        <is>
          <t>Rare / Rara</t>
        </is>
      </c>
      <c r="D2865" s="13"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2865" s="13" t="inlineStr">
        <is>
          <t>{5}{R}{R}</t>
        </is>
      </c>
      <c r="F2865" s="13" t="inlineStr">
        <is>
          <t>Vermelho</t>
        </is>
      </c>
      <c r="G2865" s="8" t="n">
        <v>0.33</v>
      </c>
      <c r="H2865" s="13" t="inlineStr">
        <is>
          <t>Journey into Nyx Promos (PJOU)</t>
        </is>
      </c>
      <c r="I2865" s="13" t="inlineStr">
        <is>
          <t>Sim</t>
        </is>
      </c>
      <c r="J2865" s="13" t="n">
        <v>2014</v>
      </c>
      <c r="K2865" s="10" t="n">
        <v>46147</v>
      </c>
      <c r="L2865" s="13" t="n">
        <v>1</v>
      </c>
      <c r="M2865" s="8">
        <f>L2865*G2865</f>
        <v/>
      </c>
      <c r="P2865" s="9" t="n"/>
    </row>
    <row r="2866">
      <c r="A2866" s="13" t="inlineStr">
        <is>
          <t>Spawnwrithe / Serpentóide</t>
        </is>
      </c>
      <c r="B2866" s="13" t="inlineStr">
        <is>
          <t>Creature — Elemental / Criatura — Elemental</t>
        </is>
      </c>
      <c r="C2866" s="13" t="inlineStr">
        <is>
          <t>Rare / Raro</t>
        </is>
      </c>
      <c r="D2866" s="13" t="inlineStr">
        <is>
          <t>Trample. Whenever Spawnwrithe deals combat damage to a player, put a token into play that's a copy of Spawnwrithe. / Atropelar. Toda vez que Serpentóide causar dano de combate a um jogador, coloque em jogo uma ficha que seja uma cópia de Serpentóide.</t>
        </is>
      </c>
      <c r="E2866" s="13" t="inlineStr">
        <is>
          <t>{2}{G}</t>
        </is>
      </c>
      <c r="F2866" s="13" t="inlineStr">
        <is>
          <t>Verde</t>
        </is>
      </c>
      <c r="G2866" s="8" t="n">
        <v>0.43</v>
      </c>
      <c r="H2866" s="13" t="inlineStr">
        <is>
          <t>Shadowmoor (SHM)</t>
        </is>
      </c>
      <c r="I2866" s="13" t="inlineStr">
        <is>
          <t>Não</t>
        </is>
      </c>
      <c r="J2866" s="13" t="n">
        <v>2008</v>
      </c>
      <c r="K2866" s="10" t="n">
        <v>46055</v>
      </c>
      <c r="L2866" s="13" t="n">
        <v>1</v>
      </c>
      <c r="M2866" s="8">
        <f>L2866*G2866</f>
        <v/>
      </c>
      <c r="P2866" s="9" t="n"/>
    </row>
    <row r="2867">
      <c r="A2867" s="13" t="inlineStr">
        <is>
          <t>Specimen Collector / Coletora de Espécimes</t>
        </is>
      </c>
      <c r="B2867" s="13" t="inlineStr">
        <is>
          <t>Creature — Vedalken Wizard / Criatura — Vedalkeano Mago</t>
        </is>
      </c>
      <c r="C2867" s="13" t="inlineStr">
        <is>
          <t>Uncommon / Incomum</t>
        </is>
      </c>
      <c r="D2867" s="13"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2867" s="13" t="inlineStr">
        <is>
          <t>{4}{U}</t>
        </is>
      </c>
      <c r="F2867" s="13" t="inlineStr">
        <is>
          <t>Azul</t>
        </is>
      </c>
      <c r="G2867" s="8" t="n">
        <v>0.04</v>
      </c>
      <c r="H2867" s="13" t="inlineStr">
        <is>
          <t>Modern Horizons 2 (MH2)</t>
        </is>
      </c>
      <c r="I2867" s="13" t="inlineStr">
        <is>
          <t>Não</t>
        </is>
      </c>
      <c r="J2867" s="13" t="n">
        <v>2021</v>
      </c>
      <c r="K2867" s="10" t="n">
        <v>46024</v>
      </c>
      <c r="L2867" s="13" t="n">
        <v>1</v>
      </c>
      <c r="M2867" s="8">
        <f>L2867*G2867</f>
        <v/>
      </c>
      <c r="P2867" s="9" t="n"/>
    </row>
    <row r="2868">
      <c r="A2868" s="13" t="inlineStr">
        <is>
          <t>Spectacular Skywhale / Baleia Celestial Espetacular</t>
        </is>
      </c>
      <c r="B2868" s="13" t="inlineStr">
        <is>
          <t>Criatura — Baleia Elemental</t>
        </is>
      </c>
      <c r="C2868" s="13" t="inlineStr">
        <is>
          <t>Incomum</t>
        </is>
      </c>
      <c r="D2868" s="13"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2868" s="13" t="inlineStr">
        <is>
          <t>2{U}{R}</t>
        </is>
      </c>
      <c r="F2868" s="13" t="inlineStr">
        <is>
          <t>Multicolorido</t>
        </is>
      </c>
      <c r="G2868" s="8" t="n">
        <v>0.19</v>
      </c>
      <c r="H2868" s="13" t="inlineStr">
        <is>
          <t>Strixhaven: School of Mages (SOS)</t>
        </is>
      </c>
      <c r="I2868" s="13" t="inlineStr">
        <is>
          <t>Não</t>
        </is>
      </c>
      <c r="J2868" s="13" t="n">
        <v>2026</v>
      </c>
      <c r="K2868" s="10" t="n">
        <v>46113</v>
      </c>
      <c r="L2868" s="13" t="n">
        <v>1</v>
      </c>
      <c r="M2868" s="8">
        <f>L2868*G2868</f>
        <v/>
      </c>
      <c r="P2868" s="9" t="n"/>
    </row>
    <row r="2869">
      <c r="A2869" s="13" t="inlineStr">
        <is>
          <t>Spectral Snatcher</t>
        </is>
      </c>
      <c r="B2869" s="13" t="inlineStr">
        <is>
          <t>Creature — Spirit</t>
        </is>
      </c>
      <c r="C2869" s="13" t="inlineStr">
        <is>
          <t>Common / Comum</t>
        </is>
      </c>
      <c r="D2869" s="13"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2869" s="13" t="inlineStr">
        <is>
          <t>{4}{B}{B}</t>
        </is>
      </c>
      <c r="F2869" s="13" t="inlineStr">
        <is>
          <t>Preto</t>
        </is>
      </c>
      <c r="G2869" s="8" t="n">
        <v>0.17</v>
      </c>
      <c r="H2869" s="13" t="inlineStr">
        <is>
          <t>Duskmourn: House of Horror (DSK)</t>
        </is>
      </c>
      <c r="I2869" s="13" t="inlineStr">
        <is>
          <t>Sim</t>
        </is>
      </c>
      <c r="J2869" s="13" t="n">
        <v>2024</v>
      </c>
      <c r="K2869" s="10" t="n">
        <v>46148</v>
      </c>
      <c r="L2869" s="13" t="n">
        <v>3</v>
      </c>
      <c r="M2869" s="8">
        <f>L2869*G2869</f>
        <v/>
      </c>
      <c r="P2869" s="9" t="n"/>
    </row>
    <row r="2870">
      <c r="A2870" s="13" t="inlineStr">
        <is>
          <t>Spell Pierce / Perfurar Mágica</t>
        </is>
      </c>
      <c r="B2870" s="13" t="inlineStr">
        <is>
          <t>Instant / Mágica Instantânea</t>
        </is>
      </c>
      <c r="C2870" s="13" t="inlineStr">
        <is>
          <t>Common / Comum</t>
        </is>
      </c>
      <c r="D2870" s="13" t="inlineStr">
        <is>
          <t>Counter target noncreature spell unless its controller pays {2}. / Anule a mágica não de criatura alvo, a menos que seu controlador pague {2}.</t>
        </is>
      </c>
      <c r="E2870" s="13" t="inlineStr">
        <is>
          <t>{U}</t>
        </is>
      </c>
      <c r="F2870" s="13" t="inlineStr">
        <is>
          <t>Azul</t>
        </is>
      </c>
      <c r="G2870" s="8" t="n">
        <v>0.5</v>
      </c>
      <c r="H2870" s="13" t="inlineStr">
        <is>
          <t>Kamigawa: Neon Dynasty (NEO)</t>
        </is>
      </c>
      <c r="I2870" s="13" t="inlineStr">
        <is>
          <t>Não</t>
        </is>
      </c>
      <c r="J2870" s="13" t="n">
        <v>2022</v>
      </c>
      <c r="L2870" s="13" t="n">
        <v>2</v>
      </c>
      <c r="M2870" s="8">
        <f>L2870*G2870</f>
        <v/>
      </c>
      <c r="P2870" s="9" t="n"/>
    </row>
    <row r="2871">
      <c r="A2871" s="13" t="inlineStr">
        <is>
          <t>Spell Pierce / Perfurar Mágica</t>
        </is>
      </c>
      <c r="B2871" s="13" t="inlineStr">
        <is>
          <t>Instant / Mágica Instantânea</t>
        </is>
      </c>
      <c r="C2871" s="13" t="inlineStr">
        <is>
          <t>Rare / Rara</t>
        </is>
      </c>
      <c r="D2871" s="13" t="inlineStr">
        <is>
          <t>Counter target noncreature spell unless its controller pays {2}. / Anule a mágica não de criatura alvo, a menos que seu controlador pague {2}.</t>
        </is>
      </c>
      <c r="E2871" s="13" t="inlineStr">
        <is>
          <t>{U}</t>
        </is>
      </c>
      <c r="F2871" s="13" t="inlineStr">
        <is>
          <t>Azul</t>
        </is>
      </c>
      <c r="G2871" s="8" t="n">
        <v>1.8</v>
      </c>
      <c r="H2871" s="13" t="inlineStr">
        <is>
          <t>Store Championships (SCH)</t>
        </is>
      </c>
      <c r="I2871" s="13" t="inlineStr">
        <is>
          <t>Não</t>
        </is>
      </c>
      <c r="J2871" s="13" t="n">
        <v>2022</v>
      </c>
      <c r="L2871" s="13" t="n">
        <v>1</v>
      </c>
      <c r="M2871" s="8" t="n"/>
      <c r="P2871" s="9" t="n"/>
    </row>
    <row r="2872">
      <c r="A2872" s="13" t="inlineStr">
        <is>
          <t>Spellbook Seeker / Buscador de Grimórios</t>
        </is>
      </c>
      <c r="B2872" s="13" t="inlineStr">
        <is>
          <t>Creature — Bird Wizard / Criatura — Ave Mago</t>
        </is>
      </c>
      <c r="C2872" s="13" t="inlineStr">
        <is>
          <t>Common / Comum</t>
        </is>
      </c>
      <c r="D2872" s="13"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2872" s="13" t="inlineStr">
        <is>
          <t>{3}{U}</t>
        </is>
      </c>
      <c r="F2872" s="13" t="inlineStr">
        <is>
          <t>Azul</t>
        </is>
      </c>
      <c r="G2872" s="8" t="n">
        <v>0.06</v>
      </c>
      <c r="H2872" s="13" t="inlineStr">
        <is>
          <t>Shadows of Sothia (SOS)</t>
        </is>
      </c>
      <c r="I2872" s="13" t="inlineStr">
        <is>
          <t>No</t>
        </is>
      </c>
      <c r="J2872" s="13" t="n">
        <v>2026</v>
      </c>
      <c r="K2872" s="10" t="n">
        <v>46084</v>
      </c>
      <c r="L2872" s="13" t="n">
        <v>1</v>
      </c>
      <c r="M2872" s="8">
        <f>L2872*G2872</f>
        <v/>
      </c>
      <c r="P2872" s="9" t="n"/>
    </row>
    <row r="2873">
      <c r="A2873" s="13" t="inlineStr">
        <is>
          <t>Spellskite / Pique do Trovador Mágico</t>
        </is>
      </c>
      <c r="B2873" s="13" t="inlineStr">
        <is>
          <t>Artifact — Equipment / Artefato — Equipamento</t>
        </is>
      </c>
      <c r="C2873" s="13" t="inlineStr">
        <is>
          <t>Rare / Rara</t>
        </is>
      </c>
      <c r="D2873" s="13" t="inlineStr">
        <is>
          <t>Equipped creature has first strike and gets +X/+0, where X is the number of instant and sorcery cards in your graveyard. Equip {2}</t>
        </is>
      </c>
      <c r="E2873" s="13" t="inlineStr">
        <is>
          <t>{2}</t>
        </is>
      </c>
      <c r="F2873" s="13" t="inlineStr">
        <is>
          <t>Incolor</t>
        </is>
      </c>
      <c r="G2873" s="8" t="n">
        <v>0.5</v>
      </c>
      <c r="H2873" s="13" t="inlineStr">
        <is>
          <t>Innistrad (ISD)</t>
        </is>
      </c>
      <c r="I2873" s="13" t="inlineStr">
        <is>
          <t>No</t>
        </is>
      </c>
      <c r="J2873" s="13" t="n">
        <v>2011</v>
      </c>
      <c r="L2873" s="13" t="n">
        <v>1</v>
      </c>
      <c r="M2873" s="8">
        <f>L2873*G2873</f>
        <v/>
      </c>
      <c r="P2873" s="9" t="n"/>
    </row>
    <row r="2874">
      <c r="A2874" s="13" t="inlineStr">
        <is>
          <t>Sphinx of Uthuun / Esfinge de Uthuun</t>
        </is>
      </c>
      <c r="B2874" s="13" t="inlineStr">
        <is>
          <t>Criatura — Esfinge</t>
        </is>
      </c>
      <c r="C2874" s="13" t="inlineStr">
        <is>
          <t>Rara</t>
        </is>
      </c>
      <c r="D2874" s="13" t="inlineStr">
        <is>
          <t>Voar. Quando Esfinge de Uthuun entra no campo de batalha, revele os cinco cards do topo de seu grimório. Um oponente separa aqueles cards em dois montes. Coloque um monte em sua mão e o outro em seu cemitério.</t>
        </is>
      </c>
      <c r="E2874" s="13" t="inlineStr">
        <is>
          <t>5UU</t>
        </is>
      </c>
      <c r="F2874" s="13" t="inlineStr">
        <is>
          <t>Azul</t>
        </is>
      </c>
      <c r="G2874" s="8" t="n">
        <v>0.24</v>
      </c>
      <c r="H2874" s="13" t="inlineStr">
        <is>
          <t>Duel Decks: Speed vs. Cunning</t>
        </is>
      </c>
      <c r="I2874" s="13" t="inlineStr">
        <is>
          <t>Não</t>
        </is>
      </c>
      <c r="J2874" s="13" t="n">
        <v>2014</v>
      </c>
      <c r="K2874" s="10" t="n">
        <v>46178</v>
      </c>
      <c r="L2874" s="13" t="n">
        <v>1</v>
      </c>
      <c r="M2874" s="8">
        <f>L2874*G2874</f>
        <v/>
      </c>
      <c r="P2874" s="9" t="n"/>
    </row>
    <row r="2875">
      <c r="A2875" s="13" t="inlineStr">
        <is>
          <t>Spicy Oatmeal Pizza</t>
        </is>
      </c>
      <c r="B2875" s="13" t="inlineStr">
        <is>
          <t>Artifact — Food</t>
        </is>
      </c>
      <c r="C2875" s="13" t="inlineStr">
        <is>
          <t>Uncommon / Incomum</t>
        </is>
      </c>
      <c r="D2875" s="13" t="inlineStr">
        <is>
          <t>When this artifact enters, it deals 4 damage to any target and 3 damage to you. {2}, {T}, Sacrifice this artifact: You gain 3 life.</t>
        </is>
      </c>
      <c r="E2875" s="13" t="inlineStr">
        <is>
          <t>{2}{R}</t>
        </is>
      </c>
      <c r="F2875" s="13" t="inlineStr">
        <is>
          <t>Vermelho</t>
        </is>
      </c>
      <c r="G2875" s="8" t="n">
        <v>0.12</v>
      </c>
      <c r="H2875" s="13" t="inlineStr">
        <is>
          <t>Teenage Mutant Ninja Turtles (TMT)</t>
        </is>
      </c>
      <c r="I2875" s="13" t="inlineStr">
        <is>
          <t>Não</t>
        </is>
      </c>
      <c r="J2875" s="13" t="n">
        <v>2026</v>
      </c>
      <c r="L2875" s="13" t="n">
        <v>2</v>
      </c>
      <c r="M2875" s="8">
        <f>L2875*G2875</f>
        <v/>
      </c>
      <c r="P2875" s="9" t="n"/>
    </row>
    <row r="2876">
      <c r="A2876" s="13" t="inlineStr">
        <is>
          <t>Spider Umbra / Sombra de Aranha</t>
        </is>
      </c>
      <c r="B2876" s="13" t="inlineStr">
        <is>
          <t>Enchantment — Aura / Encantamento — Aura</t>
        </is>
      </c>
      <c r="C2876" s="13" t="inlineStr">
        <is>
          <t>Common / Comum</t>
        </is>
      </c>
      <c r="D2876" s="13"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2876" s="13" t="inlineStr">
        <is>
          <t>{G}</t>
        </is>
      </c>
      <c r="F2876" s="13" t="inlineStr">
        <is>
          <t>Verde</t>
        </is>
      </c>
      <c r="G2876" s="8" t="n">
        <v>0.6</v>
      </c>
      <c r="H2876" s="13" t="inlineStr">
        <is>
          <t>Rise of the Eldrazi (ROE)</t>
        </is>
      </c>
      <c r="I2876" s="13" t="inlineStr">
        <is>
          <t>Não</t>
        </is>
      </c>
      <c r="J2876" s="13" t="n">
        <v>2010</v>
      </c>
      <c r="L2876" s="13" t="n">
        <v>2</v>
      </c>
      <c r="M2876" s="8">
        <f>L2876*G2876</f>
        <v/>
      </c>
      <c r="P2876" s="9" t="n"/>
    </row>
    <row r="2877">
      <c r="A2877" s="13" t="inlineStr">
        <is>
          <t>Spider-Bot / Aranha-Robô</t>
        </is>
      </c>
      <c r="B2877" s="13" t="inlineStr">
        <is>
          <t>Criatura Artefato — Aranha Robô Olheiro</t>
        </is>
      </c>
      <c r="C2877" s="13" t="inlineStr">
        <is>
          <t>Comum</t>
        </is>
      </c>
      <c r="D2877" s="13" t="inlineStr">
        <is>
          <t>Alcance. Quando esta criatura entrar, você poderá procurar em seu grimório por um card de terreno básico, revelá-lo, depois embaralhar e colocar aquele card no topo.</t>
        </is>
      </c>
      <c r="E2877" s="13" t="inlineStr">
        <is>
          <t>{2}</t>
        </is>
      </c>
      <c r="F2877" s="13" t="inlineStr">
        <is>
          <t>Incolor</t>
        </is>
      </c>
      <c r="G2877" s="8" t="n">
        <v>0.1</v>
      </c>
      <c r="H2877" s="13" t="inlineStr">
        <is>
          <t>Marvel: Spider-Man (SPM)</t>
        </is>
      </c>
      <c r="I2877" s="13" t="inlineStr">
        <is>
          <t>Não</t>
        </is>
      </c>
      <c r="J2877" s="13" t="n">
        <v>2025</v>
      </c>
      <c r="K2877" s="10" t="n">
        <v>46024</v>
      </c>
      <c r="L2877" s="13" t="n">
        <v>1</v>
      </c>
      <c r="M2877" s="8">
        <f>L2877*G2877</f>
        <v/>
      </c>
      <c r="P2877" s="9" t="n"/>
    </row>
    <row r="2878">
      <c r="A2878" s="13" t="inlineStr">
        <is>
          <t>Spider-Gwen, Free Spirit / Spider-Gwen, Espírito Livre</t>
        </is>
      </c>
      <c r="B2878" s="13" t="inlineStr">
        <is>
          <t>Criatura Lendária — Aranha Humano Herói</t>
        </is>
      </c>
      <c r="C2878" s="13" t="inlineStr">
        <is>
          <t>Comum</t>
        </is>
      </c>
      <c r="D2878" s="13" t="inlineStr">
        <is>
          <t>Alcance. Sempre que Spider-Gwen tornar-se virada, você pode descartar um card. Se fizer isso, compre um card.</t>
        </is>
      </c>
      <c r="E2878" s="13" t="inlineStr">
        <is>
          <t>2{R}</t>
        </is>
      </c>
      <c r="F2878" s="13" t="inlineStr">
        <is>
          <t>Vermelho</t>
        </is>
      </c>
      <c r="G2878" s="8" t="n">
        <v>0.15</v>
      </c>
      <c r="H2878" s="13" t="inlineStr">
        <is>
          <t>Marvel: Spider-Man (SPM)</t>
        </is>
      </c>
      <c r="I2878" s="13" t="inlineStr">
        <is>
          <t>Não</t>
        </is>
      </c>
      <c r="J2878" s="13" t="n">
        <v>2025</v>
      </c>
      <c r="K2878" s="10" t="n">
        <v>46083</v>
      </c>
      <c r="L2878" s="13" t="n">
        <v>5</v>
      </c>
      <c r="M2878" s="8">
        <f>L2878*G2878</f>
        <v/>
      </c>
      <c r="P2878" s="9" t="n"/>
    </row>
    <row r="2879">
      <c r="A2879" s="13" t="inlineStr">
        <is>
          <t>Spider-Man, Web-Slinger / Homem-Aranha, Lançador de Teias</t>
        </is>
      </c>
      <c r="B2879" s="13" t="inlineStr">
        <is>
          <t>Criatura Lendária — Aranha Humano Herói</t>
        </is>
      </c>
      <c r="C2879" s="13" t="inlineStr">
        <is>
          <t>Comum</t>
        </is>
      </c>
      <c r="D2879" s="13" t="inlineStr">
        <is>
          <t>Lançamento de Teia {W} (Você pode conjurar esta mágica por {W} se você também devolver uma criatura virada que você controla para a mão de seu dono.)</t>
        </is>
      </c>
      <c r="E2879" s="13" t="inlineStr">
        <is>
          <t>2{W}</t>
        </is>
      </c>
      <c r="F2879" s="13" t="inlineStr">
        <is>
          <t>Branco</t>
        </is>
      </c>
      <c r="G2879" s="8" t="n">
        <v>0.25</v>
      </c>
      <c r="H2879" s="13" t="inlineStr">
        <is>
          <t>Marvel</t>
        </is>
      </c>
      <c r="I2879" s="13" t="inlineStr">
        <is>
          <t>Não</t>
        </is>
      </c>
      <c r="J2879" s="13" t="n">
        <v>2025</v>
      </c>
      <c r="K2879" s="10" t="n">
        <v>46084</v>
      </c>
      <c r="L2879" s="13" t="n">
        <v>3</v>
      </c>
      <c r="M2879" s="8">
        <f>L2879*G2879</f>
        <v/>
      </c>
      <c r="P2879" s="9" t="n"/>
    </row>
    <row r="2880">
      <c r="A2880" s="13" t="inlineStr">
        <is>
          <t>Spiked Pit Trap / Armadilha do Poço com Estacas</t>
        </is>
      </c>
      <c r="B2880" s="13" t="inlineStr">
        <is>
          <t>Artifact / Artefato</t>
        </is>
      </c>
      <c r="C2880" s="13" t="inlineStr">
        <is>
          <t>Common / Comum</t>
        </is>
      </c>
      <c r="D2880" s="13"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880" s="13" t="inlineStr">
        <is>
          <t>{1}</t>
        </is>
      </c>
      <c r="F2880" s="13" t="inlineStr">
        <is>
          <t>Incolor</t>
        </is>
      </c>
      <c r="G2880" s="8" t="n">
        <v>0.06</v>
      </c>
      <c r="H2880" s="13" t="inlineStr">
        <is>
          <t>Adventures in the Forgotten Realms (AFR)</t>
        </is>
      </c>
      <c r="I2880" s="13" t="inlineStr">
        <is>
          <t>Não</t>
        </is>
      </c>
      <c r="J2880" s="13" t="n">
        <v>2021</v>
      </c>
      <c r="L2880" s="13" t="n">
        <v>1</v>
      </c>
      <c r="M2880" s="8">
        <f>L2880*G2880</f>
        <v/>
      </c>
      <c r="N2880" s="13" t="inlineStr">
        <is>
          <t>Bulk Shopee</t>
        </is>
      </c>
      <c r="P2880" s="9" t="n"/>
    </row>
    <row r="2881">
      <c r="A2881" s="13" t="inlineStr">
        <is>
          <t>Spikeshot Goblin / Goblin Atira-Ferrões</t>
        </is>
      </c>
      <c r="B2881" s="13" t="inlineStr">
        <is>
          <t>Creature — Goblin Shaman / Criatura — Xamã Goblin</t>
        </is>
      </c>
      <c r="C2881" s="13" t="inlineStr">
        <is>
          <t>Common / Comum</t>
        </is>
      </c>
      <c r="D2881" s="13" t="inlineStr">
        <is>
          <t>{R}, {T}: This creature deals damage equal to its power to any target. / {R}, {T}: Goblin Atira-Ferrões causa uma quantidade de dano igual ao seu poder à criatura alvo ou ao jogador alvo.</t>
        </is>
      </c>
      <c r="E2881" s="13" t="inlineStr">
        <is>
          <t>{2}{R}</t>
        </is>
      </c>
      <c r="F2881" s="13" t="inlineStr">
        <is>
          <t>Vermelho</t>
        </is>
      </c>
      <c r="G2881" s="8" t="n">
        <v>0.05</v>
      </c>
      <c r="H2881" s="13" t="inlineStr">
        <is>
          <t>Mirrodin (MRD)</t>
        </is>
      </c>
      <c r="I2881" s="13" t="inlineStr">
        <is>
          <t>Não</t>
        </is>
      </c>
      <c r="J2881" s="13" t="n">
        <v>2003</v>
      </c>
      <c r="K2881" s="10" t="n">
        <v>46054</v>
      </c>
      <c r="L2881" s="13" t="n">
        <v>1</v>
      </c>
      <c r="M2881" s="8">
        <f>L2881*G2881</f>
        <v/>
      </c>
      <c r="P2881" s="9" t="n"/>
    </row>
    <row r="2882">
      <c r="A2882" s="13" t="inlineStr">
        <is>
          <t>Spin Out</t>
        </is>
      </c>
      <c r="B2882" s="13" t="inlineStr">
        <is>
          <t>Instant</t>
        </is>
      </c>
      <c r="C2882" s="13" t="inlineStr">
        <is>
          <t>Common / Comum</t>
        </is>
      </c>
      <c r="D2882" s="13" t="inlineStr">
        <is>
          <t>Destroy target creature or Vehicle.</t>
        </is>
      </c>
      <c r="E2882" s="13" t="inlineStr">
        <is>
          <t>{1}{B}{B}</t>
        </is>
      </c>
      <c r="F2882" s="13" t="inlineStr">
        <is>
          <t>Preto</t>
        </is>
      </c>
      <c r="G2882" s="8" t="n">
        <v>0.1</v>
      </c>
      <c r="H2882" s="13" t="inlineStr">
        <is>
          <t>Aetherdrift (DFT)</t>
        </is>
      </c>
      <c r="I2882" s="13" t="inlineStr">
        <is>
          <t>Não</t>
        </is>
      </c>
      <c r="J2882" s="13" t="n">
        <v>2025</v>
      </c>
      <c r="L2882" s="13" t="n">
        <v>2</v>
      </c>
      <c r="M2882" s="8">
        <f>L2882*G2882</f>
        <v/>
      </c>
      <c r="P2882" s="9" t="n"/>
    </row>
    <row r="2883">
      <c r="A2883" s="13" t="inlineStr">
        <is>
          <t>Spire Golem</t>
        </is>
      </c>
      <c r="B2883" s="13" t="inlineStr">
        <is>
          <t>Artifact Creature — Golem</t>
        </is>
      </c>
      <c r="C2883" s="13" t="inlineStr">
        <is>
          <t>Comum</t>
        </is>
      </c>
      <c r="D2883" s="13" t="inlineStr">
        <is>
          <t>Affinity for Islands (This spell costs 1 less to play for each Island you control.) Flying</t>
        </is>
      </c>
      <c r="E2883" s="13" t="inlineStr">
        <is>
          <t>{6}</t>
        </is>
      </c>
      <c r="F2883" s="13" t="inlineStr">
        <is>
          <t>Incolor</t>
        </is>
      </c>
      <c r="G2883" s="8" t="n">
        <v>0.1</v>
      </c>
      <c r="H2883" s="13" t="inlineStr">
        <is>
          <t>Fifth Dawn (5DN)</t>
        </is>
      </c>
      <c r="I2883" s="13" t="inlineStr">
        <is>
          <t>Não</t>
        </is>
      </c>
      <c r="J2883" s="13" t="n">
        <v>2004</v>
      </c>
      <c r="K2883" s="10" t="n">
        <v>46114</v>
      </c>
      <c r="L2883" s="13" t="n">
        <v>2</v>
      </c>
      <c r="M2883" s="8">
        <f>L2883*G2883</f>
        <v/>
      </c>
      <c r="P2883" s="9" t="n"/>
    </row>
    <row r="2884">
      <c r="A2884" s="13" t="inlineStr">
        <is>
          <t>Spire Mangler / Desmembrador da Torre</t>
        </is>
      </c>
      <c r="B2884" s="13" t="inlineStr">
        <is>
          <t>Creature — Insect / Criatura — Inseto</t>
        </is>
      </c>
      <c r="C2884" s="13" t="inlineStr">
        <is>
          <t>Uncommon / Incomum</t>
        </is>
      </c>
      <c r="D2884" s="13" t="inlineStr">
        <is>
          <t>Flash Flying When this creature enters, target creature you control with flying gets +2/+0 until end of turn. / Lampejo Voar Quando Desmembrador da Torre entra no campo de batalha, a criatura alvo que você controla com voar recebe +2/+0 até o final do turno.</t>
        </is>
      </c>
      <c r="E2884" s="13" t="inlineStr">
        <is>
          <t>{2}{B}</t>
        </is>
      </c>
      <c r="F2884" s="13" t="inlineStr">
        <is>
          <t>Preto</t>
        </is>
      </c>
      <c r="G2884" s="8" t="n">
        <v>0.03</v>
      </c>
      <c r="H2884" s="13" t="inlineStr">
        <is>
          <t>Ravnica Allegiance (RNA)</t>
        </is>
      </c>
      <c r="I2884" s="13" t="inlineStr">
        <is>
          <t>Não</t>
        </is>
      </c>
      <c r="J2884" s="13" t="n">
        <v>2019</v>
      </c>
      <c r="K2884" s="10" t="n">
        <v>46024</v>
      </c>
      <c r="L2884" s="13" t="n">
        <v>1</v>
      </c>
      <c r="M2884" s="8">
        <f>L2884*G2884</f>
        <v/>
      </c>
      <c r="N2884" s="13" t="inlineStr">
        <is>
          <t>Bulk Shopee</t>
        </is>
      </c>
      <c r="P2884" s="9" t="n"/>
    </row>
    <row r="2885">
      <c r="A2885" s="13" t="inlineStr">
        <is>
          <t>Spire Serpent / Serpente Pontiaguda</t>
        </is>
      </c>
      <c r="B2885" s="13" t="inlineStr">
        <is>
          <t>Creature — Serpent / Criatura — Serpente</t>
        </is>
      </c>
      <c r="C2885" s="13" t="inlineStr">
        <is>
          <t>Common / Comum</t>
        </is>
      </c>
      <c r="D2885" s="13"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2885" s="13" t="inlineStr">
        <is>
          <t>{4}{U}</t>
        </is>
      </c>
      <c r="F2885" s="13" t="inlineStr">
        <is>
          <t>Azul</t>
        </is>
      </c>
      <c r="G2885" s="8" t="n">
        <v>0.05</v>
      </c>
      <c r="H2885" s="13" t="inlineStr">
        <is>
          <t>Mirrodin Besieged (MBS)</t>
        </is>
      </c>
      <c r="I2885" s="13" t="inlineStr">
        <is>
          <t>Não</t>
        </is>
      </c>
      <c r="J2885" s="13" t="n">
        <v>2011</v>
      </c>
      <c r="K2885" s="10" t="n">
        <v>46145</v>
      </c>
      <c r="L2885" s="13" t="n">
        <v>1</v>
      </c>
      <c r="M2885" s="8">
        <f>L2885*G2885</f>
        <v/>
      </c>
      <c r="P2885" s="9" t="n"/>
    </row>
    <row r="2886">
      <c r="A2886" s="13" t="inlineStr">
        <is>
          <t>Spirit of the Aldergard / Espírito de Aldergard</t>
        </is>
      </c>
      <c r="B2886" s="13" t="inlineStr">
        <is>
          <t>Snow Creature — Bear Spirit / Criatura da Neve — Urso Espírito</t>
        </is>
      </c>
      <c r="C2886" s="13" t="inlineStr">
        <is>
          <t>Uncommon / Incomum</t>
        </is>
      </c>
      <c r="D2886" s="13"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2886" s="13" t="inlineStr">
        <is>
          <t>{3}{G}</t>
        </is>
      </c>
      <c r="F2886" s="13" t="inlineStr">
        <is>
          <t>Verde</t>
        </is>
      </c>
      <c r="G2886" s="8" t="n">
        <v>0.09</v>
      </c>
      <c r="H2886" s="13" t="inlineStr">
        <is>
          <t>Kaldheim (KHM)</t>
        </is>
      </c>
      <c r="I2886" s="13" t="inlineStr">
        <is>
          <t>Não</t>
        </is>
      </c>
      <c r="J2886" s="13" t="n">
        <v>2021</v>
      </c>
      <c r="K2886" s="13" t="inlineStr">
        <is>
          <t>0/4</t>
        </is>
      </c>
      <c r="L2886" s="13" t="n">
        <v>2</v>
      </c>
      <c r="M2886" s="8">
        <f>L2886*G2886</f>
        <v/>
      </c>
      <c r="P2886" s="9" t="n"/>
    </row>
    <row r="2887">
      <c r="A2887" s="13" t="inlineStr">
        <is>
          <t>Spirit of the Hunt / Espírito da Caça</t>
        </is>
      </c>
      <c r="B2887" s="13" t="inlineStr">
        <is>
          <t>Creature — Wolf Spirit / Criatura — Lobo Espírito</t>
        </is>
      </c>
      <c r="C2887" s="13" t="inlineStr">
        <is>
          <t>Rare / Rara</t>
        </is>
      </c>
      <c r="D2887" s="13"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2887" s="13" t="inlineStr">
        <is>
          <t>{1}{G}{G}</t>
        </is>
      </c>
      <c r="F2887" s="13" t="inlineStr">
        <is>
          <t>Verde</t>
        </is>
      </c>
      <c r="G2887" s="8" t="n">
        <v>0.2</v>
      </c>
      <c r="H2887" s="13" t="inlineStr">
        <is>
          <t>Eldritch Moon (EMN)</t>
        </is>
      </c>
      <c r="I2887" s="13" t="inlineStr">
        <is>
          <t>Não</t>
        </is>
      </c>
      <c r="J2887" s="13" t="n">
        <v>2016</v>
      </c>
      <c r="K2887" s="10" t="n">
        <v>46084</v>
      </c>
      <c r="L2887" s="13" t="n">
        <v>1</v>
      </c>
      <c r="M2887" s="8">
        <f>L2887*G2887</f>
        <v/>
      </c>
      <c r="P2887" s="9" t="n"/>
    </row>
    <row r="2888">
      <c r="A2888" s="13" t="inlineStr">
        <is>
          <t>Spirit Shackle / Grilhões do Espírito</t>
        </is>
      </c>
      <c r="B2888" s="13" t="inlineStr">
        <is>
          <t>Enchantment — Aura</t>
        </is>
      </c>
      <c r="C2888" s="13" t="inlineStr">
        <is>
          <t>Common / Comum</t>
        </is>
      </c>
      <c r="D2888" s="13" t="inlineStr">
        <is>
          <t>Enchant creature Whenever enchanted creature becomes tapped, put a -0/-2 counter on it.</t>
        </is>
      </c>
      <c r="E2888" s="13" t="inlineStr">
        <is>
          <t>{B}{B}</t>
        </is>
      </c>
      <c r="F2888" s="13" t="inlineStr">
        <is>
          <t>Preto</t>
        </is>
      </c>
      <c r="G2888" s="8" t="n">
        <v>0.09</v>
      </c>
      <c r="H2888" s="13" t="inlineStr">
        <is>
          <t>Quarta Edição</t>
        </is>
      </c>
      <c r="I2888" s="13" t="inlineStr">
        <is>
          <t>Não</t>
        </is>
      </c>
      <c r="J2888" s="13" t="n">
        <v>1995</v>
      </c>
      <c r="L2888" s="13" t="n">
        <v>2</v>
      </c>
      <c r="M2888" s="8">
        <f>L2888*G2888</f>
        <v/>
      </c>
      <c r="P2888" s="9" t="n"/>
    </row>
    <row r="2889">
      <c r="A2889" s="13" t="inlineStr">
        <is>
          <t>Spirit Shackle / Grilhões do Espírito</t>
        </is>
      </c>
      <c r="B2889" s="13" t="inlineStr">
        <is>
          <t>Enchantment — Aura</t>
        </is>
      </c>
      <c r="C2889" s="13" t="inlineStr">
        <is>
          <t>Common / Comum</t>
        </is>
      </c>
      <c r="D2889" s="13" t="inlineStr">
        <is>
          <t>Enchant creature Whenever enchanted creature becomes tapped, put a -0/-2 counter on it.</t>
        </is>
      </c>
      <c r="E2889" s="13" t="inlineStr">
        <is>
          <t>{B}{B}</t>
        </is>
      </c>
      <c r="F2889" s="13" t="inlineStr">
        <is>
          <t>Preto</t>
        </is>
      </c>
      <c r="G2889" s="8" t="n">
        <v>0.21</v>
      </c>
      <c r="H2889" s="13" t="inlineStr">
        <is>
          <t>Quarta Edição (BB)</t>
        </is>
      </c>
      <c r="I2889" s="13" t="inlineStr">
        <is>
          <t>Não</t>
        </is>
      </c>
      <c r="J2889" s="13" t="n">
        <v>1995</v>
      </c>
      <c r="L2889" s="13" t="n">
        <v>3</v>
      </c>
      <c r="M2889" s="8">
        <f>L2889*G2889</f>
        <v/>
      </c>
      <c r="P2889" s="9" t="n"/>
    </row>
    <row r="2890">
      <c r="A2890" s="13" t="inlineStr">
        <is>
          <t>Spitebellows / Bocarras Hostis</t>
        </is>
      </c>
      <c r="B2890" s="13" t="inlineStr">
        <is>
          <t>Creature — Elemental / Criatura — Elemental</t>
        </is>
      </c>
      <c r="C2890" s="13" t="inlineStr">
        <is>
          <t>Common / Comum</t>
        </is>
      </c>
      <c r="D2890" s="13"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2890" s="13" t="inlineStr">
        <is>
          <t>{5}{R}</t>
        </is>
      </c>
      <c r="F2890" s="13" t="inlineStr">
        <is>
          <t>Vermelho</t>
        </is>
      </c>
      <c r="G2890" s="8" t="n">
        <v>0.4</v>
      </c>
      <c r="H2890" s="13" t="inlineStr">
        <is>
          <t>Commander Masters (CMM)</t>
        </is>
      </c>
      <c r="I2890" s="13" t="inlineStr">
        <is>
          <t>Sim</t>
        </is>
      </c>
      <c r="J2890" s="13" t="n">
        <v>2023</v>
      </c>
      <c r="K2890" s="10" t="n">
        <v>46028</v>
      </c>
      <c r="L2890" s="13" t="n">
        <v>1</v>
      </c>
      <c r="M2890" s="8">
        <f>L2890*G2890</f>
        <v/>
      </c>
      <c r="P2890" s="9" t="n"/>
    </row>
    <row r="2891">
      <c r="A2891" s="13" t="inlineStr">
        <is>
          <t>Spiteflame Witch / Bruxa da Chama Maliciosa</t>
        </is>
      </c>
      <c r="B2891" s="13" t="inlineStr">
        <is>
          <t>Creature — Elemental Shaman / Criatura — Elemental Xamã</t>
        </is>
      </c>
      <c r="C2891" s="13" t="inlineStr">
        <is>
          <t>Uncommon / Incomum</t>
        </is>
      </c>
      <c r="D2891" s="13" t="inlineStr">
        <is>
          <t>{B}{R}: Each player loses 1 life. / {B}{R}: Cada jogador perde 1 ponto de vida.</t>
        </is>
      </c>
      <c r="E2891" s="13" t="inlineStr">
        <is>
          <t>{1}{B/R}</t>
        </is>
      </c>
      <c r="F2891" s="13" t="inlineStr">
        <is>
          <t>Preto, Vermelho</t>
        </is>
      </c>
      <c r="G2891" s="8" t="n">
        <v>0.09</v>
      </c>
      <c r="H2891" s="13" t="inlineStr">
        <is>
          <t>Shadowmoor (SHM)</t>
        </is>
      </c>
      <c r="I2891" s="13" t="inlineStr">
        <is>
          <t>Não</t>
        </is>
      </c>
      <c r="J2891" s="13" t="n">
        <v>2008</v>
      </c>
      <c r="K2891" s="10" t="n">
        <v>46024</v>
      </c>
      <c r="L2891" s="13" t="n">
        <v>1</v>
      </c>
      <c r="M2891" s="8">
        <f>L2891*G2891</f>
        <v/>
      </c>
      <c r="P2891" s="9" t="n"/>
    </row>
    <row r="2892">
      <c r="A2892" s="13" t="inlineStr">
        <is>
          <t>Spiteful Blow / Golpe Malévolo</t>
        </is>
      </c>
      <c r="B2892" s="13" t="inlineStr">
        <is>
          <t>Sorcery / Feitiço</t>
        </is>
      </c>
      <c r="C2892" s="13" t="inlineStr">
        <is>
          <t>Uncommon / Incomum</t>
        </is>
      </c>
      <c r="D2892" s="13" t="inlineStr">
        <is>
          <t>Destroy target creature and target land. / Destrua a criatura alvo e o terreno alvo.</t>
        </is>
      </c>
      <c r="E2892" s="13" t="inlineStr">
        <is>
          <t>{4}{B}{B}</t>
        </is>
      </c>
      <c r="F2892" s="13" t="inlineStr">
        <is>
          <t>Preto</t>
        </is>
      </c>
      <c r="G2892" s="8" t="n">
        <v>0.05</v>
      </c>
      <c r="H2892" s="13" t="inlineStr">
        <is>
          <t>Journey into Nyx (JOU)</t>
        </is>
      </c>
      <c r="I2892" s="13" t="inlineStr">
        <is>
          <t>Não</t>
        </is>
      </c>
      <c r="J2892" s="13" t="n">
        <v>2014</v>
      </c>
      <c r="L2892" s="13" t="n">
        <v>2</v>
      </c>
      <c r="M2892" s="8">
        <f>L2892*G2892</f>
        <v/>
      </c>
      <c r="P2892" s="9" t="n"/>
    </row>
    <row r="2893">
      <c r="A2893" s="13" t="inlineStr">
        <is>
          <t>Spiteful Squad / Esquadrão Malévolo</t>
        </is>
      </c>
      <c r="B2893" s="13" t="inlineStr">
        <is>
          <t>Creature — Human Warlock / Criatura — Humano Bruxo</t>
        </is>
      </c>
      <c r="C2893" s="13" t="inlineStr">
        <is>
          <t>Common / Comum</t>
        </is>
      </c>
      <c r="D2893" s="13"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2893" s="13" t="inlineStr">
        <is>
          <t>{2}{W}{B}</t>
        </is>
      </c>
      <c r="F2893" s="13" t="inlineStr">
        <is>
          <t>Preto, Branco</t>
        </is>
      </c>
      <c r="G2893" s="8" t="n">
        <v>0.05</v>
      </c>
      <c r="H2893" s="13" t="inlineStr">
        <is>
          <t>Strixhaven: School of Mages (STX)</t>
        </is>
      </c>
      <c r="I2893" s="13" t="inlineStr">
        <is>
          <t>Não</t>
        </is>
      </c>
      <c r="J2893" s="13" t="n">
        <v>2021</v>
      </c>
      <c r="K2893" s="13" t="inlineStr">
        <is>
          <t>0/0</t>
        </is>
      </c>
      <c r="L2893" s="13" t="n">
        <v>2</v>
      </c>
      <c r="M2893" s="8">
        <f>L2893*G2893</f>
        <v/>
      </c>
      <c r="P2893" s="9" t="n"/>
    </row>
    <row r="2894">
      <c r="A2894" s="13" t="inlineStr">
        <is>
          <t>Spitfire Handler / Manuseador de Cospe-Fogos</t>
        </is>
      </c>
      <c r="B2894" s="13" t="inlineStr">
        <is>
          <t>Creature — Goblin / Criatura — Goblin</t>
        </is>
      </c>
      <c r="C2894" s="13" t="inlineStr">
        <is>
          <t>Uncommon / Incomum</t>
        </is>
      </c>
      <c r="D2894" s="13"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894" s="13" t="inlineStr">
        <is>
          <t>{1}{R}</t>
        </is>
      </c>
      <c r="F2894" s="13" t="inlineStr">
        <is>
          <t>Vermelho</t>
        </is>
      </c>
      <c r="G2894" s="8" t="n">
        <v>0.18</v>
      </c>
      <c r="H2894" s="13" t="inlineStr">
        <is>
          <t>Onslaught (ONS)</t>
        </is>
      </c>
      <c r="I2894" s="13" t="inlineStr">
        <is>
          <t>Não</t>
        </is>
      </c>
      <c r="J2894" s="13" t="n">
        <v>2002</v>
      </c>
      <c r="K2894" s="10" t="n">
        <v>46023</v>
      </c>
      <c r="L2894" s="13" t="n">
        <v>1</v>
      </c>
      <c r="M2894" s="8">
        <f>L2894*G2894</f>
        <v/>
      </c>
      <c r="P2894" s="9" t="n"/>
    </row>
    <row r="2895">
      <c r="A2895" s="13" t="inlineStr">
        <is>
          <t>Spitfire Lagac / Lagac Cospe-fogo</t>
        </is>
      </c>
      <c r="B2895" s="13" t="inlineStr">
        <is>
          <t>Creature — Lizard / Criatura — Lagarto</t>
        </is>
      </c>
      <c r="C2895" s="13" t="inlineStr">
        <is>
          <t>Common / Comum</t>
        </is>
      </c>
      <c r="D2895" s="13" t="inlineStr">
        <is>
          <t>Landfall — Whenever a land you control enters, this creature deals 1 damage to each opponent. / Aterragem — Toda vez que um terreno entra no campo de batalha sob seu controle, Lagac Cospe-fogo causa 1 ponto de dano a cada oponente.</t>
        </is>
      </c>
      <c r="E2895" s="13" t="inlineStr">
        <is>
          <t>{3}{R}</t>
        </is>
      </c>
      <c r="F2895" s="13" t="inlineStr">
        <is>
          <t>Vermelho</t>
        </is>
      </c>
      <c r="G2895" s="8" t="n">
        <v>0.09</v>
      </c>
      <c r="H2895" s="13" t="inlineStr">
        <is>
          <t>Zendikar Rising (ZNR)</t>
        </is>
      </c>
      <c r="I2895" s="13" t="inlineStr">
        <is>
          <t>Não</t>
        </is>
      </c>
      <c r="J2895" s="13" t="n">
        <v>2020</v>
      </c>
      <c r="K2895" s="10" t="n">
        <v>46115</v>
      </c>
      <c r="L2895" s="13" t="n">
        <v>1</v>
      </c>
      <c r="M2895" s="8">
        <f>L2895*G2895</f>
        <v/>
      </c>
      <c r="P2895" s="9" t="n"/>
    </row>
    <row r="2896">
      <c r="A2896" s="13" t="inlineStr">
        <is>
          <t>Spitting Earth / Golfada de Terra</t>
        </is>
      </c>
      <c r="B2896" s="13" t="inlineStr">
        <is>
          <t>Sorcery / Feitiço</t>
        </is>
      </c>
      <c r="C2896" s="13" t="inlineStr">
        <is>
          <t>Common / Comum</t>
        </is>
      </c>
      <c r="D2896" s="13" t="inlineStr">
        <is>
          <t>Spitting Earth deals damage to target creature equal to the number of Mountains you control. / Golfada de Terra causa à criatura alvo uma quantidade de dano igual ao número de Montanhas que você controla.</t>
        </is>
      </c>
      <c r="E2896" s="13" t="inlineStr">
        <is>
          <t>{1}{R}</t>
        </is>
      </c>
      <c r="F2896" s="13" t="inlineStr">
        <is>
          <t>Vermelho</t>
        </is>
      </c>
      <c r="G2896" s="8" t="n">
        <v>0.05</v>
      </c>
      <c r="H2896" s="13" t="inlineStr">
        <is>
          <t>Mirage (MIR)</t>
        </is>
      </c>
      <c r="I2896" s="13" t="inlineStr">
        <is>
          <t>Não</t>
        </is>
      </c>
      <c r="J2896" s="13" t="n">
        <v>1996</v>
      </c>
      <c r="L2896" s="13" t="n">
        <v>1</v>
      </c>
      <c r="M2896" s="8">
        <f>L2896*G2896</f>
        <v/>
      </c>
      <c r="P2896" s="9" t="n"/>
    </row>
    <row r="2897">
      <c r="A2897" s="13" t="inlineStr">
        <is>
          <t>Splinterfright / Assombro Farpado</t>
        </is>
      </c>
      <c r="B2897" s="13" t="inlineStr">
        <is>
          <t>Creature — Elemental / Criatura — Elemental</t>
        </is>
      </c>
      <c r="C2897" s="13" t="inlineStr">
        <is>
          <t>Rare / Rara</t>
        </is>
      </c>
      <c r="D2897" s="13"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2897" s="13" t="inlineStr">
        <is>
          <t>{2}{G}</t>
        </is>
      </c>
      <c r="F2897" s="13" t="inlineStr">
        <is>
          <t>Verde</t>
        </is>
      </c>
      <c r="G2897" s="8" t="n">
        <v>0.35</v>
      </c>
      <c r="H2897" s="13" t="inlineStr">
        <is>
          <t>Innistrad (ISD)</t>
        </is>
      </c>
      <c r="I2897" s="13" t="inlineStr">
        <is>
          <t>Não</t>
        </is>
      </c>
      <c r="J2897" s="13" t="n">
        <v>2011</v>
      </c>
      <c r="K2897" s="13" t="inlineStr">
        <is>
          <t>*/*</t>
        </is>
      </c>
      <c r="L2897" s="13" t="n">
        <v>1</v>
      </c>
      <c r="M2897" s="8">
        <f>L2897*G2897</f>
        <v/>
      </c>
      <c r="P2897" s="9" t="n"/>
    </row>
    <row r="2898">
      <c r="A2898" s="13" t="inlineStr">
        <is>
          <t>Splitskin Doll</t>
        </is>
      </c>
      <c r="B2898" s="13" t="inlineStr">
        <is>
          <t>Artifact Creature — Toy</t>
        </is>
      </c>
      <c r="C2898" s="13" t="inlineStr">
        <is>
          <t>Uncommon / Incomum</t>
        </is>
      </c>
      <c r="D2898" s="13" t="inlineStr">
        <is>
          <t>When this creature enters, draw a card. Then discard a card unless you control another creature with power 2 or less.</t>
        </is>
      </c>
      <c r="E2898" s="13" t="inlineStr">
        <is>
          <t>{1}{W}</t>
        </is>
      </c>
      <c r="F2898" s="13" t="inlineStr">
        <is>
          <t>Branco</t>
        </is>
      </c>
      <c r="G2898" s="8" t="n">
        <v>0.15</v>
      </c>
      <c r="H2898" s="13" t="inlineStr">
        <is>
          <t>Duskmourn: House of Horror (DSK)</t>
        </is>
      </c>
      <c r="I2898" s="13" t="inlineStr">
        <is>
          <t>Não</t>
        </is>
      </c>
      <c r="J2898" s="13" t="n">
        <v>2024</v>
      </c>
      <c r="K2898" s="10" t="n">
        <v>46024</v>
      </c>
      <c r="L2898" s="13" t="n">
        <v>1</v>
      </c>
      <c r="M2898" s="8">
        <f>L2898*G2898</f>
        <v/>
      </c>
      <c r="P2898" s="9" t="n"/>
    </row>
    <row r="2899">
      <c r="A2899" s="13" t="inlineStr">
        <is>
          <t>Spontaneous Mutation / Mutação Espontânea</t>
        </is>
      </c>
      <c r="B2899" s="13" t="inlineStr">
        <is>
          <t>Enchantment — Aura / Encantamento — Aura</t>
        </is>
      </c>
      <c r="C2899" s="13" t="inlineStr">
        <is>
          <t>Common / Comum</t>
        </is>
      </c>
      <c r="D2899" s="13"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899" s="13" t="inlineStr">
        <is>
          <t>{U}</t>
        </is>
      </c>
      <c r="F2899" s="13" t="inlineStr">
        <is>
          <t>Azul</t>
        </is>
      </c>
      <c r="G2899" s="8" t="n">
        <v>0.04</v>
      </c>
      <c r="H2899" s="13" t="inlineStr">
        <is>
          <t>Commander Legends (CMR)</t>
        </is>
      </c>
      <c r="I2899" s="13" t="inlineStr">
        <is>
          <t>Não</t>
        </is>
      </c>
      <c r="J2899" s="13" t="n">
        <v>2020</v>
      </c>
      <c r="L2899" s="13" t="n">
        <v>1</v>
      </c>
      <c r="M2899" s="8">
        <f>L2899*G2899</f>
        <v/>
      </c>
      <c r="N2899" s="13" t="inlineStr">
        <is>
          <t>Bulk Shopee</t>
        </is>
      </c>
      <c r="P2899" s="9" t="n"/>
    </row>
    <row r="2900">
      <c r="A2900" s="13" t="inlineStr">
        <is>
          <t>Spore Crawler / Rastejante dos Esporos</t>
        </is>
      </c>
      <c r="B2900" s="13" t="inlineStr">
        <is>
          <t>Creature — Fungus / Criatura — Fungo</t>
        </is>
      </c>
      <c r="C2900" s="13" t="inlineStr">
        <is>
          <t>Common / Comum</t>
        </is>
      </c>
      <c r="D2900" s="13" t="inlineStr">
        <is>
          <t>When Spore Crawler dies, draw a card. / Quando Rastejante dos Esporos morrer, compre um card.</t>
        </is>
      </c>
      <c r="E2900" s="13" t="inlineStr">
        <is>
          <t>{2}{G}</t>
        </is>
      </c>
      <c r="F2900" s="13" t="inlineStr">
        <is>
          <t>Verde</t>
        </is>
      </c>
      <c r="G2900" s="8" t="n">
        <v>0.04</v>
      </c>
      <c r="H2900" s="13" t="inlineStr">
        <is>
          <t>Innistrad: Crimson Vow (VOW)</t>
        </is>
      </c>
      <c r="I2900" s="13" t="inlineStr">
        <is>
          <t>Não</t>
        </is>
      </c>
      <c r="J2900" s="13" t="n">
        <v>2021</v>
      </c>
      <c r="K2900" s="10" t="n">
        <v>46056</v>
      </c>
      <c r="L2900" s="13" t="n">
        <v>3</v>
      </c>
      <c r="M2900" s="8">
        <f>L2900*G2900</f>
        <v/>
      </c>
      <c r="P2900" s="9" t="n"/>
    </row>
    <row r="2901">
      <c r="A2901" s="13" t="inlineStr">
        <is>
          <t>Squad Rallier</t>
        </is>
      </c>
      <c r="B2901" s="13" t="inlineStr">
        <is>
          <t>Creature — Human Scout</t>
        </is>
      </c>
      <c r="C2901" s="13" t="inlineStr">
        <is>
          <t>Common / Comum</t>
        </is>
      </c>
      <c r="D2901" s="13" t="inlineStr">
        <is>
          <t>{2}{W}: Look at the top four cards of your library. You may reveal a creature card with power 2 or less from among them and put it into your hand. Put the rest on the bottom of your library in a random order.</t>
        </is>
      </c>
      <c r="E2901" s="13" t="inlineStr">
        <is>
          <t>{3}{W}</t>
        </is>
      </c>
      <c r="F2901" s="13" t="inlineStr">
        <is>
          <t>Branco</t>
        </is>
      </c>
      <c r="G2901" s="8" t="n">
        <v>0.04</v>
      </c>
      <c r="H2901" s="13" t="inlineStr">
        <is>
          <t>Foundations (FDN)</t>
        </is>
      </c>
      <c r="I2901" s="13" t="inlineStr">
        <is>
          <t>Não</t>
        </is>
      </c>
      <c r="J2901" s="13" t="n">
        <v>2024</v>
      </c>
      <c r="K2901" s="10" t="n">
        <v>46115</v>
      </c>
      <c r="L2901" s="13" t="n">
        <v>1</v>
      </c>
      <c r="M2901" s="8">
        <f>L2901*G2901</f>
        <v/>
      </c>
      <c r="P2901" s="9" t="n"/>
    </row>
    <row r="2902">
      <c r="A2902" s="13" t="inlineStr">
        <is>
          <t>Squall Leonhart // Danitha Capashen, Paragon / Squall Leonhart // Danitha Capashen, Exemplar</t>
        </is>
      </c>
      <c r="B2902" s="13" t="inlineStr">
        <is>
          <t>Criatura Lendária — Humano Cavaleiro</t>
        </is>
      </c>
      <c r="C2902" s="13" t="inlineStr">
        <is>
          <t>Incomum</t>
        </is>
      </c>
      <c r="D2902" s="13" t="inlineStr">
        <is>
          <t>Iniciativa, vigilância, vínculo com a vida. As mágicas de Aura e de Equipamento que você conjura custam {1} a menos para serem conjuradas.</t>
        </is>
      </c>
      <c r="E2902" s="13" t="inlineStr">
        <is>
          <t>2{W}</t>
        </is>
      </c>
      <c r="F2902" s="13" t="inlineStr">
        <is>
          <t>Branco</t>
        </is>
      </c>
      <c r="G2902" s="8" t="n">
        <v>1.85</v>
      </c>
      <c r="H2902" s="13" t="inlineStr">
        <is>
          <t>Final Fantasy</t>
        </is>
      </c>
      <c r="I2902" s="13" t="inlineStr">
        <is>
          <t>Não</t>
        </is>
      </c>
      <c r="J2902" s="13" t="n">
        <v>2025</v>
      </c>
      <c r="K2902" s="10" t="n">
        <v>46055</v>
      </c>
      <c r="L2902" s="13" t="n">
        <v>1</v>
      </c>
      <c r="M2902" s="8">
        <f>L2902*G2902</f>
        <v/>
      </c>
      <c r="P2902" s="9" t="n"/>
    </row>
    <row r="2903">
      <c r="A2903" s="13" t="inlineStr">
        <is>
          <t>Squee, the Immortal / Squee, o Imortal</t>
        </is>
      </c>
      <c r="B2903" s="13" t="inlineStr">
        <is>
          <t>Legendary Creature — Goblin / Criatura Lendária — Goblin</t>
        </is>
      </c>
      <c r="C2903" s="13" t="inlineStr">
        <is>
          <t>Rare / Rara</t>
        </is>
      </c>
      <c r="D2903" s="13" t="inlineStr">
        <is>
          <t>You may cast this card from your graveyard or from exile. / Você pode conjurar Squee, o Imortal, a partir de seu cemitério ou do exílio.</t>
        </is>
      </c>
      <c r="E2903" s="13" t="inlineStr">
        <is>
          <t>{1}{R}{R}</t>
        </is>
      </c>
      <c r="F2903" s="13" t="inlineStr">
        <is>
          <t>Vermelho</t>
        </is>
      </c>
      <c r="G2903" s="8" t="n">
        <v>0.9399999999999999</v>
      </c>
      <c r="H2903" s="13" t="inlineStr">
        <is>
          <t>Dominaria (DOM)</t>
        </is>
      </c>
      <c r="I2903" s="13" t="inlineStr">
        <is>
          <t>Não</t>
        </is>
      </c>
      <c r="J2903" s="13" t="n">
        <v>2018</v>
      </c>
      <c r="K2903" s="10" t="n">
        <v>46024</v>
      </c>
      <c r="L2903" s="13" t="n">
        <v>1</v>
      </c>
      <c r="M2903" s="8">
        <f>L2903*G2903</f>
        <v/>
      </c>
      <c r="P2903" s="9" t="n"/>
    </row>
    <row r="2904">
      <c r="A2904" s="13" t="inlineStr">
        <is>
          <t>Squire of the King / Escudeiro do Rei</t>
        </is>
      </c>
      <c r="B2904" s="13" t="inlineStr">
        <is>
          <t>Creature — Human Soldier / Criatura — Humano Soldado</t>
        </is>
      </c>
      <c r="C2904" s="13" t="inlineStr">
        <is>
          <t>Common / Comum</t>
        </is>
      </c>
      <c r="D2904" s="13"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2904" s="13" t="inlineStr">
        <is>
          <t>{W}</t>
        </is>
      </c>
      <c r="F2904" s="13" t="inlineStr">
        <is>
          <t>Branco</t>
        </is>
      </c>
      <c r="G2904" s="8" t="n">
        <v>0.08</v>
      </c>
      <c r="H2904" s="13" t="inlineStr">
        <is>
          <t>The Lord of the Rings: Tales of Middle-earth (LTR)</t>
        </is>
      </c>
      <c r="I2904" s="13" t="inlineStr">
        <is>
          <t>Não</t>
        </is>
      </c>
      <c r="J2904" s="13" t="n">
        <v>2023</v>
      </c>
      <c r="K2904" s="10" t="n">
        <v>46023</v>
      </c>
      <c r="L2904" s="13" t="n">
        <v>1</v>
      </c>
      <c r="M2904" s="8">
        <f>L2904*G2904</f>
        <v/>
      </c>
      <c r="P2904" s="9" t="n"/>
    </row>
    <row r="2905">
      <c r="A2905" s="13" t="inlineStr">
        <is>
          <t>Squire's Lightblade / Lâmina de Luz do Escudeiro</t>
        </is>
      </c>
      <c r="B2905" s="13" t="inlineStr">
        <is>
          <t>Artefato — Equipamento</t>
        </is>
      </c>
      <c r="C2905" s="13" t="inlineStr">
        <is>
          <t>Comum</t>
        </is>
      </c>
      <c r="D2905" s="13" t="inlineStr">
        <is>
          <t>Lampejo. Quando este Equipamento entrar, anexe-o à criatura alvo que você controla. Aquela criatura ganha iniciativa até o final do turno. A criatura equipada recebe +1/+0. Equipar {3}</t>
        </is>
      </c>
      <c r="E2905" s="13" t="inlineStr">
        <is>
          <t>{W}</t>
        </is>
      </c>
      <c r="F2905" s="13" t="inlineStr">
        <is>
          <t>Branco</t>
        </is>
      </c>
      <c r="G2905" s="8" t="n">
        <v>0.05</v>
      </c>
      <c r="H2905" s="13" t="inlineStr">
        <is>
          <t>Edge of Eternity</t>
        </is>
      </c>
      <c r="I2905" s="13" t="inlineStr">
        <is>
          <t>Não</t>
        </is>
      </c>
      <c r="J2905" s="13" t="n">
        <v>2025</v>
      </c>
      <c r="L2905" s="13" t="n">
        <v>1</v>
      </c>
      <c r="M2905" s="8">
        <f>L2905*G2905</f>
        <v/>
      </c>
      <c r="P2905" s="9" t="n"/>
    </row>
    <row r="2906">
      <c r="A2906" s="13" t="inlineStr">
        <is>
          <t>Squirrelanoids</t>
        </is>
      </c>
      <c r="B2906" s="13" t="inlineStr">
        <is>
          <t>Creature — Squirrel Mutant</t>
        </is>
      </c>
      <c r="C2906" s="13" t="inlineStr">
        <is>
          <t>Common / Comum</t>
        </is>
      </c>
      <c r="D2906" s="13" t="inlineStr">
        <is>
          <t>Deathtouch</t>
        </is>
      </c>
      <c r="E2906" s="13" t="inlineStr">
        <is>
          <t>{B}</t>
        </is>
      </c>
      <c r="F2906" s="13" t="inlineStr">
        <is>
          <t>Preto</t>
        </is>
      </c>
      <c r="G2906" s="8" t="n">
        <v>0.1</v>
      </c>
      <c r="H2906" s="13" t="inlineStr">
        <is>
          <t>Teenage Mutant Ninja Turtles (TMT)</t>
        </is>
      </c>
      <c r="I2906" s="13" t="inlineStr">
        <is>
          <t>Não</t>
        </is>
      </c>
      <c r="J2906" s="13" t="n">
        <v>2026</v>
      </c>
      <c r="K2906" s="10" t="n">
        <v>46023</v>
      </c>
      <c r="L2906" s="13" t="n">
        <v>3</v>
      </c>
      <c r="M2906" s="8">
        <f>L2906*G2906</f>
        <v/>
      </c>
      <c r="P2906" s="9" t="n"/>
    </row>
    <row r="2907">
      <c r="A2907" s="13" t="inlineStr">
        <is>
          <t>Squirrelanoids</t>
        </is>
      </c>
      <c r="B2907" s="13" t="inlineStr">
        <is>
          <t>Creature — Squirrel Mutant</t>
        </is>
      </c>
      <c r="C2907" s="13" t="inlineStr">
        <is>
          <t>Common / Comum</t>
        </is>
      </c>
      <c r="D2907" s="13" t="inlineStr">
        <is>
          <t>Deathtouch</t>
        </is>
      </c>
      <c r="E2907" s="13" t="inlineStr">
        <is>
          <t>{B}</t>
        </is>
      </c>
      <c r="F2907" s="13" t="inlineStr">
        <is>
          <t>Preto</t>
        </is>
      </c>
      <c r="G2907" s="8" t="n">
        <v>0.2</v>
      </c>
      <c r="H2907" s="13" t="inlineStr">
        <is>
          <t>Teenage Mutant Ninja Turtles (TMT)</t>
        </is>
      </c>
      <c r="I2907" s="13" t="inlineStr">
        <is>
          <t>Sim</t>
        </is>
      </c>
      <c r="J2907" s="13" t="n">
        <v>2026</v>
      </c>
      <c r="K2907" s="10" t="n">
        <v>46023</v>
      </c>
      <c r="L2907" s="13" t="n">
        <v>1</v>
      </c>
      <c r="M2907" s="8">
        <f>L2907*G2907</f>
        <v/>
      </c>
      <c r="P2907" s="9" t="n"/>
    </row>
    <row r="2908">
      <c r="A2908" s="13" t="inlineStr">
        <is>
          <t>Sram's Expertise / Especialidade de Sram</t>
        </is>
      </c>
      <c r="B2908" s="13" t="inlineStr">
        <is>
          <t>Sorcery / Feitiço</t>
        </is>
      </c>
      <c r="C2908" s="13" t="inlineStr">
        <is>
          <t>Rare / Rara</t>
        </is>
      </c>
      <c r="D2908" s="13"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2908" s="13" t="inlineStr">
        <is>
          <t>{2}{W}{W}</t>
        </is>
      </c>
      <c r="F2908" s="13" t="inlineStr">
        <is>
          <t>Branco</t>
        </is>
      </c>
      <c r="G2908" s="8" t="n">
        <v>0.38</v>
      </c>
      <c r="H2908" s="13" t="inlineStr">
        <is>
          <t>Aether Revolt (AER)</t>
        </is>
      </c>
      <c r="I2908" s="13" t="inlineStr">
        <is>
          <t>Não</t>
        </is>
      </c>
      <c r="J2908" s="13" t="n">
        <v>2017</v>
      </c>
      <c r="L2908" s="13" t="n">
        <v>2</v>
      </c>
      <c r="M2908" s="8">
        <f>L2908*G2908</f>
        <v/>
      </c>
      <c r="P2908" s="9" t="n"/>
    </row>
    <row r="2909">
      <c r="A2909" s="13" t="inlineStr">
        <is>
          <t>Sram's Expertise / Especialidade de Sram</t>
        </is>
      </c>
      <c r="B2909" s="13" t="inlineStr">
        <is>
          <t>Sorcery / Feitiço</t>
        </is>
      </c>
      <c r="C2909" s="13" t="inlineStr">
        <is>
          <t>Rare / Rara</t>
        </is>
      </c>
      <c r="D2909" s="13"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2909" s="13" t="inlineStr">
        <is>
          <t>{2}{W}{W}</t>
        </is>
      </c>
      <c r="F2909" s="13" t="inlineStr">
        <is>
          <t>Branco</t>
        </is>
      </c>
      <c r="G2909" s="8" t="n">
        <v>0.38</v>
      </c>
      <c r="H2909" s="13" t="inlineStr">
        <is>
          <t>Aether Revolt (AER)</t>
        </is>
      </c>
      <c r="I2909" s="13" t="inlineStr">
        <is>
          <t>Não</t>
        </is>
      </c>
      <c r="J2909" s="13" t="n">
        <v>2017</v>
      </c>
      <c r="L2909" s="13" t="n">
        <v>2</v>
      </c>
      <c r="M2909" s="8">
        <f>L2909*G2909</f>
        <v/>
      </c>
      <c r="P2909" s="9" t="n"/>
    </row>
    <row r="2910">
      <c r="A2910" s="13" t="inlineStr">
        <is>
          <t>Stadium Tidalmage / Mago das Marés do Estádio</t>
        </is>
      </c>
      <c r="B2910" s="13" t="inlineStr">
        <is>
          <t>Criatura — Djinn Feiticeiro</t>
        </is>
      </c>
      <c r="C2910" s="13" t="inlineStr">
        <is>
          <t>Comum</t>
        </is>
      </c>
      <c r="D2910" s="13" t="inlineStr">
        <is>
          <t>Sempre que esta criatura entrar ou atacar, você pode comprar um card. Se fizer isso, descarte um card.</t>
        </is>
      </c>
      <c r="E2910" s="13" t="inlineStr">
        <is>
          <t>2{U}{R}</t>
        </is>
      </c>
      <c r="F2910" s="13" t="inlineStr">
        <is>
          <t>Multicolorido</t>
        </is>
      </c>
      <c r="G2910" s="8" t="n">
        <v>0.08</v>
      </c>
      <c r="H2910" s="13" t="inlineStr">
        <is>
          <t>Strixhaven: School of Mages (SOS)</t>
        </is>
      </c>
      <c r="I2910" s="13" t="inlineStr">
        <is>
          <t>Não</t>
        </is>
      </c>
      <c r="J2910" s="13" t="n">
        <v>2026</v>
      </c>
      <c r="K2910" s="10" t="n">
        <v>46116</v>
      </c>
      <c r="L2910" s="13" t="n">
        <v>2</v>
      </c>
      <c r="M2910" s="8">
        <f>L2910*G2910</f>
        <v/>
      </c>
      <c r="P2910" s="9" t="n"/>
    </row>
    <row r="2911">
      <c r="A2911" s="13" t="inlineStr">
        <is>
          <t>Stalactite Dagger</t>
        </is>
      </c>
      <c r="B2911" s="13" t="inlineStr">
        <is>
          <t>Artifact — Equipment</t>
        </is>
      </c>
      <c r="C2911" s="13" t="inlineStr">
        <is>
          <t>Common / Comum</t>
        </is>
      </c>
      <c r="D2911" s="13" t="inlineStr">
        <is>
          <t>When this Equipment enters, create a 1/1 colorless Shapeshifter creature token with changeling. (It's every creature type.) Equipped creature gets +1/+1 and is all creature types. Equip {2} ({2}: Attach to target creature you control. Equip only as a sorcery.)</t>
        </is>
      </c>
      <c r="E2911" s="13" t="inlineStr">
        <is>
          <t>{2}</t>
        </is>
      </c>
      <c r="F2911" s="13" t="inlineStr">
        <is>
          <t>Incolor</t>
        </is>
      </c>
      <c r="G2911" s="8" t="n">
        <v>0.1</v>
      </c>
      <c r="H2911" s="13" t="inlineStr">
        <is>
          <t>Lorwyn Eclipsed (ECL)</t>
        </is>
      </c>
      <c r="I2911" s="13" t="inlineStr">
        <is>
          <t>Não</t>
        </is>
      </c>
      <c r="J2911" s="13" t="n">
        <v>2026</v>
      </c>
      <c r="L2911" s="13" t="n">
        <v>1</v>
      </c>
      <c r="M2911" s="8">
        <f>L2911*G2911</f>
        <v/>
      </c>
      <c r="P2911" s="9" t="n"/>
    </row>
    <row r="2912">
      <c r="A2912" s="13" t="inlineStr">
        <is>
          <t>Stalwarts of Osgiliath / Destemidos de Osgiliath</t>
        </is>
      </c>
      <c r="B2912" s="13" t="inlineStr">
        <is>
          <t>Creature — Human Soldier / Criatura — Humano Soldado</t>
        </is>
      </c>
      <c r="C2912" s="13" t="inlineStr">
        <is>
          <t>Common / Comum</t>
        </is>
      </c>
      <c r="D2912" s="13"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2912" s="13" t="inlineStr">
        <is>
          <t>{4}{W}</t>
        </is>
      </c>
      <c r="F2912" s="13" t="inlineStr">
        <is>
          <t>Branco</t>
        </is>
      </c>
      <c r="G2912" s="8" t="n">
        <v>0.08</v>
      </c>
      <c r="H2912" s="13" t="inlineStr">
        <is>
          <t>The Lord of the Rings: Tales of Middle-earth (LTR)</t>
        </is>
      </c>
      <c r="I2912" s="13" t="inlineStr">
        <is>
          <t>Não</t>
        </is>
      </c>
      <c r="J2912" s="13" t="n">
        <v>2023</v>
      </c>
      <c r="K2912" s="10" t="n">
        <v>46085</v>
      </c>
      <c r="L2912" s="13" t="n">
        <v>1</v>
      </c>
      <c r="M2912" s="8">
        <f>L2912*G2912</f>
        <v/>
      </c>
      <c r="P2912" s="9" t="n"/>
    </row>
    <row r="2913">
      <c r="A2913" s="13" t="inlineStr">
        <is>
          <t>Stampede Rider / Ginete da Debandada</t>
        </is>
      </c>
      <c r="B2913" s="13" t="inlineStr">
        <is>
          <t>Creature — Satyr / Criatura — Sátiro</t>
        </is>
      </c>
      <c r="C2913" s="13" t="inlineStr">
        <is>
          <t>Common / Comum</t>
        </is>
      </c>
      <c r="D2913" s="13"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2913" s="13" t="inlineStr">
        <is>
          <t>{2}{R}</t>
        </is>
      </c>
      <c r="F2913" s="13" t="inlineStr">
        <is>
          <t>Vermelho</t>
        </is>
      </c>
      <c r="G2913" s="8" t="n">
        <v>0.03</v>
      </c>
      <c r="H2913" s="13" t="inlineStr">
        <is>
          <t>Theros Beyond Death (THB)</t>
        </is>
      </c>
      <c r="I2913" s="13" t="inlineStr">
        <is>
          <t>Não</t>
        </is>
      </c>
      <c r="J2913" s="13" t="n">
        <v>2020</v>
      </c>
      <c r="K2913" s="10" t="n">
        <v>46083</v>
      </c>
      <c r="L2913" s="13" t="n">
        <v>1</v>
      </c>
      <c r="M2913" s="8">
        <f>L2913*G2913</f>
        <v/>
      </c>
      <c r="P2913" s="9" t="n"/>
    </row>
    <row r="2914">
      <c r="A2914" s="13" t="inlineStr">
        <is>
          <t>Stampeding Horncrest / Cristocórneo Desembestado</t>
        </is>
      </c>
      <c r="B2914" s="13" t="inlineStr">
        <is>
          <t>Creature — Dinosaur / Criatura — Dinossauro</t>
        </is>
      </c>
      <c r="C2914" s="13" t="inlineStr">
        <is>
          <t>Common / Comum</t>
        </is>
      </c>
      <c r="D2914" s="13" t="inlineStr">
        <is>
          <t>This creature has haste as long as you control another Dinosaur. / Cristocórneo Desembestado terá ímpeto enquanto você controlar outro Dinossauro.</t>
        </is>
      </c>
      <c r="E2914" s="13" t="inlineStr">
        <is>
          <t>{4}{R}</t>
        </is>
      </c>
      <c r="F2914" s="13" t="inlineStr">
        <is>
          <t>Vermelho</t>
        </is>
      </c>
      <c r="G2914" s="8" t="n">
        <v>0.03</v>
      </c>
      <c r="H2914" s="13" t="inlineStr">
        <is>
          <t>Rivals of Ixalan (RIX)</t>
        </is>
      </c>
      <c r="I2914" s="13" t="inlineStr">
        <is>
          <t>Não</t>
        </is>
      </c>
      <c r="J2914" s="13" t="n">
        <v>2018</v>
      </c>
      <c r="K2914" s="10" t="n">
        <v>46116</v>
      </c>
      <c r="L2914" s="13" t="n">
        <v>4</v>
      </c>
      <c r="M2914" s="8">
        <f>L2914*G2914</f>
        <v/>
      </c>
      <c r="P2914" s="9" t="n"/>
    </row>
    <row r="2915">
      <c r="A2915" s="13" t="inlineStr">
        <is>
          <t>Stampeding Scurryfoot</t>
        </is>
      </c>
      <c r="B2915" s="13" t="inlineStr">
        <is>
          <t>Creature — Mouse</t>
        </is>
      </c>
      <c r="C2915" s="13" t="inlineStr">
        <is>
          <t>Common / Comum</t>
        </is>
      </c>
      <c r="D2915" s="13" t="inlineStr">
        <is>
          <t>Exhaust — {3}{G}: Put a +1/+1 counter on this creature. Create a 3/3 green Elephant creature token. (Activate each exhaust ability only once.)</t>
        </is>
      </c>
      <c r="E2915" s="13" t="inlineStr">
        <is>
          <t>{G}</t>
        </is>
      </c>
      <c r="F2915" s="13" t="inlineStr">
        <is>
          <t>Verde</t>
        </is>
      </c>
      <c r="G2915" s="8" t="n">
        <v>0.23</v>
      </c>
      <c r="H2915" s="13" t="inlineStr">
        <is>
          <t>Aetherdrift (DFT)</t>
        </is>
      </c>
      <c r="I2915" s="13" t="inlineStr">
        <is>
          <t>Sim</t>
        </is>
      </c>
      <c r="J2915" s="13" t="n">
        <v>2025</v>
      </c>
      <c r="K2915" s="10" t="n">
        <v>46023</v>
      </c>
      <c r="L2915" s="13" t="n">
        <v>2</v>
      </c>
      <c r="M2915" s="8">
        <f>L2915*G2915</f>
        <v/>
      </c>
      <c r="P2915" s="9" t="n"/>
    </row>
    <row r="2916">
      <c r="A2916" s="13" t="inlineStr">
        <is>
          <t>Starfighter Pilot / Piloto de Caça Estelar</t>
        </is>
      </c>
      <c r="B2916" s="13" t="inlineStr">
        <is>
          <t>Criatura — Humano Piloto</t>
        </is>
      </c>
      <c r="C2916" s="13" t="inlineStr">
        <is>
          <t>Comum</t>
        </is>
      </c>
      <c r="D2916" s="13" t="inlineStr">
        <is>
          <t>Sempre que esta criatura tornar-se virada, vigie 1. (Para vigiar 1, olhe o card do topo de seu grimório. Você pode colocá-lo em seu cemitério.)</t>
        </is>
      </c>
      <c r="E2916" s="13" t="inlineStr">
        <is>
          <t>1{W}</t>
        </is>
      </c>
      <c r="F2916" s="13" t="inlineStr">
        <is>
          <t>Branco</t>
        </is>
      </c>
      <c r="G2916" s="8" t="n">
        <v>0.05</v>
      </c>
      <c r="H2916" s="13" t="inlineStr">
        <is>
          <t>Edge of Eternity</t>
        </is>
      </c>
      <c r="I2916" s="13" t="inlineStr">
        <is>
          <t>Não</t>
        </is>
      </c>
      <c r="J2916" s="13" t="n">
        <v>2025</v>
      </c>
      <c r="K2916" s="10" t="n">
        <v>46055</v>
      </c>
      <c r="L2916" s="13" t="n">
        <v>1</v>
      </c>
      <c r="M2916" s="8">
        <f>L2916*G2916</f>
        <v/>
      </c>
      <c r="P2916" s="9" t="n"/>
    </row>
    <row r="2917">
      <c r="A2917" s="13" t="inlineStr">
        <is>
          <t>Starforged Sword / Espada Forjada pelas Estrelas</t>
        </is>
      </c>
      <c r="B2917" s="13" t="inlineStr">
        <is>
          <t>Artifact — Equipment / Artefato — Equipamento</t>
        </is>
      </c>
      <c r="C2917" s="13" t="inlineStr">
        <is>
          <t>Uncommon / Incomum</t>
        </is>
      </c>
      <c r="D2917" s="13"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2917" s="13" t="inlineStr">
        <is>
          <t>{4}</t>
        </is>
      </c>
      <c r="F2917" s="13" t="inlineStr">
        <is>
          <t>Incolor</t>
        </is>
      </c>
      <c r="G2917" s="8" t="n">
        <v>0.1</v>
      </c>
      <c r="H2917" s="13" t="inlineStr">
        <is>
          <t>Bloomburrow (BLB)</t>
        </is>
      </c>
      <c r="I2917" s="13" t="inlineStr">
        <is>
          <t>No</t>
        </is>
      </c>
      <c r="J2917" s="13" t="n">
        <v>2024</v>
      </c>
      <c r="L2917" s="13" t="n">
        <v>1</v>
      </c>
      <c r="M2917" s="8">
        <f>L2917*G2917</f>
        <v/>
      </c>
      <c r="P2917" s="9" t="n"/>
    </row>
    <row r="2918">
      <c r="A2918" s="13" t="inlineStr">
        <is>
          <t>Stark Industries Executive / Executivo das Indústrias Stark</t>
        </is>
      </c>
      <c r="B2918" s="13" t="inlineStr">
        <is>
          <t>Criatura — Humano Conselheiro</t>
        </is>
      </c>
      <c r="C2918" s="13" t="inlineStr">
        <is>
          <t>Comum</t>
        </is>
      </c>
      <c r="D2918" s="13" t="inlineStr">
        <is>
          <t>{2}, {T}: Crie uma ficha de Tesouro. (Ela é um artefato com "{T}, Sacrifique esta ficha: Adicione um mana de qualquer cor.")</t>
        </is>
      </c>
      <c r="E2918" s="13" t="inlineStr">
        <is>
          <t>{R}</t>
        </is>
      </c>
      <c r="F2918" s="13" t="inlineStr">
        <is>
          <t>Vermelho</t>
        </is>
      </c>
      <c r="G2918" s="8" t="n">
        <v>0.13</v>
      </c>
      <c r="H2918" s="13" t="inlineStr">
        <is>
          <t>Marvel</t>
        </is>
      </c>
      <c r="I2918" s="13" t="inlineStr">
        <is>
          <t>Não</t>
        </is>
      </c>
      <c r="J2918" s="13" t="n">
        <v>2026</v>
      </c>
      <c r="K2918" s="10" t="n">
        <v>46054</v>
      </c>
      <c r="L2918" s="13" t="n">
        <v>2</v>
      </c>
      <c r="M2918" s="8">
        <f>L2918*G2918</f>
        <v/>
      </c>
      <c r="P2918" s="9" t="n"/>
    </row>
    <row r="2919">
      <c r="A2919" s="13" t="inlineStr">
        <is>
          <t>Starlit Soothsayer</t>
        </is>
      </c>
      <c r="B2919" s="13" t="inlineStr">
        <is>
          <t>Creature — Bat Cleric</t>
        </is>
      </c>
      <c r="C2919" s="13" t="inlineStr">
        <is>
          <t>Common / Comum</t>
        </is>
      </c>
      <c r="D2919" s="13" t="inlineStr">
        <is>
          <t>Flying At the beginning of your end step, if you gained or lost life this turn, surveil 1. (Look at the top card of your library. You may put it into your graveyard.)</t>
        </is>
      </c>
      <c r="E2919" s="13" t="inlineStr">
        <is>
          <t>{2}{B}</t>
        </is>
      </c>
      <c r="F2919" s="13" t="inlineStr">
        <is>
          <t>Preto</t>
        </is>
      </c>
      <c r="G2919" s="8" t="n">
        <v>0.08</v>
      </c>
      <c r="H2919" s="13" t="inlineStr">
        <is>
          <t>Bloomburrow (BLB)</t>
        </is>
      </c>
      <c r="I2919" s="13" t="inlineStr">
        <is>
          <t>Não</t>
        </is>
      </c>
      <c r="J2919" s="13" t="n">
        <v>2024</v>
      </c>
      <c r="K2919" s="10" t="n">
        <v>46055</v>
      </c>
      <c r="L2919" s="13" t="n">
        <v>1</v>
      </c>
      <c r="M2919" s="8">
        <f>L2919*G2919</f>
        <v/>
      </c>
      <c r="P2919" s="9" t="n"/>
    </row>
    <row r="2920">
      <c r="A2920" s="13" t="inlineStr">
        <is>
          <t>Start // Finish / Começar // Terminar</t>
        </is>
      </c>
      <c r="B2920" s="13" t="inlineStr">
        <is>
          <t>Instant // Sorcery / Mágica Instantânea</t>
        </is>
      </c>
      <c r="C2920" s="13" t="inlineStr">
        <is>
          <t>Uncommon / Incomum</t>
        </is>
      </c>
      <c r="D2920" s="13"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2920" s="13" t="inlineStr">
        <is>
          <t>{2}{W} // {2}{B}</t>
        </is>
      </c>
      <c r="F2920" s="13" t="inlineStr">
        <is>
          <t>Preto, Branco</t>
        </is>
      </c>
      <c r="G2920" s="8" t="n">
        <v>0.08</v>
      </c>
      <c r="H2920" s="13" t="inlineStr">
        <is>
          <t>Amonkhet (AKH)</t>
        </is>
      </c>
      <c r="I2920" s="13" t="inlineStr">
        <is>
          <t>Não</t>
        </is>
      </c>
      <c r="J2920" s="13" t="n">
        <v>2017</v>
      </c>
      <c r="L2920" s="13" t="n">
        <v>2</v>
      </c>
      <c r="M2920" s="8">
        <f>L2920*G2920</f>
        <v/>
      </c>
      <c r="P2920" s="9" t="n"/>
    </row>
    <row r="2921">
      <c r="A2921" s="13" t="inlineStr">
        <is>
          <t>Startled Relic Sloth / Preguiça Relíquia Assustada</t>
        </is>
      </c>
      <c r="B2921" s="13" t="inlineStr">
        <is>
          <t>Criatura — Preguiça Besta</t>
        </is>
      </c>
      <c r="C2921" s="13" t="inlineStr">
        <is>
          <t>Incomum</t>
        </is>
      </c>
      <c r="D2921" s="13" t="inlineStr">
        <is>
          <t>Atropelar, vínculo com a vida. No início do combate no seu turno, exile até um card alvo de um cemitério.</t>
        </is>
      </c>
      <c r="E2921" s="13" t="inlineStr">
        <is>
          <t>2{R}{W}</t>
        </is>
      </c>
      <c r="F2921" s="13" t="inlineStr">
        <is>
          <t>Multicolorido</t>
        </is>
      </c>
      <c r="G2921" s="8" t="n">
        <v>0.19</v>
      </c>
      <c r="H2921" s="13" t="inlineStr">
        <is>
          <t>Strixhaven: School of Mages (SOS)</t>
        </is>
      </c>
      <c r="I2921" s="13" t="inlineStr">
        <is>
          <t>Não</t>
        </is>
      </c>
      <c r="J2921" s="13" t="n">
        <v>2026</v>
      </c>
      <c r="K2921" s="10" t="n">
        <v>46116</v>
      </c>
      <c r="L2921" s="13" t="n">
        <v>2</v>
      </c>
      <c r="M2921" s="8">
        <f>L2921*G2921</f>
        <v/>
      </c>
      <c r="P2921" s="9" t="n"/>
    </row>
    <row r="2922">
      <c r="A2922" s="13" t="inlineStr">
        <is>
          <t>Staunch Throneguard / Guarda do Trono Inabalável</t>
        </is>
      </c>
      <c r="B2922" s="13" t="inlineStr">
        <is>
          <t>Artifact Creature — Construct / Criatura Artefato — Constructo</t>
        </is>
      </c>
      <c r="C2922" s="13" t="inlineStr">
        <is>
          <t>Common / Comum</t>
        </is>
      </c>
      <c r="D2922" s="13" t="inlineStr">
        <is>
          <t>Vigilance When this creature enters, you become the monarch. / Vigilância Quando Guarda do Trono Inabalável entra no campo de batalha, você se torna o monarca.</t>
        </is>
      </c>
      <c r="E2922" s="13" t="inlineStr">
        <is>
          <t>{5}</t>
        </is>
      </c>
      <c r="F2922" s="13" t="inlineStr">
        <is>
          <t>Incolor</t>
        </is>
      </c>
      <c r="G2922" s="8" t="n">
        <v>0.1</v>
      </c>
      <c r="H2922" s="13" t="inlineStr">
        <is>
          <t>Commander Masters (CMM)</t>
        </is>
      </c>
      <c r="I2922" s="13" t="inlineStr">
        <is>
          <t>Não</t>
        </is>
      </c>
      <c r="J2922" s="13" t="n">
        <v>2023</v>
      </c>
      <c r="K2922" s="10" t="n">
        <v>46144</v>
      </c>
      <c r="L2922" s="13" t="n">
        <v>1</v>
      </c>
      <c r="M2922" s="8">
        <f>L2922*G2922</f>
        <v/>
      </c>
      <c r="P2922" s="9" t="n"/>
    </row>
    <row r="2923">
      <c r="A2923" s="13" t="inlineStr">
        <is>
          <t>Stave Off / Rechaçar</t>
        </is>
      </c>
      <c r="B2923" s="13" t="inlineStr">
        <is>
          <t>Mágica Instantânea</t>
        </is>
      </c>
      <c r="C2923" s="13" t="inlineStr">
        <is>
          <t>Comum</t>
        </is>
      </c>
      <c r="D2923" s="13" t="inlineStr">
        <is>
          <t>A criatura alvo ganha proteção contra a cor de sua escolha até o final do turno. (Ela não pode ser bloqueada, alvo, receber dano ou ser encantada por nada daquela cor.)</t>
        </is>
      </c>
      <c r="E2923" s="13" t="inlineStr">
        <is>
          <t>W</t>
        </is>
      </c>
      <c r="F2923" s="13" t="inlineStr">
        <is>
          <t>Branco</t>
        </is>
      </c>
      <c r="G2923" s="8" t="n">
        <v>0.19</v>
      </c>
      <c r="H2923" s="13" t="inlineStr">
        <is>
          <t>Duel Decks: Speed vs. Cunning</t>
        </is>
      </c>
      <c r="I2923" s="13" t="inlineStr">
        <is>
          <t>Não</t>
        </is>
      </c>
      <c r="J2923" s="13" t="n">
        <v>2014</v>
      </c>
      <c r="L2923" s="13" t="n">
        <v>1</v>
      </c>
      <c r="M2923" s="8">
        <f>L2923*G2923</f>
        <v/>
      </c>
      <c r="P2923" s="9" t="n"/>
    </row>
    <row r="2924">
      <c r="A2924" s="13" t="inlineStr">
        <is>
          <t>Steam Augury / Augúrio de Vapor</t>
        </is>
      </c>
      <c r="B2924" s="13" t="inlineStr">
        <is>
          <t>Mágica Instantânea</t>
        </is>
      </c>
      <c r="C2924" s="13" t="inlineStr">
        <is>
          <t>Rara</t>
        </is>
      </c>
      <c r="D2924" s="13" t="inlineStr">
        <is>
          <t>Revele os cinco cards do topo de seu grimório e separe-os em dois montes. Um oponente escolhe um daqueles montes. Coloque aquele monte em sua mão e o outro em seu cemitério.</t>
        </is>
      </c>
      <c r="E2924" s="13" t="inlineStr">
        <is>
          <t>2UR</t>
        </is>
      </c>
      <c r="F2924" s="13" t="inlineStr">
        <is>
          <t>Multicolorido</t>
        </is>
      </c>
      <c r="G2924" s="8" t="n">
        <v>0.23</v>
      </c>
      <c r="H2924" s="13" t="inlineStr">
        <is>
          <t>Duel Decks: Speed vs. Cunning</t>
        </is>
      </c>
      <c r="I2924" s="13" t="inlineStr">
        <is>
          <t>Não</t>
        </is>
      </c>
      <c r="J2924" s="13" t="n">
        <v>2014</v>
      </c>
      <c r="L2924" s="13" t="n">
        <v>1</v>
      </c>
      <c r="M2924" s="8">
        <f>L2924*G2924</f>
        <v/>
      </c>
      <c r="P2924" s="9" t="n"/>
    </row>
    <row r="2925">
      <c r="A2925" s="13" t="inlineStr">
        <is>
          <t>Steel Sabotage / Sabotagem de Aço</t>
        </is>
      </c>
      <c r="B2925" s="13" t="inlineStr">
        <is>
          <t>Instant / Mágica Instantânea</t>
        </is>
      </c>
      <c r="C2925" s="13" t="inlineStr">
        <is>
          <t>Common / Comum</t>
        </is>
      </c>
      <c r="D2925" s="13" t="inlineStr">
        <is>
          <t>Choose one — • Counter target artifact spell. • Return target artifact to its owner's hand. / Escolha um — Anule a mágica de artefato alvo; ou devolva o artefato alvo para a mão de seu dono.</t>
        </is>
      </c>
      <c r="E2925" s="13" t="inlineStr">
        <is>
          <t>{U}</t>
        </is>
      </c>
      <c r="F2925" s="13" t="inlineStr">
        <is>
          <t>Azul</t>
        </is>
      </c>
      <c r="G2925" s="8" t="n">
        <v>2.02</v>
      </c>
      <c r="H2925" s="13" t="inlineStr">
        <is>
          <t>Mirrodin Besieged (MBS)</t>
        </is>
      </c>
      <c r="I2925" s="13" t="inlineStr">
        <is>
          <t>Não</t>
        </is>
      </c>
      <c r="J2925" s="13" t="n">
        <v>2011</v>
      </c>
      <c r="L2925" s="13" t="n">
        <v>2</v>
      </c>
      <c r="M2925" s="8">
        <f>L2925*G2925</f>
        <v/>
      </c>
      <c r="P2925" s="9" t="n"/>
    </row>
    <row r="2926">
      <c r="A2926" s="13" t="inlineStr">
        <is>
          <t>Steelclad Spirit / Espírito da Couraça de Aço</t>
        </is>
      </c>
      <c r="B2926" s="13" t="inlineStr">
        <is>
          <t>Creature — Spirit / Criatura — Espírito</t>
        </is>
      </c>
      <c r="C2926" s="13" t="inlineStr">
        <is>
          <t>Common / Comum</t>
        </is>
      </c>
      <c r="D2926" s="13"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2926" s="13" t="inlineStr">
        <is>
          <t>{1}{U}</t>
        </is>
      </c>
      <c r="F2926" s="13" t="inlineStr">
        <is>
          <t>Azul</t>
        </is>
      </c>
      <c r="G2926" s="8" t="n">
        <v>0.09</v>
      </c>
      <c r="H2926" s="13" t="inlineStr">
        <is>
          <t>Innistrad: Crimson Vow (VOW)</t>
        </is>
      </c>
      <c r="I2926" s="13" t="inlineStr">
        <is>
          <t>Não</t>
        </is>
      </c>
      <c r="J2926" s="13" t="n">
        <v>2021</v>
      </c>
      <c r="K2926" s="10" t="n">
        <v>46084</v>
      </c>
      <c r="L2926" s="13" t="n">
        <v>1</v>
      </c>
      <c r="M2926" s="8">
        <f>L2926*G2926</f>
        <v/>
      </c>
      <c r="P2926" s="9" t="n"/>
    </row>
    <row r="2927">
      <c r="A2927" s="13" t="inlineStr">
        <is>
          <t>Steelfin Whale / Baleia Barbatana-de-aço</t>
        </is>
      </c>
      <c r="B2927" s="13" t="inlineStr">
        <is>
          <t>Creature — Whale / Criatura — Baleia</t>
        </is>
      </c>
      <c r="C2927" s="13" t="inlineStr">
        <is>
          <t>Common / Comum</t>
        </is>
      </c>
      <c r="D2927" s="13"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2927" s="13" t="inlineStr">
        <is>
          <t>{5}{U}</t>
        </is>
      </c>
      <c r="F2927" s="13" t="inlineStr">
        <is>
          <t>Azul</t>
        </is>
      </c>
      <c r="G2927" s="8" t="n">
        <v>0.14</v>
      </c>
      <c r="H2927" s="13" t="inlineStr">
        <is>
          <t>Modern Horizons 2 (MH2)</t>
        </is>
      </c>
      <c r="I2927" s="13" t="inlineStr">
        <is>
          <t>Sim</t>
        </is>
      </c>
      <c r="J2927" s="13" t="n">
        <v>2021</v>
      </c>
      <c r="K2927" s="10" t="n">
        <v>46115</v>
      </c>
      <c r="L2927" s="13" t="n">
        <v>4</v>
      </c>
      <c r="M2927" s="8">
        <f>L2927*G2927</f>
        <v/>
      </c>
      <c r="P2927" s="9" t="n"/>
    </row>
    <row r="2928">
      <c r="A2928" s="13" t="inlineStr">
        <is>
          <t>Stegron the Dinosaur Man / Stegron, o Homem-Dinossauro</t>
        </is>
      </c>
      <c r="B2928" s="13" t="inlineStr">
        <is>
          <t>Criatura Lendária — Dinossauro Vilão</t>
        </is>
      </c>
      <c r="C2928" s="13" t="inlineStr">
        <is>
          <t>Comum</t>
        </is>
      </c>
      <c r="D2928" s="13" t="inlineStr">
        <is>
          <t>Ameaçar (Esta criatura não pode ser bloqueada a não ser por duas ou mais criaturas.) Fórmula de Dinossauro — {1}{R}, Descarte este card: Até o final do turno, a criatura alvo que você controla recebe +3/+1 e torna-se um Dinossauro além de seus outros tipos.</t>
        </is>
      </c>
      <c r="E2928" s="13" t="inlineStr">
        <is>
          <t>4{R}</t>
        </is>
      </c>
      <c r="F2928" s="13" t="inlineStr">
        <is>
          <t>Vermelho</t>
        </is>
      </c>
      <c r="G2928" s="8" t="n">
        <v>0.1</v>
      </c>
      <c r="H2928" s="13" t="inlineStr">
        <is>
          <t>Marvel: Spider-Man (SPM)</t>
        </is>
      </c>
      <c r="I2928" s="13" t="inlineStr">
        <is>
          <t>Não</t>
        </is>
      </c>
      <c r="J2928" s="13" t="n">
        <v>2025</v>
      </c>
      <c r="K2928" s="10" t="n">
        <v>46117</v>
      </c>
      <c r="L2928" s="13" t="n">
        <v>1</v>
      </c>
      <c r="M2928" s="8">
        <f>L2928*G2928</f>
        <v/>
      </c>
      <c r="P2928" s="9" t="n"/>
    </row>
    <row r="2929">
      <c r="A2929" s="13" t="inlineStr">
        <is>
          <t>Stench of Evil / Exalações do Mal</t>
        </is>
      </c>
      <c r="B2929" s="13" t="inlineStr">
        <is>
          <t>Sorcery</t>
        </is>
      </c>
      <c r="C2929" s="13" t="inlineStr">
        <is>
          <t>Uncommon / Incomum</t>
        </is>
      </c>
      <c r="D2929" s="13" t="inlineStr">
        <is>
          <t>Destroy all Plains. For each land destroyed this way, Stench of Evil deals 1 damage to that land's controller unless they pay {2}.</t>
        </is>
      </c>
      <c r="E2929" s="13" t="inlineStr">
        <is>
          <t>{2}{B}{B}</t>
        </is>
      </c>
      <c r="F2929" s="13" t="inlineStr">
        <is>
          <t>Preto</t>
        </is>
      </c>
      <c r="G2929" s="8" t="n">
        <v>0.33</v>
      </c>
      <c r="H2929" s="13" t="inlineStr">
        <is>
          <t>Ice Age (ICE)</t>
        </is>
      </c>
      <c r="I2929" s="13" t="inlineStr">
        <is>
          <t>Não</t>
        </is>
      </c>
      <c r="J2929" s="13" t="n">
        <v>1995</v>
      </c>
      <c r="L2929" s="13" t="n">
        <v>1</v>
      </c>
      <c r="M2929" s="8">
        <f>L2929*G2929</f>
        <v/>
      </c>
      <c r="P2929" s="9" t="n"/>
    </row>
    <row r="2930">
      <c r="A2930" s="13" t="inlineStr">
        <is>
          <t>Stockman, Mad Fly-entist</t>
        </is>
      </c>
      <c r="B2930" s="13" t="inlineStr">
        <is>
          <t>Legendary Creature — Insect Mutant Scientist</t>
        </is>
      </c>
      <c r="C2930" s="13" t="inlineStr">
        <is>
          <t>Common / Comum</t>
        </is>
      </c>
      <c r="D2930" s="13" t="inlineStr">
        <is>
          <t>Flying When Stockman enters, draw a card, then discard a card. Islandcycling {2} ({2}, Discard this card: Search your library for an Island card, reveal it, put it into your hand, then shuffle.)</t>
        </is>
      </c>
      <c r="E2930" s="13" t="inlineStr">
        <is>
          <t>{4}{U}</t>
        </is>
      </c>
      <c r="F2930" s="13" t="inlineStr">
        <is>
          <t>Azul</t>
        </is>
      </c>
      <c r="G2930" s="8" t="n">
        <v>0.09</v>
      </c>
      <c r="H2930" s="13" t="inlineStr">
        <is>
          <t>Teenage Mutant Ninja Turtles (TMT)</t>
        </is>
      </c>
      <c r="I2930" s="13" t="inlineStr">
        <is>
          <t>Não</t>
        </is>
      </c>
      <c r="J2930" s="13" t="n">
        <v>2026</v>
      </c>
      <c r="K2930" s="10" t="n">
        <v>46115</v>
      </c>
      <c r="L2930" s="13" t="n">
        <v>6</v>
      </c>
      <c r="M2930" s="8">
        <f>L2930*G2930</f>
        <v/>
      </c>
      <c r="P2930" s="9" t="n"/>
    </row>
    <row r="2931">
      <c r="A2931" s="13" t="inlineStr">
        <is>
          <t>Stomped by the Foot</t>
        </is>
      </c>
      <c r="B2931" s="13" t="inlineStr">
        <is>
          <t>Instant</t>
        </is>
      </c>
      <c r="C2931" s="13" t="inlineStr">
        <is>
          <t>Common / Comum</t>
        </is>
      </c>
      <c r="D2931" s="13" t="inlineStr">
        <is>
          <t>Kicker—Sacrifice an artifact or creature. (You may sacrifice an artifact or creature in addition to any other costs as you cast this spell.) Target creature gets -2/-2 until end of turn. If this spell was kicked, that creature gets -5/-5 until end of turn instead.</t>
        </is>
      </c>
      <c r="E2931" s="13" t="inlineStr">
        <is>
          <t>{1}{B}</t>
        </is>
      </c>
      <c r="F2931" s="13" t="inlineStr">
        <is>
          <t>Preto</t>
        </is>
      </c>
      <c r="G2931" s="8" t="n">
        <v>0.1</v>
      </c>
      <c r="H2931" s="13" t="inlineStr">
        <is>
          <t>Teenage Mutant Ninja Turtles (TMT)</t>
        </is>
      </c>
      <c r="I2931" s="13" t="inlineStr">
        <is>
          <t>Não</t>
        </is>
      </c>
      <c r="J2931" s="13" t="n">
        <v>2026</v>
      </c>
      <c r="L2931" s="13" t="n">
        <v>3</v>
      </c>
      <c r="M2931" s="8">
        <f>L2931*G2931</f>
        <v/>
      </c>
      <c r="P2931" s="9" t="n"/>
    </row>
    <row r="2932">
      <c r="A2932" s="13" t="inlineStr">
        <is>
          <t>Stone Giant / Gigante de Pedra</t>
        </is>
      </c>
      <c r="B2932" s="13" t="inlineStr">
        <is>
          <t>Creature — Giant / Criatura — Gigante</t>
        </is>
      </c>
      <c r="C2932" s="13" t="inlineStr">
        <is>
          <t>Uncommon / Incomum</t>
        </is>
      </c>
      <c r="D2932" s="13"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932" s="13" t="inlineStr">
        <is>
          <t>{2}{R}{R}</t>
        </is>
      </c>
      <c r="F2932" s="13" t="inlineStr">
        <is>
          <t>Vermelho</t>
        </is>
      </c>
      <c r="G2932" s="8" t="n">
        <v>0.2</v>
      </c>
      <c r="H2932" s="13" t="inlineStr">
        <is>
          <t>Fourth Edition (BB)</t>
        </is>
      </c>
      <c r="I2932" s="13" t="inlineStr">
        <is>
          <t>Não</t>
        </is>
      </c>
      <c r="J2932" s="13" t="n">
        <v>1995</v>
      </c>
      <c r="K2932" s="10" t="n">
        <v>46115</v>
      </c>
      <c r="L2932" s="13" t="n">
        <v>2</v>
      </c>
      <c r="M2932" s="8">
        <f>L2932*G2932</f>
        <v/>
      </c>
      <c r="P2932" s="9" t="n"/>
    </row>
    <row r="2933">
      <c r="A2933" s="13" t="inlineStr">
        <is>
          <t>Stone Rain / Chuva de Pedras</t>
        </is>
      </c>
      <c r="B2933" s="13" t="inlineStr">
        <is>
          <t>Sorcery / Feitiço</t>
        </is>
      </c>
      <c r="C2933" s="13" t="inlineStr">
        <is>
          <t>Common / Comum</t>
        </is>
      </c>
      <c r="D2933" s="13" t="inlineStr">
        <is>
          <t>Destroy target land. / Destrua o terreno alvo.</t>
        </is>
      </c>
      <c r="E2933" s="13" t="inlineStr">
        <is>
          <t>{2}{R}</t>
        </is>
      </c>
      <c r="F2933" s="13" t="inlineStr">
        <is>
          <t>Vermelho</t>
        </is>
      </c>
      <c r="G2933" s="8" t="n">
        <v>0.25</v>
      </c>
      <c r="H2933" s="13" t="inlineStr">
        <is>
          <t>Ice Age (ICE)</t>
        </is>
      </c>
      <c r="I2933" s="13" t="inlineStr">
        <is>
          <t>Não</t>
        </is>
      </c>
      <c r="J2933" s="13" t="n">
        <v>1995</v>
      </c>
      <c r="L2933" s="13" t="n">
        <v>3</v>
      </c>
      <c r="M2933" s="8">
        <f>L2933*G2933</f>
        <v/>
      </c>
      <c r="P2933" s="9" t="n"/>
    </row>
    <row r="2934">
      <c r="A2934" s="13" t="inlineStr">
        <is>
          <t>Stone Rain / Chuva de Pedras</t>
        </is>
      </c>
      <c r="B2934" s="13" t="inlineStr">
        <is>
          <t>Sorcery / Feitiço</t>
        </is>
      </c>
      <c r="C2934" s="13" t="inlineStr">
        <is>
          <t>Common / Comum</t>
        </is>
      </c>
      <c r="D2934" s="13" t="inlineStr">
        <is>
          <t>Destroy target land. / Destrua o terreno alvo.</t>
        </is>
      </c>
      <c r="E2934" s="13" t="inlineStr">
        <is>
          <t>{2}{R}</t>
        </is>
      </c>
      <c r="F2934" s="13" t="inlineStr">
        <is>
          <t>Vermelho</t>
        </is>
      </c>
      <c r="G2934" s="8" t="n">
        <v>0.08</v>
      </c>
      <c r="H2934" s="13" t="inlineStr">
        <is>
          <t xml:space="preserve">Quarta Edição </t>
        </is>
      </c>
      <c r="I2934" s="13" t="inlineStr">
        <is>
          <t>Não</t>
        </is>
      </c>
      <c r="J2934" s="13" t="n">
        <v>1995</v>
      </c>
      <c r="L2934" s="13" t="n">
        <v>4</v>
      </c>
      <c r="M2934" s="8">
        <f>L2934*G2934</f>
        <v/>
      </c>
      <c r="P2934" s="9" t="n"/>
    </row>
    <row r="2935">
      <c r="A2935" s="13" t="inlineStr">
        <is>
          <t>Stone Rain / Chuva de Pedras</t>
        </is>
      </c>
      <c r="B2935" s="13" t="inlineStr">
        <is>
          <t>Sorcery / Feitiço</t>
        </is>
      </c>
      <c r="C2935" s="13" t="inlineStr">
        <is>
          <t>Common / Comum</t>
        </is>
      </c>
      <c r="D2935" s="13" t="inlineStr">
        <is>
          <t>Destroy target land. / Destrua o terreno alvo.</t>
        </is>
      </c>
      <c r="E2935" s="13" t="inlineStr">
        <is>
          <t>{2}{R}</t>
        </is>
      </c>
      <c r="F2935" s="13" t="inlineStr">
        <is>
          <t>Vermelho</t>
        </is>
      </c>
      <c r="G2935" s="8" t="n">
        <v>0.1</v>
      </c>
      <c r="H2935" s="13" t="inlineStr">
        <is>
          <t>Quarta Edição (BB)</t>
        </is>
      </c>
      <c r="I2935" s="13" t="inlineStr">
        <is>
          <t>Não</t>
        </is>
      </c>
      <c r="J2935" s="13" t="n">
        <v>1995</v>
      </c>
      <c r="L2935" s="13" t="n">
        <v>4</v>
      </c>
      <c r="M2935" s="8">
        <f>L2935*G2935</f>
        <v/>
      </c>
      <c r="P2935" s="9" t="n"/>
    </row>
    <row r="2936">
      <c r="A2936" s="13" t="inlineStr">
        <is>
          <t>Stone Rain / Chuva de Pedras</t>
        </is>
      </c>
      <c r="B2936" s="13" t="inlineStr">
        <is>
          <t>Sorcery / Feitiço</t>
        </is>
      </c>
      <c r="C2936" s="13" t="inlineStr">
        <is>
          <t>Common / Comum</t>
        </is>
      </c>
      <c r="D2936" s="13" t="inlineStr">
        <is>
          <t>Destroy target land. / Destrua o terreno alvo.</t>
        </is>
      </c>
      <c r="E2936" s="13" t="inlineStr">
        <is>
          <t>{2}{R}</t>
        </is>
      </c>
      <c r="F2936" s="13" t="inlineStr">
        <is>
          <t>Vermelho</t>
        </is>
      </c>
      <c r="G2936" s="8" t="n">
        <v>0.25</v>
      </c>
      <c r="H2936" s="13" t="inlineStr">
        <is>
          <t>Revised Edition</t>
        </is>
      </c>
      <c r="I2936" s="13" t="inlineStr">
        <is>
          <t>Não</t>
        </is>
      </c>
      <c r="J2936" s="13" t="n">
        <v>1995</v>
      </c>
      <c r="L2936" s="13" t="n">
        <v>2</v>
      </c>
      <c r="M2936" s="8">
        <f>L2936*G2936</f>
        <v/>
      </c>
      <c r="P2936" s="9" t="n"/>
    </row>
    <row r="2937">
      <c r="A2937" s="13" t="inlineStr">
        <is>
          <t>Stonecloaker / Ocultador de Pedra</t>
        </is>
      </c>
      <c r="B2937" s="13" t="inlineStr">
        <is>
          <t>Criatura — Gárgula</t>
        </is>
      </c>
      <c r="C2937" s="13" t="inlineStr">
        <is>
          <t>Incomum</t>
        </is>
      </c>
      <c r="D2937" s="13"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2937" s="13" t="inlineStr">
        <is>
          <t>2W</t>
        </is>
      </c>
      <c r="F2937" s="13" t="inlineStr">
        <is>
          <t>Branco</t>
        </is>
      </c>
      <c r="G2937" s="8" t="n">
        <v>0.15</v>
      </c>
      <c r="H2937" s="13" t="inlineStr">
        <is>
          <t>Duel Decks: Speed vs. Cunning</t>
        </is>
      </c>
      <c r="I2937" s="13" t="inlineStr">
        <is>
          <t>Não</t>
        </is>
      </c>
      <c r="J2937" s="13" t="n">
        <v>2014</v>
      </c>
      <c r="K2937" s="10" t="n">
        <v>46056</v>
      </c>
      <c r="L2937" s="13" t="n">
        <v>1</v>
      </c>
      <c r="M2937" s="8">
        <f>L2937*G2937</f>
        <v/>
      </c>
      <c r="P2937" s="9" t="n"/>
    </row>
    <row r="2938">
      <c r="A2938" s="13" t="inlineStr">
        <is>
          <t>Stonefury / Litofúria</t>
        </is>
      </c>
      <c r="B2938" s="13" t="inlineStr">
        <is>
          <t>Instant / Mágica Instantânea</t>
        </is>
      </c>
      <c r="C2938" s="13" t="inlineStr">
        <is>
          <t>Common / Comum</t>
        </is>
      </c>
      <c r="D2938" s="13" t="inlineStr">
        <is>
          <t>Stonefury deals damage to target creature equal to the number of lands you control. / Litofúria causa à criatura alvo uma quantidade de dano igual ao número de terrenos que você controla.</t>
        </is>
      </c>
      <c r="E2938" s="13" t="inlineStr">
        <is>
          <t>{3}{R}{R}</t>
        </is>
      </c>
      <c r="F2938" s="13" t="inlineStr">
        <is>
          <t>Vermelho</t>
        </is>
      </c>
      <c r="G2938" s="8" t="n">
        <v>0.05</v>
      </c>
      <c r="H2938" s="13" t="inlineStr">
        <is>
          <t>Commander Legends (CMR)</t>
        </is>
      </c>
      <c r="I2938" s="13" t="inlineStr">
        <is>
          <t>Não</t>
        </is>
      </c>
      <c r="J2938" s="13" t="n">
        <v>2020</v>
      </c>
      <c r="L2938" s="13" t="n">
        <v>1</v>
      </c>
      <c r="M2938" s="8">
        <f>L2938*G2938</f>
        <v/>
      </c>
      <c r="P2938" s="9" t="n"/>
    </row>
    <row r="2939">
      <c r="A2939" s="13" t="inlineStr">
        <is>
          <t>Stonehands / Mãos de Pedra</t>
        </is>
      </c>
      <c r="B2939" s="13" t="inlineStr">
        <is>
          <t>Enchantment — Aura</t>
        </is>
      </c>
      <c r="C2939" s="13" t="inlineStr">
        <is>
          <t>Common / Comum</t>
        </is>
      </c>
      <c r="D2939" s="13" t="inlineStr">
        <is>
          <t>Enchant creature Enchanted creature gets +0/+2. {R}: Enchanted creature gets +1/+0 until end of turn.</t>
        </is>
      </c>
      <c r="E2939" s="13" t="inlineStr">
        <is>
          <t>{2}{R}</t>
        </is>
      </c>
      <c r="F2939" s="13" t="inlineStr">
        <is>
          <t>Vermelho</t>
        </is>
      </c>
      <c r="G2939" s="8" t="n">
        <v>0.05</v>
      </c>
      <c r="H2939" s="13" t="inlineStr">
        <is>
          <t>Ice Age (ICE)</t>
        </is>
      </c>
      <c r="I2939" s="13" t="inlineStr">
        <is>
          <t>Não</t>
        </is>
      </c>
      <c r="J2939" s="13" t="n">
        <v>1995</v>
      </c>
      <c r="L2939" s="13" t="n">
        <v>2</v>
      </c>
      <c r="M2939" s="8">
        <f>L2939*G2939</f>
        <v/>
      </c>
      <c r="P2939" s="9" t="n"/>
    </row>
    <row r="2940">
      <c r="A2940" s="13" t="inlineStr">
        <is>
          <t>Stonewise Fortifier / Fortificador Petrisábio</t>
        </is>
      </c>
      <c r="B2940" s="13" t="inlineStr">
        <is>
          <t>Creature — Human Wizard / Criatura — Humano Mago</t>
        </is>
      </c>
      <c r="C2940" s="13" t="inlineStr">
        <is>
          <t>Common / Comum</t>
        </is>
      </c>
      <c r="D2940" s="13" t="inlineStr">
        <is>
          <t>{4}{W}: Prevent all damage that would be dealt to this creature by target creature this turn. / {4}{W}: Previna todo o dano que seria causado a Fortificador Petrisábio pela criatura alvo neste turno.</t>
        </is>
      </c>
      <c r="E2940" s="13" t="inlineStr">
        <is>
          <t>{1}{W}</t>
        </is>
      </c>
      <c r="F2940" s="13" t="inlineStr">
        <is>
          <t>Branco</t>
        </is>
      </c>
      <c r="G2940" s="8" t="n">
        <v>0.03</v>
      </c>
      <c r="H2940" s="13" t="inlineStr">
        <is>
          <t>Journey into Nyx (JOU)</t>
        </is>
      </c>
      <c r="I2940" s="13" t="inlineStr">
        <is>
          <t>Não</t>
        </is>
      </c>
      <c r="J2940" s="13" t="n">
        <v>2014</v>
      </c>
      <c r="K2940" s="10" t="n">
        <v>46055</v>
      </c>
      <c r="L2940" s="13" t="n">
        <v>3</v>
      </c>
      <c r="M2940" s="8">
        <f>L2940*G2940</f>
        <v/>
      </c>
      <c r="P2940" s="9" t="n"/>
    </row>
    <row r="2941">
      <c r="A2941" s="13" t="inlineStr">
        <is>
          <t>Stonewood Invoker / Invocador da Selva de Pedras</t>
        </is>
      </c>
      <c r="B2941" s="13" t="inlineStr">
        <is>
          <t>Creature — Elf Mutant / Criatura — Elfo Mutante</t>
        </is>
      </c>
      <c r="C2941" s="13" t="inlineStr">
        <is>
          <t>Common / Comum</t>
        </is>
      </c>
      <c r="D2941" s="13" t="inlineStr">
        <is>
          <t>{7}{G}: This creature gets +5/+5 until end of turn. / {7}{G}: Invocador da Selva de Pedras recebe +5/+5 até o final do turno.</t>
        </is>
      </c>
      <c r="E2941" s="13" t="inlineStr">
        <is>
          <t>{1}{G}</t>
        </is>
      </c>
      <c r="F2941" s="13" t="inlineStr">
        <is>
          <t>Verde</t>
        </is>
      </c>
      <c r="G2941" s="8" t="n">
        <v>0.1</v>
      </c>
      <c r="H2941" s="13" t="inlineStr">
        <is>
          <t>Dominaria Remastered (DMR)</t>
        </is>
      </c>
      <c r="I2941" s="13" t="inlineStr">
        <is>
          <t>Não</t>
        </is>
      </c>
      <c r="J2941" s="13" t="n">
        <v>2023</v>
      </c>
      <c r="K2941" s="10" t="n">
        <v>46055</v>
      </c>
      <c r="L2941" s="13" t="n">
        <v>3</v>
      </c>
      <c r="M2941" s="8">
        <f>L2941*G2941</f>
        <v/>
      </c>
      <c r="P2941" s="9" t="n"/>
    </row>
    <row r="2942">
      <c r="A2942" s="13" t="inlineStr">
        <is>
          <t>Stonework Packbeast / Besta de Carga Pétrea</t>
        </is>
      </c>
      <c r="B2942" s="13" t="inlineStr">
        <is>
          <t>Artifact Creature — Beast / Criatura Artefato — Besta</t>
        </is>
      </c>
      <c r="C2942" s="13" t="inlineStr">
        <is>
          <t>Common / Comum</t>
        </is>
      </c>
      <c r="D2942" s="13" t="inlineStr">
        <is>
          <t>Stonework Packbeast is also a Cleric, Rogue, Warrior, and Wizard. {2}: Add one mana of any color.</t>
        </is>
      </c>
      <c r="E2942" s="13" t="inlineStr">
        <is>
          <t>{2}</t>
        </is>
      </c>
      <c r="F2942" s="13" t="inlineStr">
        <is>
          <t>Incolor</t>
        </is>
      </c>
      <c r="G2942" s="8" t="n">
        <v>0.05</v>
      </c>
      <c r="H2942" s="13" t="inlineStr">
        <is>
          <t>Zendikar Rising (ZNR)</t>
        </is>
      </c>
      <c r="I2942" s="13" t="inlineStr">
        <is>
          <t>No</t>
        </is>
      </c>
      <c r="J2942" s="13" t="n">
        <v>2020</v>
      </c>
      <c r="K2942" s="10" t="n">
        <v>46024</v>
      </c>
      <c r="L2942" s="13" t="n">
        <v>1</v>
      </c>
      <c r="M2942" s="8">
        <f>L2942*G2942</f>
        <v/>
      </c>
      <c r="P2942" s="9" t="n"/>
    </row>
    <row r="2943">
      <c r="A2943" s="13" t="inlineStr">
        <is>
          <t>Storm of Steel / Tempestade de Aço</t>
        </is>
      </c>
      <c r="B2943" s="13" t="inlineStr">
        <is>
          <t>Feitiço</t>
        </is>
      </c>
      <c r="C2943" s="13" t="inlineStr">
        <is>
          <t>Incomum</t>
        </is>
      </c>
      <c r="D2943" s="13" t="inlineStr">
        <is>
          <t>Storm of Steel causa 2 pontos de dano a cada um de um ou dois alvos.</t>
        </is>
      </c>
      <c r="E2943" s="13" t="inlineStr">
        <is>
          <t>3{R}</t>
        </is>
      </c>
      <c r="F2943" s="13" t="inlineStr">
        <is>
          <t>Vermelho</t>
        </is>
      </c>
      <c r="G2943" s="8" t="n">
        <v>0.29</v>
      </c>
      <c r="H2943" s="13" t="inlineStr">
        <is>
          <t>Teenage Mutant Ninja Turtles</t>
        </is>
      </c>
      <c r="I2943" s="13" t="inlineStr">
        <is>
          <t>Não</t>
        </is>
      </c>
      <c r="J2943" s="13" t="n">
        <v>2026</v>
      </c>
      <c r="L2943" s="13" t="n">
        <v>2</v>
      </c>
      <c r="M2943" s="8">
        <f>L2943*G2943</f>
        <v/>
      </c>
      <c r="P2943" s="9" t="n"/>
    </row>
    <row r="2944">
      <c r="A2944" s="13" t="inlineStr">
        <is>
          <t>Storm Spirit / Espírito da Tempestade</t>
        </is>
      </c>
      <c r="B2944" s="13" t="inlineStr">
        <is>
          <t>Creature — Elemental Spirit</t>
        </is>
      </c>
      <c r="C2944" s="13" t="inlineStr">
        <is>
          <t>Rare / Rara</t>
        </is>
      </c>
      <c r="D2944" s="13" t="inlineStr">
        <is>
          <t>Flying {T}: This creature deals 2 damage to target creature.</t>
        </is>
      </c>
      <c r="E2944" s="13" t="inlineStr">
        <is>
          <t>{3}{G}{W}{U}</t>
        </is>
      </c>
      <c r="F2944" s="13" t="inlineStr">
        <is>
          <t>Verde, Azul, Branco</t>
        </is>
      </c>
      <c r="G2944" s="8" t="n">
        <v>3.68</v>
      </c>
      <c r="H2944" s="13" t="inlineStr">
        <is>
          <t>Ice Age (ICE)</t>
        </is>
      </c>
      <c r="I2944" s="13" t="inlineStr">
        <is>
          <t>Não</t>
        </is>
      </c>
      <c r="J2944" s="13" t="n">
        <v>1995</v>
      </c>
      <c r="K2944" s="10" t="n">
        <v>46084</v>
      </c>
      <c r="L2944" s="13" t="n">
        <v>1</v>
      </c>
      <c r="M2944" s="8">
        <f>L2944*G2944</f>
        <v/>
      </c>
      <c r="N2944" s="13" t="inlineStr">
        <is>
          <t>Pasta</t>
        </is>
      </c>
      <c r="P2944" s="9" t="n"/>
    </row>
    <row r="2945">
      <c r="A2945" s="13" t="inlineStr">
        <is>
          <t>Storm-Kiln Artist / Artista da Fornalha Tempestuosa</t>
        </is>
      </c>
      <c r="B2945" s="13" t="inlineStr">
        <is>
          <t>Creature — Dwarf Shaman / Criatura — Anão Xamã</t>
        </is>
      </c>
      <c r="C2945" s="13" t="inlineStr">
        <is>
          <t>Uncommon / Incomum</t>
        </is>
      </c>
      <c r="D2945" s="13"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2945" s="13" t="inlineStr">
        <is>
          <t>{3}{R}</t>
        </is>
      </c>
      <c r="F2945" s="13" t="inlineStr">
        <is>
          <t>Vermelho</t>
        </is>
      </c>
      <c r="G2945" s="8" t="n">
        <v>17.69</v>
      </c>
      <c r="H2945" s="13" t="inlineStr">
        <is>
          <t>Commander Masters (CMM)</t>
        </is>
      </c>
      <c r="I2945" s="13" t="inlineStr">
        <is>
          <t>Não</t>
        </is>
      </c>
      <c r="J2945" s="13" t="n">
        <v>2023</v>
      </c>
      <c r="K2945" s="10" t="n">
        <v>46055</v>
      </c>
      <c r="L2945" s="13" t="n">
        <v>1</v>
      </c>
      <c r="M2945" s="8">
        <f>L2945*G2945</f>
        <v/>
      </c>
      <c r="N2945" s="13" t="inlineStr">
        <is>
          <t>Pasta</t>
        </is>
      </c>
      <c r="P2945" s="9" t="n"/>
    </row>
    <row r="2946">
      <c r="A2946" s="13" t="inlineStr">
        <is>
          <t>Stormbound Geist / Geist da Tempestade</t>
        </is>
      </c>
      <c r="B2946" s="13" t="inlineStr">
        <is>
          <t>Creature — Spirit / Criatura — Espírito</t>
        </is>
      </c>
      <c r="C2946" s="13" t="inlineStr">
        <is>
          <t>Common / Comum</t>
        </is>
      </c>
      <c r="D2946" s="13"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2946" s="13" t="inlineStr">
        <is>
          <t>{1}{U}{U}</t>
        </is>
      </c>
      <c r="F2946" s="13" t="inlineStr">
        <is>
          <t>Azul</t>
        </is>
      </c>
      <c r="G2946" s="8" t="n">
        <v>0.17</v>
      </c>
      <c r="H2946" s="13" t="inlineStr">
        <is>
          <t>Dark Ascension (DKA)</t>
        </is>
      </c>
      <c r="I2946" s="13" t="inlineStr">
        <is>
          <t>Não</t>
        </is>
      </c>
      <c r="J2946" s="13" t="n">
        <v>2012</v>
      </c>
      <c r="K2946" s="10" t="n">
        <v>46055</v>
      </c>
      <c r="L2946" s="13" t="n">
        <v>3</v>
      </c>
      <c r="M2946" s="8">
        <f>L2946*G2946</f>
        <v/>
      </c>
      <c r="P2946" s="9" t="n"/>
    </row>
    <row r="2947">
      <c r="A2947" s="13" t="inlineStr">
        <is>
          <t>Stormchaser Chimera / Quimera Caçadora de Tempestade</t>
        </is>
      </c>
      <c r="B2947" s="13" t="inlineStr">
        <is>
          <t>Creature — Chimera / Criatura — Quimera</t>
        </is>
      </c>
      <c r="C2947" s="13" t="inlineStr">
        <is>
          <t>Uncommon / Incomum</t>
        </is>
      </c>
      <c r="D2947" s="13"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947" s="13" t="inlineStr">
        <is>
          <t>{2}{U}{R}</t>
        </is>
      </c>
      <c r="F2947" s="13" t="inlineStr">
        <is>
          <t>Vermelho, Azul</t>
        </is>
      </c>
      <c r="G2947" s="8" t="n">
        <v>0.05</v>
      </c>
      <c r="H2947" s="13" t="inlineStr">
        <is>
          <t>Journey into Nyx (JOU)</t>
        </is>
      </c>
      <c r="I2947" s="13" t="inlineStr">
        <is>
          <t>Não</t>
        </is>
      </c>
      <c r="J2947" s="13" t="n">
        <v>2014</v>
      </c>
      <c r="K2947" s="10" t="n">
        <v>46083</v>
      </c>
      <c r="L2947" s="13" t="n">
        <v>1</v>
      </c>
      <c r="M2947" s="8">
        <f>L2947*G2947</f>
        <v/>
      </c>
      <c r="P2947" s="9" t="n"/>
    </row>
    <row r="2948">
      <c r="A2948" s="13" t="inlineStr">
        <is>
          <t>Stormchaser Mage / Mago Caçador de Tempestades</t>
        </is>
      </c>
      <c r="B2948" s="13" t="inlineStr">
        <is>
          <t>Creature — Human Wizard / Criatura — Humano Mago</t>
        </is>
      </c>
      <c r="C2948" s="13" t="inlineStr">
        <is>
          <t>Uncommon / Incomum</t>
        </is>
      </c>
      <c r="D2948" s="13" t="inlineStr">
        <is>
          <t>Flying, haste Prowess (Whenever you cast a noncreature spell, this creature gets +1/+1 until end of turn.) / Voar, ímpeto Destreza (Toda vez que você conjura uma mágica que não seja de criatura, esta criatura recebe +1/+1 até o final do turno.)</t>
        </is>
      </c>
      <c r="E2948" s="13" t="inlineStr">
        <is>
          <t>{U}{R}</t>
        </is>
      </c>
      <c r="F2948" s="13" t="inlineStr">
        <is>
          <t>Vermelho, Azul</t>
        </is>
      </c>
      <c r="G2948" s="8" t="n">
        <v>0.08</v>
      </c>
      <c r="H2948" s="13" t="inlineStr">
        <is>
          <t>Oath of the Gatewatch (OGW)</t>
        </is>
      </c>
      <c r="I2948" s="13" t="inlineStr">
        <is>
          <t>Não</t>
        </is>
      </c>
      <c r="J2948" s="13" t="n">
        <v>2016</v>
      </c>
      <c r="K2948" s="10" t="n">
        <v>46082</v>
      </c>
      <c r="L2948" s="13" t="n">
        <v>4</v>
      </c>
      <c r="M2948" s="8">
        <f>L2948*G2948</f>
        <v/>
      </c>
      <c r="P2948" s="9" t="n"/>
    </row>
    <row r="2949">
      <c r="A2949" s="13" t="inlineStr">
        <is>
          <t>Stormrider Spirit / Espírito Ginete de Tempestade</t>
        </is>
      </c>
      <c r="B2949" s="13" t="inlineStr">
        <is>
          <t>Creature — Spirit / Criatura — Espírito</t>
        </is>
      </c>
      <c r="C2949" s="13" t="inlineStr">
        <is>
          <t>Common / Comum</t>
        </is>
      </c>
      <c r="D2949" s="13" t="inlineStr">
        <is>
          <t>Flash Flying / Lampejo Voar</t>
        </is>
      </c>
      <c r="E2949" s="13" t="inlineStr">
        <is>
          <t>{4}{U}</t>
        </is>
      </c>
      <c r="F2949" s="13" t="inlineStr">
        <is>
          <t>Azul</t>
        </is>
      </c>
      <c r="G2949" s="8" t="n">
        <v>0.09</v>
      </c>
      <c r="H2949" s="13" t="inlineStr">
        <is>
          <t>Innistrad: Midnight Hunt (MID)</t>
        </is>
      </c>
      <c r="I2949" s="13" t="inlineStr">
        <is>
          <t>Não</t>
        </is>
      </c>
      <c r="J2949" s="13" t="n">
        <v>2021</v>
      </c>
      <c r="K2949" s="10" t="n">
        <v>46084</v>
      </c>
      <c r="L2949" s="13" t="n">
        <v>2</v>
      </c>
      <c r="M2949" s="8">
        <f>L2949*G2949</f>
        <v/>
      </c>
      <c r="P2949" s="9" t="n"/>
    </row>
    <row r="2950">
      <c r="A2950" s="13" t="inlineStr">
        <is>
          <t>Story Seeker / Buscadora de Histórias</t>
        </is>
      </c>
      <c r="B2950" s="13" t="inlineStr">
        <is>
          <t>Creature — Dwarf Cleric / Criatura — Anão Clérigo</t>
        </is>
      </c>
      <c r="C2950" s="13" t="inlineStr">
        <is>
          <t>Common / Comum</t>
        </is>
      </c>
      <c r="D2950" s="13" t="inlineStr">
        <is>
          <t>Lifelink / Vínculo com a vida</t>
        </is>
      </c>
      <c r="E2950" s="13" t="inlineStr">
        <is>
          <t>{1}{W}</t>
        </is>
      </c>
      <c r="F2950" s="13" t="inlineStr">
        <is>
          <t>Branco</t>
        </is>
      </c>
      <c r="G2950" s="8" t="n">
        <v>0.06</v>
      </c>
      <c r="H2950" s="13" t="inlineStr">
        <is>
          <t>Kaldheim (KHM)</t>
        </is>
      </c>
      <c r="I2950" s="13" t="inlineStr">
        <is>
          <t>Não</t>
        </is>
      </c>
      <c r="J2950" s="13" t="n">
        <v>2021</v>
      </c>
      <c r="K2950" s="10" t="n">
        <v>46055</v>
      </c>
      <c r="L2950" s="13" t="n">
        <v>1</v>
      </c>
      <c r="M2950" s="8">
        <f>L2950*G2950</f>
        <v/>
      </c>
      <c r="P2950" s="9" t="n"/>
    </row>
    <row r="2951">
      <c r="A2951" s="13" t="inlineStr">
        <is>
          <t>Strategic Planning / Planejamento Estratégico</t>
        </is>
      </c>
      <c r="B2951" s="13" t="inlineStr">
        <is>
          <t>Sorcery / Feitiço</t>
        </is>
      </c>
      <c r="C2951" s="13" t="inlineStr">
        <is>
          <t>Common / Comum</t>
        </is>
      </c>
      <c r="D2951" s="13" t="inlineStr">
        <is>
          <t>Look at the top three cards of your library. Put one of them into your hand and the rest into your graveyard. / Olhe os três cards do topo de seu grimório. Coloque um deles em sua mão e o restante em seu cemitério.</t>
        </is>
      </c>
      <c r="E2951" s="13" t="inlineStr">
        <is>
          <t>{1}{U}</t>
        </is>
      </c>
      <c r="F2951" s="13" t="inlineStr">
        <is>
          <t>Azul</t>
        </is>
      </c>
      <c r="G2951" s="8" t="n">
        <v>0.06</v>
      </c>
      <c r="H2951" s="13" t="inlineStr">
        <is>
          <t>Kaldheim (KHM)</t>
        </is>
      </c>
      <c r="I2951" s="13" t="inlineStr">
        <is>
          <t>Não</t>
        </is>
      </c>
      <c r="J2951" s="13" t="n">
        <v>2021</v>
      </c>
      <c r="L2951" s="13" t="n">
        <v>1</v>
      </c>
      <c r="M2951" s="8">
        <f>L2951*G2951</f>
        <v/>
      </c>
      <c r="P2951" s="9" t="n"/>
    </row>
    <row r="2952">
      <c r="A2952" s="13" t="inlineStr">
        <is>
          <t>Strategic Planning / Planejamento Estratégico</t>
        </is>
      </c>
      <c r="B2952" s="13" t="inlineStr">
        <is>
          <t>Sorcery / Feitiço</t>
        </is>
      </c>
      <c r="C2952" s="13" t="inlineStr">
        <is>
          <t>Uncommon / Incomum</t>
        </is>
      </c>
      <c r="D2952" s="13" t="inlineStr">
        <is>
          <t>Look at the top three cards of your library. Put one of them into your hand and the rest into your graveyard. / Olhe os três cards do topo de seu grimório. Coloque um deles em sua mão e o restante em seu cemitério.</t>
        </is>
      </c>
      <c r="E2952" s="13" t="inlineStr">
        <is>
          <t>{1}{U}</t>
        </is>
      </c>
      <c r="F2952" s="13" t="inlineStr">
        <is>
          <t>Azul</t>
        </is>
      </c>
      <c r="G2952" s="8" t="n">
        <v>0.25</v>
      </c>
      <c r="H2952" s="13" t="inlineStr">
        <is>
          <t>Strixhaven Mystical Archive (STA)</t>
        </is>
      </c>
      <c r="I2952" s="13" t="inlineStr">
        <is>
          <t>Não</t>
        </is>
      </c>
      <c r="J2952" s="13" t="n">
        <v>2021</v>
      </c>
      <c r="L2952" s="13" t="n">
        <v>2</v>
      </c>
      <c r="M2952" s="8">
        <f>L2952*G2952</f>
        <v/>
      </c>
      <c r="P2952" s="9" t="n"/>
    </row>
    <row r="2953">
      <c r="A2953" s="13" t="inlineStr">
        <is>
          <t>Stratosoarer</t>
        </is>
      </c>
      <c r="B2953" s="13" t="inlineStr">
        <is>
          <t>Creature — Elemental</t>
        </is>
      </c>
      <c r="C2953" s="13" t="inlineStr">
        <is>
          <t>Common</t>
        </is>
      </c>
      <c r="D2953" s="13" t="inlineStr">
        <is>
          <t>Flying. When this creature enters, target creature gains flying until end of turn. Basic landcycling {1}{U} ({1}{U}, Discard this card: Search your library for a basic land card, reveal it, put it into your hand, then shuffle.)</t>
        </is>
      </c>
      <c r="E2953" s="13" t="inlineStr">
        <is>
          <t>{4}{U}</t>
        </is>
      </c>
      <c r="F2953" s="13" t="inlineStr">
        <is>
          <t>Azul</t>
        </is>
      </c>
      <c r="G2953" s="8" t="n">
        <v>0.1</v>
      </c>
      <c r="H2953" s="13" t="inlineStr">
        <is>
          <t>Lorwyn Eclipsed (ECL)</t>
        </is>
      </c>
      <c r="I2953" s="13" t="inlineStr">
        <is>
          <t>Não</t>
        </is>
      </c>
      <c r="J2953" s="13" t="n">
        <v>2026</v>
      </c>
      <c r="K2953" s="10" t="n">
        <v>46145</v>
      </c>
      <c r="L2953" s="13" t="n">
        <v>1</v>
      </c>
      <c r="M2953" s="8">
        <f>L2953*G2953</f>
        <v/>
      </c>
      <c r="P2953" s="9" t="n"/>
    </row>
    <row r="2954">
      <c r="A2954" s="13" t="inlineStr">
        <is>
          <t>Stratus Walk / Caminhar nos Estratos</t>
        </is>
      </c>
      <c r="B2954" s="13" t="inlineStr">
        <is>
          <t>Enchantment — Aura / Encantamento — Aura</t>
        </is>
      </c>
      <c r="C2954" s="13" t="inlineStr">
        <is>
          <t>Common / Comum</t>
        </is>
      </c>
      <c r="D2954" s="13"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2954" s="13" t="inlineStr">
        <is>
          <t>{1}{U}</t>
        </is>
      </c>
      <c r="F2954" s="13" t="inlineStr">
        <is>
          <t>Azul</t>
        </is>
      </c>
      <c r="G2954" s="8" t="n">
        <v>0.15</v>
      </c>
      <c r="H2954" s="13" t="inlineStr">
        <is>
          <t>Magic Origins (ORI)</t>
        </is>
      </c>
      <c r="I2954" s="13" t="inlineStr">
        <is>
          <t>Sim</t>
        </is>
      </c>
      <c r="J2954" s="13" t="n">
        <v>2015</v>
      </c>
      <c r="L2954" s="13" t="n">
        <v>1</v>
      </c>
      <c r="M2954" s="8">
        <f>L2954*G2954</f>
        <v/>
      </c>
      <c r="P2954" s="9" t="n"/>
    </row>
    <row r="2955">
      <c r="A2955" s="13" t="inlineStr">
        <is>
          <t>Streaking Oilgorger</t>
        </is>
      </c>
      <c r="B2955" s="13" t="inlineStr">
        <is>
          <t>Creature — Vampire</t>
        </is>
      </c>
      <c r="C2955" s="13" t="inlineStr">
        <is>
          <t>Common / Comum</t>
        </is>
      </c>
      <c r="D2955" s="13" t="inlineStr">
        <is>
          <t>Flying, haste Start your engines! (If you have no speed, it starts at 1. It increases once on each of your turns when an opponent loses life. Max speed is 4.) Max speed — This creature has lifelink.</t>
        </is>
      </c>
      <c r="E2955" s="13" t="inlineStr">
        <is>
          <t>{4}{B}</t>
        </is>
      </c>
      <c r="F2955" s="13" t="inlineStr">
        <is>
          <t>Preto</t>
        </is>
      </c>
      <c r="G2955" s="8" t="n">
        <v>0.05</v>
      </c>
      <c r="H2955" s="13" t="inlineStr">
        <is>
          <t>Aetherdrift (DFT)</t>
        </is>
      </c>
      <c r="I2955" s="13" t="inlineStr">
        <is>
          <t>Não</t>
        </is>
      </c>
      <c r="J2955" s="13" t="n">
        <v>2025</v>
      </c>
      <c r="K2955" s="10" t="n">
        <v>46084</v>
      </c>
      <c r="L2955" s="13" t="n">
        <v>1</v>
      </c>
      <c r="M2955" s="8">
        <f>L2955*G2955</f>
        <v/>
      </c>
      <c r="P2955" s="9" t="n"/>
    </row>
    <row r="2956">
      <c r="A2956" s="13" t="inlineStr">
        <is>
          <t>Streetwise Negotiator / Negociadora das Ruas</t>
        </is>
      </c>
      <c r="B2956" s="13" t="inlineStr">
        <is>
          <t>Creature — Cat Citizen / Criatura — Felino Cidadão</t>
        </is>
      </c>
      <c r="C2956" s="13" t="inlineStr">
        <is>
          <t>Uncommon / Incomum</t>
        </is>
      </c>
      <c r="D2956" s="13"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2956" s="13" t="inlineStr">
        <is>
          <t>{1}{G}</t>
        </is>
      </c>
      <c r="F2956" s="13" t="inlineStr">
        <is>
          <t>Verde</t>
        </is>
      </c>
      <c r="G2956" s="8" t="n">
        <v>0.04</v>
      </c>
      <c r="H2956" s="13" t="inlineStr">
        <is>
          <t>March of the Machine (MOM)</t>
        </is>
      </c>
      <c r="I2956" s="13" t="inlineStr">
        <is>
          <t>Não</t>
        </is>
      </c>
      <c r="J2956" s="13" t="n">
        <v>2023</v>
      </c>
      <c r="K2956" s="13" t="inlineStr">
        <is>
          <t>0/2</t>
        </is>
      </c>
      <c r="L2956" s="13" t="n">
        <v>1</v>
      </c>
      <c r="M2956" s="8">
        <f>L2956*G2956</f>
        <v/>
      </c>
      <c r="P2956" s="9" t="n"/>
    </row>
    <row r="2957">
      <c r="A2957" s="13" t="inlineStr">
        <is>
          <t>Strength from the Fallen / Força dos Caídos</t>
        </is>
      </c>
      <c r="B2957" s="13" t="inlineStr">
        <is>
          <t>Enchantment / Encantamento</t>
        </is>
      </c>
      <c r="C2957" s="13" t="inlineStr">
        <is>
          <t>Uncommon / Incomum</t>
        </is>
      </c>
      <c r="D2957" s="13"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957" s="13" t="inlineStr">
        <is>
          <t>{1}{G}</t>
        </is>
      </c>
      <c r="F2957" s="13" t="inlineStr">
        <is>
          <t>Verde</t>
        </is>
      </c>
      <c r="G2957" s="8" t="n">
        <v>0.05</v>
      </c>
      <c r="H2957" s="13" t="inlineStr">
        <is>
          <t>Journey into Nyx (JOU)</t>
        </is>
      </c>
      <c r="I2957" s="13" t="inlineStr">
        <is>
          <t>Não</t>
        </is>
      </c>
      <c r="J2957" s="13" t="n">
        <v>2014</v>
      </c>
      <c r="L2957" s="13" t="n">
        <v>4</v>
      </c>
      <c r="M2957" s="8">
        <f>L2957*G2957</f>
        <v/>
      </c>
      <c r="P2957" s="9" t="n"/>
    </row>
    <row r="2958">
      <c r="A2958" s="13" t="inlineStr">
        <is>
          <t>Strength in Numbers / Força em Números</t>
        </is>
      </c>
      <c r="B2958" s="13" t="inlineStr">
        <is>
          <t>Instant / Mágica Instantânea</t>
        </is>
      </c>
      <c r="C2958" s="13" t="inlineStr">
        <is>
          <t>Common / Comum</t>
        </is>
      </c>
      <c r="D2958" s="13" t="inlineStr">
        <is>
          <t>Until end of turn, target creature gains trample and gets +X/+X, where X is the number of attacking creatures. / Até o final do turno, a criatura alvo ganha atropelar e recebe +X/+X, sendo X o número de criaturas atacantes.</t>
        </is>
      </c>
      <c r="E2958" s="13" t="inlineStr">
        <is>
          <t>{1}{G}</t>
        </is>
      </c>
      <c r="F2958" s="13" t="inlineStr">
        <is>
          <t>Verde</t>
        </is>
      </c>
      <c r="G2958" s="8" t="n">
        <v>0.08</v>
      </c>
      <c r="H2958" s="13" t="inlineStr">
        <is>
          <t>Time Spiral Remastered (TSR)</t>
        </is>
      </c>
      <c r="I2958" s="13" t="inlineStr">
        <is>
          <t>Não</t>
        </is>
      </c>
      <c r="J2958" s="13" t="n">
        <v>2021</v>
      </c>
      <c r="L2958" s="13" t="n">
        <v>1</v>
      </c>
      <c r="M2958" s="8">
        <f>L2958*G2958</f>
        <v/>
      </c>
      <c r="N2958" s="13" t="inlineStr">
        <is>
          <t>Bulk Shopee</t>
        </is>
      </c>
      <c r="P2958" s="9" t="n"/>
    </row>
    <row r="2959">
      <c r="A2959" s="13" t="inlineStr">
        <is>
          <t>Strength of Arms / Força de Armas</t>
        </is>
      </c>
      <c r="B2959" s="13" t="inlineStr">
        <is>
          <t>Instant / Mágica Instantânea</t>
        </is>
      </c>
      <c r="C2959" s="13" t="inlineStr">
        <is>
          <t>Common / Comum</t>
        </is>
      </c>
      <c r="D2959" s="13"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2959" s="13" t="inlineStr">
        <is>
          <t>{W}</t>
        </is>
      </c>
      <c r="F2959" s="13" t="inlineStr">
        <is>
          <t>Branco</t>
        </is>
      </c>
      <c r="G2959" s="8" t="n">
        <v>0.09</v>
      </c>
      <c r="H2959" s="13" t="inlineStr">
        <is>
          <t>Innistrad Remastered (INR)</t>
        </is>
      </c>
      <c r="I2959" s="13" t="inlineStr">
        <is>
          <t>Não</t>
        </is>
      </c>
      <c r="J2959" s="13" t="n">
        <v>2025</v>
      </c>
      <c r="L2959" s="13" t="n">
        <v>1</v>
      </c>
      <c r="M2959" s="8">
        <f>L2959*G2959</f>
        <v/>
      </c>
      <c r="P2959" s="9" t="n"/>
    </row>
    <row r="2960">
      <c r="A2960" s="13" t="inlineStr">
        <is>
          <t>Strength of the Coalition / Força da Coalizão</t>
        </is>
      </c>
      <c r="B2960" s="13" t="inlineStr">
        <is>
          <t>Instant / Mágica Instantânea</t>
        </is>
      </c>
      <c r="C2960" s="13" t="inlineStr">
        <is>
          <t>Uncommon / Incomum</t>
        </is>
      </c>
      <c r="D2960" s="13"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2960" s="13" t="inlineStr">
        <is>
          <t>{G}</t>
        </is>
      </c>
      <c r="F2960" s="13" t="inlineStr">
        <is>
          <t>Verde</t>
        </is>
      </c>
      <c r="G2960" s="8" t="n">
        <v>0.04</v>
      </c>
      <c r="H2960" s="13" t="inlineStr">
        <is>
          <t>Dominaria United (DMU)</t>
        </is>
      </c>
      <c r="I2960" s="13" t="inlineStr">
        <is>
          <t>Não</t>
        </is>
      </c>
      <c r="J2960" s="13" t="n">
        <v>2022</v>
      </c>
      <c r="L2960" s="13" t="n">
        <v>1</v>
      </c>
      <c r="M2960" s="8">
        <f>L2960*G2960</f>
        <v/>
      </c>
      <c r="P2960" s="9" t="n"/>
    </row>
    <row r="2961">
      <c r="A2961" s="13" t="inlineStr">
        <is>
          <t>Strife Scholar / Erudito do Conflito</t>
        </is>
      </c>
      <c r="B2961" s="13" t="inlineStr">
        <is>
          <t>Creature — Orc Sorcerer / Criatura — Orc Feiticeiro</t>
        </is>
      </c>
      <c r="C2961" s="13" t="inlineStr">
        <is>
          <t>Common / Comum</t>
        </is>
      </c>
      <c r="D2961" s="13"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2961" s="13" t="inlineStr">
        <is>
          <t>{2}{R}</t>
        </is>
      </c>
      <c r="F2961" s="13" t="inlineStr">
        <is>
          <t>Vermelho</t>
        </is>
      </c>
      <c r="G2961" s="8" t="n">
        <v>0.32</v>
      </c>
      <c r="H2961" s="13" t="inlineStr">
        <is>
          <t>Shadows of Sothia (SOS)</t>
        </is>
      </c>
      <c r="I2961" s="13" t="inlineStr">
        <is>
          <t>Sim</t>
        </is>
      </c>
      <c r="J2961" s="13" t="n">
        <v>2026</v>
      </c>
      <c r="K2961" s="10" t="n">
        <v>46056</v>
      </c>
      <c r="L2961" s="13" t="n">
        <v>1</v>
      </c>
      <c r="M2961" s="8">
        <f>L2961*G2961</f>
        <v/>
      </c>
      <c r="P2961" s="9" t="n"/>
    </row>
    <row r="2962">
      <c r="A2962" s="13" t="inlineStr">
        <is>
          <t>Strife Scholar / Erudito do Conflito</t>
        </is>
      </c>
      <c r="B2962" s="13" t="inlineStr">
        <is>
          <t>Creature — Orc Sorcerer / Criatura — Orc Feiticeiro</t>
        </is>
      </c>
      <c r="C2962" s="13" t="inlineStr">
        <is>
          <t>Common / Comum</t>
        </is>
      </c>
      <c r="D2962" s="13"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2962" s="13" t="inlineStr">
        <is>
          <t>{2}{R}</t>
        </is>
      </c>
      <c r="F2962" s="13" t="inlineStr">
        <is>
          <t>Vermelho</t>
        </is>
      </c>
      <c r="G2962" s="8" t="n">
        <v>0.06</v>
      </c>
      <c r="H2962" s="13" t="inlineStr">
        <is>
          <t>Shadows of Sothia (SOS)</t>
        </is>
      </c>
      <c r="I2962" s="13" t="inlineStr">
        <is>
          <t>No</t>
        </is>
      </c>
      <c r="J2962" s="13" t="n">
        <v>2026</v>
      </c>
      <c r="K2962" s="10" t="n">
        <v>46056</v>
      </c>
      <c r="L2962" s="13" t="n">
        <v>1</v>
      </c>
      <c r="M2962" s="8">
        <f>L2962*G2962</f>
        <v/>
      </c>
      <c r="P2962" s="9" t="n"/>
    </row>
    <row r="2963">
      <c r="A2963" s="13" t="inlineStr">
        <is>
          <t>Strix Lookout</t>
        </is>
      </c>
      <c r="B2963" s="13" t="inlineStr">
        <is>
          <t>Creature — Bird</t>
        </is>
      </c>
      <c r="C2963" s="13" t="inlineStr">
        <is>
          <t>Common / Comum</t>
        </is>
      </c>
      <c r="D2963" s="13" t="inlineStr">
        <is>
          <t>Flying, vigilance (Attacking doesn't cause this creature to tap.) {1}{U}, {T}: Draw a card, then discard a card.</t>
        </is>
      </c>
      <c r="E2963" s="13" t="inlineStr">
        <is>
          <t>{1}{U}</t>
        </is>
      </c>
      <c r="F2963" s="13" t="inlineStr">
        <is>
          <t>Azul</t>
        </is>
      </c>
      <c r="G2963" s="8" t="n">
        <v>0.05</v>
      </c>
      <c r="H2963" s="13" t="inlineStr">
        <is>
          <t>Foundations (FDN)</t>
        </is>
      </c>
      <c r="I2963" s="13" t="inlineStr">
        <is>
          <t>Não</t>
        </is>
      </c>
      <c r="J2963" s="13" t="n">
        <v>2026</v>
      </c>
      <c r="K2963" s="10" t="n">
        <v>46054</v>
      </c>
      <c r="L2963" s="13" t="n">
        <v>2</v>
      </c>
      <c r="M2963" s="8">
        <f>L2963*G2963</f>
        <v/>
      </c>
      <c r="P2963" s="9" t="n"/>
    </row>
    <row r="2964">
      <c r="A2964" s="13" t="inlineStr">
        <is>
          <t>Strongarm Monk / Monge Braço-forte</t>
        </is>
      </c>
      <c r="B2964" s="13" t="inlineStr">
        <is>
          <t>Creature — Human Monk / Criatura — Humano Monge</t>
        </is>
      </c>
      <c r="C2964" s="13" t="inlineStr">
        <is>
          <t>Uncommon / Incomum</t>
        </is>
      </c>
      <c r="D2964" s="13" t="inlineStr">
        <is>
          <t>Whenever you cast a noncreature spell, creatures you control get +1/+1 until end of turn. / Toda vez que você conjura uma mágica que não seja de criatura, as criaturas que você controla recebem +1/+1 até o final do turno.</t>
        </is>
      </c>
      <c r="E2964" s="13" t="inlineStr">
        <is>
          <t>{4}{W}</t>
        </is>
      </c>
      <c r="F2964" s="13" t="inlineStr">
        <is>
          <t>Branco</t>
        </is>
      </c>
      <c r="G2964" s="8" t="n">
        <v>0.06</v>
      </c>
      <c r="H2964" s="13" t="inlineStr">
        <is>
          <t>Dragons of Tarkir (DTK)</t>
        </is>
      </c>
      <c r="I2964" s="13" t="inlineStr">
        <is>
          <t>Não</t>
        </is>
      </c>
      <c r="J2964" s="13" t="n">
        <v>2015</v>
      </c>
      <c r="K2964" s="10" t="n">
        <v>46084</v>
      </c>
      <c r="L2964" s="13" t="n">
        <v>1</v>
      </c>
      <c r="M2964" s="8">
        <f>L2964*G2964</f>
        <v/>
      </c>
      <c r="N2964" s="13" t="inlineStr">
        <is>
          <t>Bulk Shopee</t>
        </is>
      </c>
      <c r="P2964" s="9" t="n"/>
    </row>
    <row r="2965">
      <c r="A2965" s="13" t="inlineStr">
        <is>
          <t>Stuck in Summoner's Sanctum / Preso no Santuário do Invocador</t>
        </is>
      </c>
      <c r="B2965" s="13" t="inlineStr">
        <is>
          <t>Encantamento — Aura</t>
        </is>
      </c>
      <c r="C2965" s="13" t="inlineStr">
        <is>
          <t>Comum</t>
        </is>
      </c>
      <c r="D2965" s="13" t="inlineStr">
        <is>
          <t>Lampejo. Encantar artefato ou criatura. Quando esta Aura entrar, vire a permanente encantada. A permanente encantada não desvire durante a etapa de desvirar de seu controlador e suas habilidades ativadas não podem ser ativadas.</t>
        </is>
      </c>
      <c r="E2965" s="13" t="inlineStr">
        <is>
          <t>2{U}</t>
        </is>
      </c>
      <c r="F2965" s="13" t="inlineStr">
        <is>
          <t>Azul</t>
        </is>
      </c>
      <c r="G2965" s="8" t="n">
        <v>0.02</v>
      </c>
      <c r="H2965" s="13" t="inlineStr">
        <is>
          <t>Final Fantasy</t>
        </is>
      </c>
      <c r="I2965" s="13" t="inlineStr">
        <is>
          <t>Não</t>
        </is>
      </c>
      <c r="J2965" s="13" t="n">
        <v>2025</v>
      </c>
      <c r="L2965" s="13" t="n">
        <v>10</v>
      </c>
      <c r="M2965" s="8">
        <f>L2965*G2965</f>
        <v/>
      </c>
      <c r="P2965" s="9" t="n"/>
    </row>
    <row r="2966">
      <c r="A2966" s="13" t="inlineStr">
        <is>
          <t>Stuck in Summoner's Sanctum / Preso no Santuário do Invocador</t>
        </is>
      </c>
      <c r="B2966" s="13" t="inlineStr">
        <is>
          <t>Encantamento — Aura</t>
        </is>
      </c>
      <c r="C2966" s="13" t="inlineStr">
        <is>
          <t>Comum</t>
        </is>
      </c>
      <c r="D2966" s="13" t="inlineStr">
        <is>
          <t>Lampejo. Encantar artefato ou criatura. Quando esta Aura entrar, vire a permanente encantada. A permanente encantada não desvire durante a etapa de desvirar de seu controlador e suas habilidades ativadas não podem ser ativadas.</t>
        </is>
      </c>
      <c r="E2966" s="13" t="inlineStr">
        <is>
          <t>2{U}</t>
        </is>
      </c>
      <c r="F2966" s="13" t="inlineStr">
        <is>
          <t>Azul</t>
        </is>
      </c>
      <c r="G2966" s="8" t="n">
        <v>0.2</v>
      </c>
      <c r="H2966" s="13" t="inlineStr">
        <is>
          <t>Final Fantasy</t>
        </is>
      </c>
      <c r="I2966" s="13" t="inlineStr">
        <is>
          <t>Não</t>
        </is>
      </c>
      <c r="J2966" s="13" t="n">
        <v>2025</v>
      </c>
      <c r="L2966" s="13" t="n">
        <v>1</v>
      </c>
      <c r="M2966" s="8">
        <f>L2966*G2966</f>
        <v/>
      </c>
      <c r="P2966" s="9" t="n"/>
    </row>
    <row r="2967">
      <c r="A2967" s="13" t="inlineStr">
        <is>
          <t>Stuffed Bear / Urso Empalhado</t>
        </is>
      </c>
      <c r="B2967" s="13" t="inlineStr">
        <is>
          <t>Artifact / Artefato</t>
        </is>
      </c>
      <c r="C2967" s="13" t="inlineStr">
        <is>
          <t>Common / Comum</t>
        </is>
      </c>
      <c r="D2967" s="13" t="inlineStr">
        <is>
          <t>{2}: Stuffed Bear becomes a 4/4 green Bear artifact creature until end of turn.</t>
        </is>
      </c>
      <c r="E2967" s="13" t="inlineStr">
        <is>
          <t>{2}</t>
        </is>
      </c>
      <c r="F2967" s="13" t="inlineStr">
        <is>
          <t>Incolor</t>
        </is>
      </c>
      <c r="G2967" s="8" t="n">
        <v>0.05</v>
      </c>
      <c r="H2967" s="13" t="inlineStr">
        <is>
          <t>Innistrad: Midnight Hunt (MID)</t>
        </is>
      </c>
      <c r="I2967" s="13" t="inlineStr">
        <is>
          <t>No</t>
        </is>
      </c>
      <c r="J2967" s="13" t="n">
        <v>2021</v>
      </c>
      <c r="L2967" s="13" t="n">
        <v>1</v>
      </c>
      <c r="M2967" s="8">
        <f>L2967*G2967</f>
        <v/>
      </c>
      <c r="P2967" s="9" t="n"/>
    </row>
    <row r="2968">
      <c r="A2968" s="13" t="inlineStr">
        <is>
          <t>Stun / Atordoar</t>
        </is>
      </c>
      <c r="B2968" s="13" t="inlineStr">
        <is>
          <t>Instant / Mágica Instantânea</t>
        </is>
      </c>
      <c r="C2968" s="13" t="inlineStr">
        <is>
          <t>Common / Comum</t>
        </is>
      </c>
      <c r="D2968" s="13" t="inlineStr">
        <is>
          <t>Target creature can't block this turn. Draw a card. / A criatura alvo não pode bloquear neste turno. Compre um card.</t>
        </is>
      </c>
      <c r="E2968" s="13" t="inlineStr">
        <is>
          <t>{1}{R}</t>
        </is>
      </c>
      <c r="F2968" s="13" t="inlineStr">
        <is>
          <t>Vermelho</t>
        </is>
      </c>
      <c r="G2968" s="8" t="n">
        <v>18</v>
      </c>
      <c r="H2968" s="13" t="inlineStr">
        <is>
          <t>Invasion (INV)</t>
        </is>
      </c>
      <c r="I2968" s="13" t="inlineStr">
        <is>
          <t>Sim</t>
        </is>
      </c>
      <c r="J2968" s="13" t="n">
        <v>2000</v>
      </c>
      <c r="L2968" s="13" t="n">
        <v>1</v>
      </c>
      <c r="M2968" s="8">
        <f>L2968*G2968</f>
        <v/>
      </c>
      <c r="P2968" s="9" t="n"/>
    </row>
    <row r="2969">
      <c r="A2969" s="13" t="inlineStr">
        <is>
          <t>Subira, Tulzidi Caravanner / Subira, Caravaneira Tulzidi</t>
        </is>
      </c>
      <c r="B2969" s="13" t="inlineStr">
        <is>
          <t>Legendary Creature — Human Shaman / Criatura Lendária — Humano Xamã</t>
        </is>
      </c>
      <c r="C2969" s="13" t="inlineStr">
        <is>
          <t>Uncommon / Incomum</t>
        </is>
      </c>
      <c r="D2969" s="13"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2969" s="13" t="inlineStr">
        <is>
          <t>{2}{R}</t>
        </is>
      </c>
      <c r="F2969" s="13" t="inlineStr">
        <is>
          <t>Vermelho</t>
        </is>
      </c>
      <c r="G2969" s="8" t="n">
        <v>0.48</v>
      </c>
      <c r="H2969" s="13" t="inlineStr">
        <is>
          <t>Commander Masters (CMM)</t>
        </is>
      </c>
      <c r="I2969" s="13" t="inlineStr">
        <is>
          <t>Não</t>
        </is>
      </c>
      <c r="J2969" s="13" t="n">
        <v>2023</v>
      </c>
      <c r="K2969" s="10" t="n">
        <v>46083</v>
      </c>
      <c r="L2969" s="13" t="n">
        <v>1</v>
      </c>
      <c r="M2969" s="8">
        <f>L2969*G2969</f>
        <v/>
      </c>
      <c r="P2969" s="9" t="n"/>
    </row>
    <row r="2970">
      <c r="A2970" s="13" t="inlineStr">
        <is>
          <t>Subira, Tulzidi Caravanner / Subira, Caravaneira Tulzidi</t>
        </is>
      </c>
      <c r="B2970" s="13" t="inlineStr">
        <is>
          <t>Legendary Creature — Human Shaman / Criatura Lendária — Humano Xamã</t>
        </is>
      </c>
      <c r="C2970" s="13" t="inlineStr">
        <is>
          <t>Uncommon / Incomum</t>
        </is>
      </c>
      <c r="D2970" s="13"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2970" s="13" t="inlineStr">
        <is>
          <t>{2}{R}</t>
        </is>
      </c>
      <c r="F2970" s="13" t="inlineStr">
        <is>
          <t>Vermelho</t>
        </is>
      </c>
      <c r="G2970" s="8" t="n">
        <v>0.45</v>
      </c>
      <c r="H2970" s="13" t="inlineStr">
        <is>
          <t>Commander Masters (CMM)</t>
        </is>
      </c>
      <c r="I2970" s="13" t="inlineStr">
        <is>
          <t>Sim</t>
        </is>
      </c>
      <c r="J2970" s="13" t="n">
        <v>2023</v>
      </c>
      <c r="K2970" s="10" t="n">
        <v>46083</v>
      </c>
      <c r="L2970" s="13" t="n">
        <v>1</v>
      </c>
      <c r="M2970" s="8">
        <f>L2970*G2970</f>
        <v/>
      </c>
      <c r="P2970" s="9" t="n"/>
    </row>
    <row r="2971">
      <c r="A2971" s="13" t="inlineStr">
        <is>
          <t>Subira, Tulzidi Caravanner / Subira, Caravaneira Tulzidi</t>
        </is>
      </c>
      <c r="B2971" s="13" t="inlineStr">
        <is>
          <t>Legendary Creature — Human Shaman / Criatura Lendária — Humano Xamã</t>
        </is>
      </c>
      <c r="C2971" s="13" t="inlineStr">
        <is>
          <t>Uncommon / Incomum</t>
        </is>
      </c>
      <c r="D2971" s="13"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2971" s="13" t="inlineStr">
        <is>
          <t>{2}{R}</t>
        </is>
      </c>
      <c r="F2971" s="13" t="inlineStr">
        <is>
          <t>Vermelho</t>
        </is>
      </c>
      <c r="G2971" s="8" t="n">
        <v>0.48</v>
      </c>
      <c r="H2971" s="13" t="inlineStr">
        <is>
          <t>Commander Masters (CMM)</t>
        </is>
      </c>
      <c r="I2971" s="13" t="inlineStr">
        <is>
          <t>Não</t>
        </is>
      </c>
      <c r="J2971" s="13" t="n">
        <v>2023</v>
      </c>
      <c r="K2971" s="10" t="n">
        <v>46083</v>
      </c>
      <c r="L2971" s="13" t="n">
        <v>1</v>
      </c>
      <c r="M2971" s="8">
        <f>L2971*G2971</f>
        <v/>
      </c>
      <c r="P2971" s="9" t="n"/>
    </row>
    <row r="2972">
      <c r="A2972" s="13" t="inlineStr">
        <is>
          <t>Sugar Rush / Frenesi do Açúcar</t>
        </is>
      </c>
      <c r="B2972" s="13" t="inlineStr">
        <is>
          <t>Instant / Mágica Instantânea</t>
        </is>
      </c>
      <c r="C2972" s="13" t="inlineStr">
        <is>
          <t>Common / Comum</t>
        </is>
      </c>
      <c r="D2972" s="13" t="inlineStr">
        <is>
          <t>Target creature gets +3/+0 until end of turn. Draw a card. / A criatura alvo recebe +3/+0 até o final do turno. Compre um card.</t>
        </is>
      </c>
      <c r="E2972" s="13" t="inlineStr">
        <is>
          <t>{1}{B}</t>
        </is>
      </c>
      <c r="F2972" s="13" t="inlineStr">
        <is>
          <t>Preto</t>
        </is>
      </c>
      <c r="G2972" s="8" t="n">
        <v>0.07000000000000001</v>
      </c>
      <c r="H2972" s="13" t="inlineStr">
        <is>
          <t>Wilds of Eldraine (WOE)</t>
        </is>
      </c>
      <c r="I2972" s="13" t="inlineStr">
        <is>
          <t>Não</t>
        </is>
      </c>
      <c r="J2972" s="13" t="n">
        <v>2023</v>
      </c>
      <c r="L2972" s="13" t="n">
        <v>2</v>
      </c>
      <c r="M2972" s="8">
        <f>L2972*G2972</f>
        <v/>
      </c>
      <c r="P2972" s="9" t="n"/>
    </row>
    <row r="2973">
      <c r="A2973" s="13" t="inlineStr">
        <is>
          <t>Suki, Kyoshi Warrior</t>
        </is>
      </c>
      <c r="B2973" s="13" t="inlineStr">
        <is>
          <t>Legendary Creature — Human Warrior Ally</t>
        </is>
      </c>
      <c r="C2973" s="13" t="inlineStr">
        <is>
          <t>Uncommon / Incomum</t>
        </is>
      </c>
      <c r="D2973" s="13" t="inlineStr">
        <is>
          <t>Suki's power is equal to the number of creatures you control. Whenever Suki attacks, create a 1/1 white Ally creature token that's tapped and attacking.</t>
        </is>
      </c>
      <c r="E2973" s="13" t="inlineStr">
        <is>
          <t>{2}{G/W}{G/W}</t>
        </is>
      </c>
      <c r="F2973" s="13" t="inlineStr">
        <is>
          <t>Verde, Branco</t>
        </is>
      </c>
      <c r="G2973" s="8" t="n">
        <v>0.15</v>
      </c>
      <c r="H2973" s="13" t="inlineStr">
        <is>
          <t>Avatar: The Last Airbender (TLA)</t>
        </is>
      </c>
      <c r="I2973" s="13" t="inlineStr">
        <is>
          <t>Não</t>
        </is>
      </c>
      <c r="J2973" s="13" t="n">
        <v>2025</v>
      </c>
      <c r="K2973" s="13" t="inlineStr">
        <is>
          <t>*/4</t>
        </is>
      </c>
      <c r="L2973" s="13" t="n">
        <v>2</v>
      </c>
      <c r="M2973" s="8">
        <f>L2973*G2973</f>
        <v/>
      </c>
      <c r="P2973" s="9" t="n"/>
    </row>
    <row r="2974">
      <c r="A2974" s="13" t="inlineStr">
        <is>
          <t>Sulfurous Blast / Explosão Sulfurosa</t>
        </is>
      </c>
      <c r="B2974" s="13" t="inlineStr">
        <is>
          <t>Instant / Mágica Instantânea</t>
        </is>
      </c>
      <c r="C2974" s="13" t="inlineStr">
        <is>
          <t>Common / Comum</t>
        </is>
      </c>
      <c r="D2974" s="13"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2974" s="13" t="inlineStr">
        <is>
          <t>{2}{R}{R}</t>
        </is>
      </c>
      <c r="F2974" s="13" t="inlineStr">
        <is>
          <t>Vermelho</t>
        </is>
      </c>
      <c r="G2974" s="8" t="n">
        <v>0.24</v>
      </c>
      <c r="H2974" s="13" t="inlineStr">
        <is>
          <t>Commander Masters (CMM)</t>
        </is>
      </c>
      <c r="I2974" s="13" t="inlineStr">
        <is>
          <t>Não</t>
        </is>
      </c>
      <c r="J2974" s="13" t="n">
        <v>2023</v>
      </c>
      <c r="L2974" s="13" t="n">
        <v>1</v>
      </c>
      <c r="M2974" s="8">
        <f>L2974*G2974</f>
        <v/>
      </c>
      <c r="P2974" s="9" t="n"/>
    </row>
    <row r="2975">
      <c r="A2975" s="13" t="inlineStr">
        <is>
          <t>Sultai Skullkeeper / Guardião de Crânios Sultai</t>
        </is>
      </c>
      <c r="B2975" s="13" t="inlineStr">
        <is>
          <t>Creature — Snake Shaman / Criatura — Naga Xamã</t>
        </is>
      </c>
      <c r="C2975" s="13" t="inlineStr">
        <is>
          <t>Common / Comum</t>
        </is>
      </c>
      <c r="D2975" s="13" t="inlineStr">
        <is>
          <t>When this creature enters, mill two cards. / Quando Guardião de Crânios Sultai entrar no campo de batalha, coloque os dois cards do topo de seu grimório em seu cemitério.</t>
        </is>
      </c>
      <c r="E2975" s="13" t="inlineStr">
        <is>
          <t>{1}{U}</t>
        </is>
      </c>
      <c r="F2975" s="13" t="inlineStr">
        <is>
          <t>Azul</t>
        </is>
      </c>
      <c r="G2975" s="8" t="n">
        <v>0.05</v>
      </c>
      <c r="H2975" s="13" t="inlineStr">
        <is>
          <t>Fate Reforged (FRF)</t>
        </is>
      </c>
      <c r="I2975" s="13" t="inlineStr">
        <is>
          <t>Não</t>
        </is>
      </c>
      <c r="J2975" s="13" t="n">
        <v>2015</v>
      </c>
      <c r="K2975" s="10" t="n">
        <v>46024</v>
      </c>
      <c r="L2975" s="13" t="n">
        <v>1</v>
      </c>
      <c r="M2975" s="8">
        <f>L2975*G2975</f>
        <v/>
      </c>
      <c r="P2975" s="9" t="n"/>
    </row>
    <row r="2976">
      <c r="A2976" s="13" t="inlineStr">
        <is>
          <t>Summary Dismissal / Dispensa Sumária</t>
        </is>
      </c>
      <c r="B2976" s="13" t="inlineStr">
        <is>
          <t>Instant / Mágica Instantânea</t>
        </is>
      </c>
      <c r="C2976" s="13" t="inlineStr">
        <is>
          <t>Rare / Rara</t>
        </is>
      </c>
      <c r="D2976" s="13" t="inlineStr">
        <is>
          <t>Exile all other spells and counter all abilities. / Exile todas as outras mágicas e anule todas as habilidades.</t>
        </is>
      </c>
      <c r="E2976" s="13" t="inlineStr">
        <is>
          <t>{2}{U}{U}</t>
        </is>
      </c>
      <c r="F2976" s="13" t="inlineStr">
        <is>
          <t>Azul</t>
        </is>
      </c>
      <c r="G2976" s="8" t="n">
        <v>0.25</v>
      </c>
      <c r="H2976" s="13" t="inlineStr">
        <is>
          <t>Eldritch Moon (EMN)</t>
        </is>
      </c>
      <c r="I2976" s="13" t="inlineStr">
        <is>
          <t>Não</t>
        </is>
      </c>
      <c r="J2976" s="13" t="n">
        <v>2016</v>
      </c>
      <c r="L2976" s="13" t="n">
        <v>1</v>
      </c>
      <c r="M2976" s="8">
        <f>L2976*G2976</f>
        <v/>
      </c>
      <c r="P2976" s="9" t="n"/>
    </row>
    <row r="2977">
      <c r="A2977" s="13" t="inlineStr">
        <is>
          <t>Summit Prowler / Espreitador do Cume</t>
        </is>
      </c>
      <c r="B2977" s="13" t="inlineStr">
        <is>
          <t>Creature — Yeti / Criatura — Yeti</t>
        </is>
      </c>
      <c r="C2977" s="13" t="inlineStr">
        <is>
          <t>Common / Comum</t>
        </is>
      </c>
      <c r="E2977" s="13" t="inlineStr">
        <is>
          <t>{2}{R}{R}</t>
        </is>
      </c>
      <c r="F2977" s="13" t="inlineStr">
        <is>
          <t>Vermelho</t>
        </is>
      </c>
      <c r="G2977" s="8" t="n">
        <v>0.05</v>
      </c>
      <c r="H2977" s="13" t="inlineStr">
        <is>
          <t>Khans of Tarkir (KTK)</t>
        </is>
      </c>
      <c r="I2977" s="13" t="inlineStr">
        <is>
          <t>Não</t>
        </is>
      </c>
      <c r="J2977" s="13" t="n">
        <v>2014</v>
      </c>
      <c r="K2977" s="10" t="n">
        <v>46085</v>
      </c>
      <c r="L2977" s="13" t="n">
        <v>1</v>
      </c>
      <c r="M2977" s="8">
        <f>L2977*G2977</f>
        <v/>
      </c>
      <c r="P2977" s="9" t="n"/>
    </row>
    <row r="2978">
      <c r="A2978" s="13" t="inlineStr">
        <is>
          <t>Summit Sentinel</t>
        </is>
      </c>
      <c r="B2978" s="13" t="inlineStr">
        <is>
          <t>Creature — Elemental Soldier</t>
        </is>
      </c>
      <c r="C2978" s="13" t="inlineStr">
        <is>
          <t>Common</t>
        </is>
      </c>
      <c r="D2978" s="13" t="inlineStr">
        <is>
          <t>When this creature dies, draw a card.</t>
        </is>
      </c>
      <c r="E2978" s="13" t="inlineStr">
        <is>
          <t>{1}{U}</t>
        </is>
      </c>
      <c r="F2978" s="13" t="inlineStr">
        <is>
          <t>Blue</t>
        </is>
      </c>
      <c r="G2978" s="8" t="n">
        <v>0.1</v>
      </c>
      <c r="H2978" s="13" t="inlineStr">
        <is>
          <t>Lorwyn Eclipsed (ECL)</t>
        </is>
      </c>
      <c r="I2978" s="13" t="inlineStr">
        <is>
          <t>No</t>
        </is>
      </c>
      <c r="J2978" s="13" t="n">
        <v>2026</v>
      </c>
      <c r="K2978" s="10" t="n">
        <v>46082</v>
      </c>
      <c r="L2978" s="13" t="n">
        <v>1</v>
      </c>
      <c r="M2978" s="8">
        <f>L2978*G2978</f>
        <v/>
      </c>
      <c r="P2978" s="9" t="n"/>
    </row>
    <row r="2979">
      <c r="A2979" s="13" t="inlineStr">
        <is>
          <t>Summon: Choco/Mog</t>
        </is>
      </c>
      <c r="B2979" s="13" t="inlineStr">
        <is>
          <t>Enchantment Creature — Saga Bird Moogle</t>
        </is>
      </c>
      <c r="C2979" s="13" t="inlineStr">
        <is>
          <t>Comum</t>
        </is>
      </c>
      <c r="D2979" s="13" t="inlineStr">
        <is>
          <t>(As this Saga enters and after your draw step, add a lore counter. Sacrifice after IV.) I, II, III, IV — Stampede! — Other creatures you control get +1/+0 until end of turn.</t>
        </is>
      </c>
      <c r="E2979" s="13" t="inlineStr">
        <is>
          <t>2W</t>
        </is>
      </c>
      <c r="F2979" s="13" t="inlineStr">
        <is>
          <t>Branca</t>
        </is>
      </c>
      <c r="G2979" s="8" t="n">
        <v>0.91</v>
      </c>
      <c r="H2979" s="13" t="inlineStr">
        <is>
          <t>Final Fantasy (FFVII)</t>
        </is>
      </c>
      <c r="I2979" s="13" t="inlineStr">
        <is>
          <t>Sim</t>
        </is>
      </c>
      <c r="J2979" s="13" t="n">
        <v>2025</v>
      </c>
      <c r="K2979" s="10" t="n">
        <v>46084</v>
      </c>
      <c r="L2979" s="13" t="n">
        <v>1</v>
      </c>
      <c r="M2979" s="8">
        <f>L2979*G2979</f>
        <v/>
      </c>
      <c r="P2979" s="9" t="n"/>
    </row>
    <row r="2980">
      <c r="A2980" s="13" t="inlineStr">
        <is>
          <t>Summon: Choco/Mog</t>
        </is>
      </c>
      <c r="B2980" s="13" t="inlineStr">
        <is>
          <t>Enchantment Creature — Saga Bird Moogle</t>
        </is>
      </c>
      <c r="C2980" s="13" t="inlineStr">
        <is>
          <t>Comum</t>
        </is>
      </c>
      <c r="D2980" s="13" t="inlineStr">
        <is>
          <t>(As this Saga enters and after your draw step, add a lore counter. Sacrifice after IV.) I, II, III, IV — Stampede! — Other creatures you control get +1/+0 until end of turn.</t>
        </is>
      </c>
      <c r="E2980" s="13" t="inlineStr">
        <is>
          <t>2W</t>
        </is>
      </c>
      <c r="F2980" s="13" t="inlineStr">
        <is>
          <t>Branca</t>
        </is>
      </c>
      <c r="G2980" s="8" t="n">
        <v>0.14</v>
      </c>
      <c r="H2980" s="13" t="inlineStr">
        <is>
          <t>Final Fantasy (FFVII)</t>
        </is>
      </c>
      <c r="I2980" s="13" t="inlineStr">
        <is>
          <t xml:space="preserve">Não </t>
        </is>
      </c>
      <c r="J2980" s="13" t="n">
        <v>2025</v>
      </c>
      <c r="K2980" s="10" t="n">
        <v>46084</v>
      </c>
      <c r="L2980" s="13" t="n">
        <v>10</v>
      </c>
      <c r="M2980" s="8">
        <f>L2980*G2980</f>
        <v/>
      </c>
      <c r="P2980" s="9" t="n"/>
    </row>
    <row r="2981">
      <c r="A2981" s="13" t="inlineStr">
        <is>
          <t>Summon: Esper Ramuh / Invocação: Esper Ramuh</t>
        </is>
      </c>
      <c r="B2981" s="13" t="inlineStr">
        <is>
          <t>Encantamento Criatura — Saga Mago</t>
        </is>
      </c>
      <c r="C2981" s="13" t="inlineStr">
        <is>
          <t>Incomum</t>
        </is>
      </c>
      <c r="D2981" s="13"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2981" s="13" t="inlineStr">
        <is>
          <t>2{R}{R}</t>
        </is>
      </c>
      <c r="F2981" s="13" t="inlineStr">
        <is>
          <t>Vermelho</t>
        </is>
      </c>
      <c r="G2981" s="8" t="n">
        <v>0.19</v>
      </c>
      <c r="H2981" s="13" t="inlineStr">
        <is>
          <t>Final Fantasy</t>
        </is>
      </c>
      <c r="I2981" s="13" t="inlineStr">
        <is>
          <t>Não</t>
        </is>
      </c>
      <c r="J2981" s="13" t="n">
        <v>2025</v>
      </c>
      <c r="K2981" s="10" t="n">
        <v>46084</v>
      </c>
      <c r="L2981" s="13" t="n">
        <v>1</v>
      </c>
      <c r="M2981" s="8">
        <f>L2981*G2981</f>
        <v/>
      </c>
      <c r="P2981" s="9" t="n"/>
    </row>
    <row r="2982">
      <c r="A2982" s="13" t="inlineStr">
        <is>
          <t>Summon: Fat Chocobo / Invocação: Chocobo Gordo</t>
        </is>
      </c>
      <c r="B2982" s="13" t="inlineStr">
        <is>
          <t>Encantamento Criatura — Saga Ave</t>
        </is>
      </c>
      <c r="C2982" s="13" t="inlineStr">
        <is>
          <t>Comum</t>
        </is>
      </c>
      <c r="D2982" s="13"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2982" s="13" t="inlineStr">
        <is>
          <t>4{G}</t>
        </is>
      </c>
      <c r="F2982" s="13" t="inlineStr">
        <is>
          <t>Verde</t>
        </is>
      </c>
      <c r="G2982" s="8" t="n">
        <v>0.1</v>
      </c>
      <c r="H2982" s="13" t="inlineStr">
        <is>
          <t>Final Fantasy</t>
        </is>
      </c>
      <c r="I2982" s="13" t="inlineStr">
        <is>
          <t>Não</t>
        </is>
      </c>
      <c r="J2982" s="13" t="n">
        <v>2025</v>
      </c>
      <c r="K2982" s="10" t="n">
        <v>46116</v>
      </c>
      <c r="L2982" s="13" t="n">
        <v>8</v>
      </c>
      <c r="M2982" s="8">
        <f>L2982*G2982</f>
        <v/>
      </c>
      <c r="P2982" s="9" t="n"/>
    </row>
    <row r="2983">
      <c r="A2983" s="13" t="inlineStr">
        <is>
          <t>Summon: Fenrir / Invocação: Fenrir</t>
        </is>
      </c>
      <c r="B2983" s="13" t="inlineStr">
        <is>
          <t>Encantamento Criatura — Saga Lobo</t>
        </is>
      </c>
      <c r="C2983" s="13" t="inlineStr">
        <is>
          <t>Incomum</t>
        </is>
      </c>
      <c r="D2983" s="13"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2983" s="13" t="inlineStr">
        <is>
          <t>2{G}</t>
        </is>
      </c>
      <c r="F2983" s="13" t="inlineStr">
        <is>
          <t>Verde</t>
        </is>
      </c>
      <c r="G2983" s="8" t="n">
        <v>0.5</v>
      </c>
      <c r="H2983" s="13" t="inlineStr">
        <is>
          <t>Final Fantasy</t>
        </is>
      </c>
      <c r="I2983" s="13" t="inlineStr">
        <is>
          <t>Não</t>
        </is>
      </c>
      <c r="J2983" s="13" t="n">
        <v>2025</v>
      </c>
      <c r="K2983" s="10" t="n">
        <v>46056</v>
      </c>
      <c r="L2983" s="13" t="n">
        <v>2</v>
      </c>
      <c r="M2983" s="8">
        <f>L2983*G2983</f>
        <v/>
      </c>
      <c r="P2983" s="9" t="n"/>
    </row>
    <row r="2984">
      <c r="A2984" s="13" t="inlineStr">
        <is>
          <t>Summon: G.F. Ifrit</t>
        </is>
      </c>
      <c r="B2984" s="13" t="inlineStr">
        <is>
          <t>Enchantment Creature — Saga Demon</t>
        </is>
      </c>
      <c r="C2984" s="13" t="inlineStr">
        <is>
          <t>Comum</t>
        </is>
      </c>
      <c r="D2984" s="13" t="inlineStr">
        <is>
          <t>(As this Saga enters and after your draw step, add a lore counter. Sacrifice after IV.) I, II — You may discard a card. If you do, draw a card. III, IV — Add R.</t>
        </is>
      </c>
      <c r="E2984" s="13" t="inlineStr">
        <is>
          <t>2R</t>
        </is>
      </c>
      <c r="F2984" s="13" t="inlineStr">
        <is>
          <t>Vermelha</t>
        </is>
      </c>
      <c r="G2984" s="8" t="n">
        <v>0.24</v>
      </c>
      <c r="H2984" s="13" t="inlineStr">
        <is>
          <t>Final Fantasy (FFVIII)</t>
        </is>
      </c>
      <c r="I2984" s="13" t="inlineStr">
        <is>
          <t>Sim</t>
        </is>
      </c>
      <c r="J2984" s="13" t="n">
        <v>2025</v>
      </c>
      <c r="K2984" s="10" t="n">
        <v>46056</v>
      </c>
      <c r="L2984" s="13" t="n">
        <v>1</v>
      </c>
      <c r="M2984" s="8">
        <f>L2984*G2984</f>
        <v/>
      </c>
      <c r="P2984" s="9" t="n"/>
    </row>
    <row r="2985">
      <c r="A2985" s="13" t="inlineStr">
        <is>
          <t>Summon: G.F. Ifrit</t>
        </is>
      </c>
      <c r="B2985" s="13" t="inlineStr">
        <is>
          <t>Enchantment Creature — Saga Demon</t>
        </is>
      </c>
      <c r="C2985" s="13" t="inlineStr">
        <is>
          <t>Comum</t>
        </is>
      </c>
      <c r="D2985" s="13" t="inlineStr">
        <is>
          <t>(As this Saga enters and after your draw step, add a lore counter. Sacrifice after IV.) I, II — You may discard a card. If you do, draw a card. III, IV — Add R.</t>
        </is>
      </c>
      <c r="E2985" s="13" t="inlineStr">
        <is>
          <t>2R</t>
        </is>
      </c>
      <c r="F2985" s="13" t="inlineStr">
        <is>
          <t>Vermelha</t>
        </is>
      </c>
      <c r="G2985" s="8" t="n">
        <v>0.15</v>
      </c>
      <c r="H2985" s="13" t="inlineStr">
        <is>
          <t>Final Fantasy (FFVIII)</t>
        </is>
      </c>
      <c r="I2985" s="13" t="inlineStr">
        <is>
          <t>Não</t>
        </is>
      </c>
      <c r="J2985" s="13" t="n">
        <v>2025</v>
      </c>
      <c r="K2985" s="10" t="n">
        <v>46056</v>
      </c>
      <c r="L2985" s="13" t="n">
        <v>7</v>
      </c>
      <c r="M2985" s="8">
        <f>L2985*G2985</f>
        <v/>
      </c>
      <c r="P2985" s="9" t="n"/>
    </row>
    <row r="2986">
      <c r="A2986" s="13" t="inlineStr">
        <is>
          <t>Summon: Leviathan / Invocação: Leviatã</t>
        </is>
      </c>
      <c r="B2986" s="13" t="inlineStr">
        <is>
          <t>Encantamento Criatura — Saga Leviatã</t>
        </is>
      </c>
      <c r="C2986" s="13" t="inlineStr">
        <is>
          <t>Rara</t>
        </is>
      </c>
      <c r="D2986" s="13"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2986" s="13" t="inlineStr">
        <is>
          <t>4{U}{U}</t>
        </is>
      </c>
      <c r="F2986" s="13" t="inlineStr">
        <is>
          <t>Azul</t>
        </is>
      </c>
      <c r="G2986" s="8" t="n">
        <v>2.3</v>
      </c>
      <c r="H2986" s="13" t="inlineStr">
        <is>
          <t>Final Fantasy</t>
        </is>
      </c>
      <c r="I2986" s="13" t="inlineStr">
        <is>
          <t>Não</t>
        </is>
      </c>
      <c r="J2986" s="13" t="n">
        <v>2025</v>
      </c>
      <c r="K2986" s="10" t="n">
        <v>46179</v>
      </c>
      <c r="L2986" s="13" t="n">
        <v>1</v>
      </c>
      <c r="M2986" s="8">
        <f>L2986*G2986</f>
        <v/>
      </c>
      <c r="P2986" s="9" t="n"/>
    </row>
    <row r="2987">
      <c r="A2987" s="13" t="inlineStr">
        <is>
          <t>Summon: Primal Garuda / Invocação: Garuda Primordial</t>
        </is>
      </c>
      <c r="B2987" s="13" t="inlineStr">
        <is>
          <t>Encantamento Criatura — Saga Harpia</t>
        </is>
      </c>
      <c r="C2987" s="13" t="inlineStr">
        <is>
          <t>Incomum</t>
        </is>
      </c>
      <c r="D2987" s="13"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987" s="13" t="inlineStr">
        <is>
          <t>3{W}</t>
        </is>
      </c>
      <c r="F2987" s="13" t="inlineStr">
        <is>
          <t>Branco</t>
        </is>
      </c>
      <c r="G2987" s="8" t="n">
        <v>0.2</v>
      </c>
      <c r="H2987" s="13" t="inlineStr">
        <is>
          <t>Final Fantasy</t>
        </is>
      </c>
      <c r="I2987" s="13" t="inlineStr">
        <is>
          <t>Não</t>
        </is>
      </c>
      <c r="J2987" s="13" t="n">
        <v>2025</v>
      </c>
      <c r="K2987" s="10" t="n">
        <v>46084</v>
      </c>
      <c r="L2987" s="13" t="n">
        <v>1</v>
      </c>
      <c r="M2987" s="8">
        <f>L2987*G2987</f>
        <v/>
      </c>
      <c r="P2987" s="9" t="n"/>
    </row>
    <row r="2988">
      <c r="A2988" s="13" t="inlineStr">
        <is>
          <t>Summon: Primal Garuda / Invocação: Garuda Primordial</t>
        </is>
      </c>
      <c r="B2988" s="13" t="inlineStr">
        <is>
          <t>Encantamento Criatura — Saga Harpia</t>
        </is>
      </c>
      <c r="C2988" s="13" t="inlineStr">
        <is>
          <t>Incomum</t>
        </is>
      </c>
      <c r="D2988" s="13"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988" s="13" t="inlineStr">
        <is>
          <t>3{W}</t>
        </is>
      </c>
      <c r="F2988" s="13" t="inlineStr">
        <is>
          <t>Branco</t>
        </is>
      </c>
      <c r="G2988" s="8" t="n">
        <v>0.4</v>
      </c>
      <c r="H2988" s="13" t="inlineStr">
        <is>
          <t>Final Fantasy</t>
        </is>
      </c>
      <c r="I2988" s="13" t="inlineStr">
        <is>
          <t>Sim</t>
        </is>
      </c>
      <c r="J2988" s="13" t="n">
        <v>2025</v>
      </c>
      <c r="K2988" s="10" t="n">
        <v>46084</v>
      </c>
      <c r="L2988" s="13" t="n">
        <v>1</v>
      </c>
      <c r="M2988" s="8">
        <f>L2988*G2988</f>
        <v/>
      </c>
      <c r="P2988" s="9" t="n"/>
    </row>
    <row r="2989">
      <c r="A2989" s="13" t="inlineStr">
        <is>
          <t>Sun Warriors</t>
        </is>
      </c>
      <c r="B2989" s="13" t="inlineStr">
        <is>
          <t>Creature — Human Warrior Ally</t>
        </is>
      </c>
      <c r="C2989" s="13" t="inlineStr">
        <is>
          <t>Uncommon / Incomum</t>
        </is>
      </c>
      <c r="D2989" s="13" t="inlineStr">
        <is>
          <t>Firebending X, where X is the number of creatures you control. (Whenever this creature attacks, add X {R}. This mana lasts until end of combat.) {5}: Create a 1/1 white Ally creature token.</t>
        </is>
      </c>
      <c r="E2989" s="13" t="inlineStr">
        <is>
          <t>{2}{R}{W}</t>
        </is>
      </c>
      <c r="F2989" s="13" t="inlineStr">
        <is>
          <t>Vermelho, Branco</t>
        </is>
      </c>
      <c r="G2989" s="8" t="n">
        <v>0.15</v>
      </c>
      <c r="H2989" s="13" t="inlineStr">
        <is>
          <t>Avatar: The Last Airbender (TLA)</t>
        </is>
      </c>
      <c r="I2989" s="13" t="inlineStr">
        <is>
          <t>Não</t>
        </is>
      </c>
      <c r="J2989" s="13" t="n">
        <v>2025</v>
      </c>
      <c r="K2989" s="10" t="n">
        <v>46145</v>
      </c>
      <c r="L2989" s="13" t="n">
        <v>1</v>
      </c>
      <c r="M2989" s="8">
        <f>L2989*G2989</f>
        <v/>
      </c>
      <c r="P2989" s="9" t="n"/>
    </row>
    <row r="2990">
      <c r="A2990" s="13" t="inlineStr">
        <is>
          <t>Sun-Blessed Healer</t>
        </is>
      </c>
      <c r="B2990" s="13" t="inlineStr">
        <is>
          <t>Creature — Human Cleric</t>
        </is>
      </c>
      <c r="C2990" s="13" t="inlineStr">
        <is>
          <t>Uncommon / Incomum</t>
        </is>
      </c>
      <c r="D2990" s="13"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2990" s="13" t="inlineStr">
        <is>
          <t>{1}{W}</t>
        </is>
      </c>
      <c r="F2990" s="13" t="inlineStr">
        <is>
          <t>Branco</t>
        </is>
      </c>
      <c r="G2990" s="8" t="n">
        <v>0.15</v>
      </c>
      <c r="H2990" s="13" t="inlineStr">
        <is>
          <t>Foundations (FDN)</t>
        </is>
      </c>
      <c r="I2990" s="13" t="inlineStr">
        <is>
          <t>Não</t>
        </is>
      </c>
      <c r="J2990" s="13" t="n">
        <v>2024</v>
      </c>
      <c r="K2990" s="10" t="n">
        <v>46025</v>
      </c>
      <c r="L2990" s="13" t="n">
        <v>1</v>
      </c>
      <c r="M2990" s="8">
        <f>L2990*G2990</f>
        <v/>
      </c>
      <c r="P2990" s="9" t="n"/>
    </row>
    <row r="2991">
      <c r="A2991" s="13" t="inlineStr">
        <is>
          <t>Sun-Blessed Peak</t>
        </is>
      </c>
      <c r="B2991" s="13" t="inlineStr">
        <is>
          <t>Land</t>
        </is>
      </c>
      <c r="C2991" s="13" t="inlineStr">
        <is>
          <t>Common / Comum</t>
        </is>
      </c>
      <c r="D2991" s="13" t="inlineStr">
        <is>
          <t>This land enters tapped. {T}: Add {R} or {W}. {4}, {T}, Sacrifice this land: Draw a card.</t>
        </is>
      </c>
      <c r="F2991" s="13" t="inlineStr">
        <is>
          <t>Vermelho, Branco</t>
        </is>
      </c>
      <c r="G2991" s="8" t="n">
        <v>0.15</v>
      </c>
      <c r="H2991" s="13" t="inlineStr">
        <is>
          <t>Avatar: The Last Airbender (TLA)</t>
        </is>
      </c>
      <c r="I2991" s="13" t="inlineStr">
        <is>
          <t>Não</t>
        </is>
      </c>
      <c r="J2991" s="13" t="n">
        <v>2025</v>
      </c>
      <c r="L2991" s="13" t="n">
        <v>1</v>
      </c>
      <c r="M2991" s="8">
        <f>L2991*G2991</f>
        <v/>
      </c>
      <c r="P2991" s="9" t="n"/>
    </row>
    <row r="2992">
      <c r="A2992" s="13" t="inlineStr">
        <is>
          <t>Sun-Crested Pterodon / Pterodonte Crista-solar</t>
        </is>
      </c>
      <c r="B2992" s="13" t="inlineStr">
        <is>
          <t>Creature — Dinosaur / Criatura — Dinossauro</t>
        </is>
      </c>
      <c r="C2992" s="13" t="inlineStr">
        <is>
          <t>Common / Comum</t>
        </is>
      </c>
      <c r="D2992" s="13" t="inlineStr">
        <is>
          <t>Flying This creature has vigilance as long as you control another Dinosaur. / Voar Pterodonte Crista-solar terá vigilância enquanto você controlar outro Dinossauro.</t>
        </is>
      </c>
      <c r="E2992" s="13" t="inlineStr">
        <is>
          <t>{4}{W}</t>
        </is>
      </c>
      <c r="F2992" s="13" t="inlineStr">
        <is>
          <t>Branco</t>
        </is>
      </c>
      <c r="G2992" s="8" t="n">
        <v>0.03</v>
      </c>
      <c r="H2992" s="13" t="inlineStr">
        <is>
          <t>Rivals of Ixalan (RIX)</t>
        </is>
      </c>
      <c r="I2992" s="13" t="inlineStr">
        <is>
          <t>Não</t>
        </is>
      </c>
      <c r="J2992" s="13" t="n">
        <v>2018</v>
      </c>
      <c r="K2992" s="10" t="n">
        <v>46144</v>
      </c>
      <c r="L2992" s="13" t="n">
        <v>1</v>
      </c>
      <c r="M2992" s="8">
        <f>L2992*G2992</f>
        <v/>
      </c>
      <c r="P2992" s="9" t="n"/>
    </row>
    <row r="2993">
      <c r="A2993" s="13" t="inlineStr">
        <is>
          <t>Sun-Crowned Hunters / Caçadores Coroa-de-sol</t>
        </is>
      </c>
      <c r="B2993" s="13" t="inlineStr">
        <is>
          <t>Creature — Dinosaur / Criatura — Dinossauro</t>
        </is>
      </c>
      <c r="C2993" s="13" t="inlineStr">
        <is>
          <t>Common / Comum</t>
        </is>
      </c>
      <c r="D2993" s="13" t="inlineStr">
        <is>
          <t>Enrage — Whenever this creature is dealt damage, it deals 3 damage to target opponent or planeswalker. / Enfurecer —Toda vez que Caçadores Coroa-de-sol sofre dano, ele causa 3 pontos de dano ao oponente alvo.</t>
        </is>
      </c>
      <c r="E2993" s="13" t="inlineStr">
        <is>
          <t>{4}{R}{R}</t>
        </is>
      </c>
      <c r="F2993" s="13" t="inlineStr">
        <is>
          <t>Vermelho</t>
        </is>
      </c>
      <c r="G2993" s="8" t="n">
        <v>0.03</v>
      </c>
      <c r="H2993" s="13" t="inlineStr">
        <is>
          <t>Ixalan (XLN)</t>
        </is>
      </c>
      <c r="I2993" s="13" t="inlineStr">
        <is>
          <t>Não</t>
        </is>
      </c>
      <c r="J2993" s="13" t="n">
        <v>2017</v>
      </c>
      <c r="K2993" s="10" t="n">
        <v>46117</v>
      </c>
      <c r="L2993" s="13" t="n">
        <v>1</v>
      </c>
      <c r="M2993" s="8">
        <f>L2993*G2993</f>
        <v/>
      </c>
      <c r="P2993" s="9" t="n"/>
    </row>
    <row r="2994">
      <c r="A2994" s="13" t="inlineStr">
        <is>
          <t>Sun-Dappled Celebrant</t>
        </is>
      </c>
      <c r="B2994" s="13" t="inlineStr">
        <is>
          <t>Creature — Treefolk Cleric</t>
        </is>
      </c>
      <c r="C2994" s="13" t="inlineStr">
        <is>
          <t>Common / Comum</t>
        </is>
      </c>
      <c r="D2994" s="13" t="inlineStr">
        <is>
          <t>Convoke (Your creatures can help cast this spell. Each creature you tap while casting this spell pays for {1} or one mana of that creature's color.) Vigilance</t>
        </is>
      </c>
      <c r="E2994" s="13" t="inlineStr">
        <is>
          <t>{4}{W}{W}</t>
        </is>
      </c>
      <c r="F2994" s="13" t="inlineStr">
        <is>
          <t>Branco</t>
        </is>
      </c>
      <c r="G2994" s="8" t="n">
        <v>0.2</v>
      </c>
      <c r="H2994" s="13" t="inlineStr">
        <is>
          <t>Lorwyn Eclipsed (ECL)</t>
        </is>
      </c>
      <c r="I2994" s="13" t="inlineStr">
        <is>
          <t>Sim</t>
        </is>
      </c>
      <c r="J2994" s="13" t="n">
        <v>2026</v>
      </c>
      <c r="K2994" s="10" t="n">
        <v>46178</v>
      </c>
      <c r="L2994" s="13" t="n">
        <v>1</v>
      </c>
      <c r="M2994" s="8">
        <f>L2994*G2994</f>
        <v/>
      </c>
      <c r="P2994" s="9" t="n"/>
    </row>
    <row r="2995">
      <c r="A2995" s="13" t="inlineStr">
        <is>
          <t>Sunblade Samurai / Samurai da Lâmina Solar</t>
        </is>
      </c>
      <c r="B2995" s="13" t="inlineStr">
        <is>
          <t>Enchantment Creature — Human Samurai / Criatura Encantamento — Humano Samurai</t>
        </is>
      </c>
      <c r="C2995" s="13" t="inlineStr">
        <is>
          <t>Common / Comum</t>
        </is>
      </c>
      <c r="D2995" s="13"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995" s="13" t="inlineStr">
        <is>
          <t>{4}{W}</t>
        </is>
      </c>
      <c r="F2995" s="13" t="inlineStr">
        <is>
          <t>Branco</t>
        </is>
      </c>
      <c r="G2995" s="8" t="n">
        <v>0.12</v>
      </c>
      <c r="H2995" s="13" t="inlineStr">
        <is>
          <t>Kamigawa: Neon Dynasty (NEO) V</t>
        </is>
      </c>
      <c r="I2995" s="13" t="inlineStr">
        <is>
          <t>Não</t>
        </is>
      </c>
      <c r="J2995" s="13" t="n">
        <v>2022</v>
      </c>
      <c r="K2995" s="10" t="n">
        <v>46116</v>
      </c>
      <c r="L2995" s="13" t="n">
        <v>1</v>
      </c>
      <c r="M2995" s="8">
        <f>L2995*G2995</f>
        <v/>
      </c>
      <c r="P2995" s="9" t="n"/>
    </row>
    <row r="2996">
      <c r="A2996" s="13" t="inlineStr">
        <is>
          <t>Sunder Shaman / Xamã Rachador</t>
        </is>
      </c>
      <c r="B2996" s="13" t="inlineStr">
        <is>
          <t>Creature — Giant Shaman / Criatura — Gigante Xamã</t>
        </is>
      </c>
      <c r="C2996" s="13" t="inlineStr">
        <is>
          <t>Uncommon / Incomum</t>
        </is>
      </c>
      <c r="D2996" s="13"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2996" s="13" t="inlineStr">
        <is>
          <t>{R}{R}{G}{G}</t>
        </is>
      </c>
      <c r="F2996" s="13" t="inlineStr">
        <is>
          <t>Verde, Vermelho</t>
        </is>
      </c>
      <c r="G2996" s="8" t="n">
        <v>0.13</v>
      </c>
      <c r="H2996" s="13" t="inlineStr">
        <is>
          <t>Ravnica Remastered (RVR)</t>
        </is>
      </c>
      <c r="I2996" s="13" t="inlineStr">
        <is>
          <t>Não</t>
        </is>
      </c>
      <c r="J2996" s="13" t="n">
        <v>2024</v>
      </c>
      <c r="K2996" s="10" t="n">
        <v>46147</v>
      </c>
      <c r="L2996" s="13" t="n">
        <v>1</v>
      </c>
      <c r="M2996" s="8">
        <f>L2996*G2996</f>
        <v/>
      </c>
      <c r="P2996" s="9" t="n"/>
    </row>
    <row r="2997">
      <c r="A2997" s="13" t="inlineStr">
        <is>
          <t>Sundering Growth / Crescimento Despedaçador</t>
        </is>
      </c>
      <c r="B2997" s="13" t="inlineStr">
        <is>
          <t>Instant / Mágica Instantânea</t>
        </is>
      </c>
      <c r="C2997" s="13" t="inlineStr">
        <is>
          <t>Common / Comum</t>
        </is>
      </c>
      <c r="D2997" s="13"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2997" s="13" t="inlineStr">
        <is>
          <t>{G/W}{G/W}</t>
        </is>
      </c>
      <c r="F2997" s="13" t="inlineStr">
        <is>
          <t>Verde, Branco</t>
        </is>
      </c>
      <c r="G2997" s="8" t="n">
        <v>0.1</v>
      </c>
      <c r="H2997" s="13" t="inlineStr">
        <is>
          <t>Return to Ravnica (RTR)</t>
        </is>
      </c>
      <c r="I2997" s="13" t="inlineStr">
        <is>
          <t>Não</t>
        </is>
      </c>
      <c r="J2997" s="13" t="n">
        <v>2012</v>
      </c>
      <c r="L2997" s="13" t="n">
        <v>4</v>
      </c>
      <c r="M2997" s="8">
        <f>L2997*G2997</f>
        <v/>
      </c>
      <c r="P2997" s="9" t="n"/>
    </row>
    <row r="2998">
      <c r="A2998" s="13" t="inlineStr">
        <is>
          <t>Sungrace Pegasus / Pégaso da Graça Solar</t>
        </is>
      </c>
      <c r="B2998" s="13" t="inlineStr">
        <is>
          <t>Creature — Pegasus / Criatura — Pégaso</t>
        </is>
      </c>
      <c r="C2998" s="13" t="inlineStr">
        <is>
          <t>Common / Comum</t>
        </is>
      </c>
      <c r="D2998" s="13"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2998" s="13" t="inlineStr">
        <is>
          <t>{1}{W}</t>
        </is>
      </c>
      <c r="F2998" s="13" t="inlineStr">
        <is>
          <t>Branco</t>
        </is>
      </c>
      <c r="G2998" s="8" t="n">
        <v>0.06</v>
      </c>
      <c r="H2998" s="13" t="inlineStr">
        <is>
          <t>Magic 2015 (M15)</t>
        </is>
      </c>
      <c r="I2998" s="13" t="inlineStr">
        <is>
          <t>Não</t>
        </is>
      </c>
      <c r="J2998" s="13" t="n">
        <v>2014</v>
      </c>
      <c r="K2998" s="10" t="n">
        <v>46054</v>
      </c>
      <c r="L2998" s="13" t="n">
        <v>4</v>
      </c>
      <c r="M2998" s="8">
        <f>L2998*G2998</f>
        <v/>
      </c>
      <c r="P2998" s="9" t="n"/>
    </row>
    <row r="2999">
      <c r="A2999" s="13" t="inlineStr">
        <is>
          <t>Sunshower Druid</t>
        </is>
      </c>
      <c r="B2999" s="13" t="inlineStr">
        <is>
          <t>Creature — Frog Druid</t>
        </is>
      </c>
      <c r="C2999" s="13" t="inlineStr">
        <is>
          <t>Common / Comum</t>
        </is>
      </c>
      <c r="D2999" s="13" t="inlineStr">
        <is>
          <t>When this creature enters, put a +1/+1 counter on target creature and you gain 1 life.</t>
        </is>
      </c>
      <c r="E2999" s="13" t="inlineStr">
        <is>
          <t>{G}</t>
        </is>
      </c>
      <c r="F2999" s="13" t="inlineStr">
        <is>
          <t>Verde</t>
        </is>
      </c>
      <c r="G2999" s="8" t="n">
        <v>0.13</v>
      </c>
      <c r="H2999" s="13" t="inlineStr">
        <is>
          <t>Bloomburrow (BLB)</t>
        </is>
      </c>
      <c r="I2999" s="13" t="inlineStr">
        <is>
          <t>Não</t>
        </is>
      </c>
      <c r="J2999" s="13" t="n">
        <v>2024</v>
      </c>
      <c r="K2999" s="13" t="inlineStr">
        <is>
          <t>0/2</t>
        </is>
      </c>
      <c r="L2999" s="13" t="n">
        <v>1</v>
      </c>
      <c r="M2999" s="8">
        <f>L2999*G2999</f>
        <v/>
      </c>
      <c r="P2999" s="9" t="n"/>
    </row>
    <row r="3000">
      <c r="A3000" s="13" t="inlineStr">
        <is>
          <t>Sunstar Lightsmith / Forjador de Luz de Solestrela</t>
        </is>
      </c>
      <c r="B3000" s="13" t="inlineStr">
        <is>
          <t>Criatura — Humano Artífice</t>
        </is>
      </c>
      <c r="C3000" s="13" t="inlineStr">
        <is>
          <t>Incomum</t>
        </is>
      </c>
      <c r="D3000" s="13" t="inlineStr">
        <is>
          <t>Sempre que você conjurar sua segunda mágica a cada turno, coloque um marcador +1/+1 nesta criatura e compre um card.</t>
        </is>
      </c>
      <c r="E3000" s="13" t="inlineStr">
        <is>
          <t>3{W}</t>
        </is>
      </c>
      <c r="F3000" s="13" t="inlineStr">
        <is>
          <t>Branco</t>
        </is>
      </c>
      <c r="G3000" s="8" t="n">
        <v>0.15</v>
      </c>
      <c r="H3000" s="13" t="inlineStr">
        <is>
          <t>Edge of Eternity</t>
        </is>
      </c>
      <c r="I3000" s="13" t="inlineStr">
        <is>
          <t>Não</t>
        </is>
      </c>
      <c r="J3000" s="13" t="n">
        <v>2025</v>
      </c>
      <c r="K3000" s="10" t="n">
        <v>46084</v>
      </c>
      <c r="L3000" s="13" t="n">
        <v>2</v>
      </c>
      <c r="M3000" s="8">
        <f>L3000*G3000</f>
        <v/>
      </c>
      <c r="P3000" s="9" t="n"/>
    </row>
    <row r="3001">
      <c r="A3001" s="13" t="inlineStr">
        <is>
          <t>Suplex / Suplex</t>
        </is>
      </c>
      <c r="B3001" s="13" t="inlineStr">
        <is>
          <t>Feitiço</t>
        </is>
      </c>
      <c r="C3001" s="13" t="inlineStr">
        <is>
          <t>Comum</t>
        </is>
      </c>
      <c r="D3001" s="13" t="inlineStr">
        <is>
          <t>Escolha um — • Suplex causa 3 de dano à criatura alvo. Se aquela criatura fosse morrer este turno, em vez disso, exile-a. • Exile o artefato alvo.</t>
        </is>
      </c>
      <c r="E3001" s="13" t="inlineStr">
        <is>
          <t>1R</t>
        </is>
      </c>
      <c r="F3001" s="13" t="inlineStr">
        <is>
          <t>Vermelho</t>
        </is>
      </c>
      <c r="G3001" s="8" t="n">
        <v>0.2</v>
      </c>
      <c r="H3001" s="13" t="inlineStr">
        <is>
          <t>Final Fantasy</t>
        </is>
      </c>
      <c r="I3001" s="13" t="inlineStr">
        <is>
          <t>Não</t>
        </is>
      </c>
      <c r="J3001" s="13" t="n">
        <v>2025</v>
      </c>
      <c r="L3001" s="13" t="n">
        <v>3</v>
      </c>
      <c r="M3001" s="8">
        <f>L3001*G3001</f>
        <v/>
      </c>
      <c r="P3001" s="9" t="n"/>
    </row>
    <row r="3002">
      <c r="A3002" s="13" t="inlineStr">
        <is>
          <t>Supply-Line Cranes / Grous de Suprimento</t>
        </is>
      </c>
      <c r="B3002" s="13" t="inlineStr">
        <is>
          <t>Creature — Bird / Criatura — Ave</t>
        </is>
      </c>
      <c r="C3002" s="13" t="inlineStr">
        <is>
          <t>Common / Comum</t>
        </is>
      </c>
      <c r="D3002" s="13" t="inlineStr">
        <is>
          <t>Flying When this creature enters, put a +1/+1 counter on target creature. / Voar Quando Grous de Suprimento entrar no campo de batalha, coloque um marcador +1/+1 na criatura alvo.</t>
        </is>
      </c>
      <c r="E3002" s="13" t="inlineStr">
        <is>
          <t>{3}{W}{W}</t>
        </is>
      </c>
      <c r="F3002" s="13" t="inlineStr">
        <is>
          <t>Branco</t>
        </is>
      </c>
      <c r="G3002" s="8" t="n">
        <v>0.03</v>
      </c>
      <c r="H3002" s="13" t="inlineStr">
        <is>
          <t>Journey into Nyx (JOU)</t>
        </is>
      </c>
      <c r="I3002" s="13" t="inlineStr">
        <is>
          <t>Não</t>
        </is>
      </c>
      <c r="J3002" s="13" t="n">
        <v>2014</v>
      </c>
      <c r="K3002" s="10" t="n">
        <v>46114</v>
      </c>
      <c r="L3002" s="13" t="n">
        <v>2</v>
      </c>
      <c r="M3002" s="8">
        <f>L3002*G3002</f>
        <v/>
      </c>
      <c r="P3002" s="9" t="n"/>
    </row>
    <row r="3003">
      <c r="A3003" s="13" t="inlineStr">
        <is>
          <t>Supreme Will / Vontade Suprema</t>
        </is>
      </c>
      <c r="B3003" s="13" t="inlineStr">
        <is>
          <t>Instant / Mágica Instantânea</t>
        </is>
      </c>
      <c r="C3003" s="13" t="inlineStr">
        <is>
          <t>Uncommon / Incomum</t>
        </is>
      </c>
      <c r="D3003" s="13"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3003" s="13" t="inlineStr">
        <is>
          <t>{2}{U}</t>
        </is>
      </c>
      <c r="F3003" s="13" t="inlineStr">
        <is>
          <t>Azul</t>
        </is>
      </c>
      <c r="G3003" s="8" t="n">
        <v>0.13</v>
      </c>
      <c r="H3003" s="13" t="inlineStr">
        <is>
          <t>Hour of Devastation (HOU)</t>
        </is>
      </c>
      <c r="I3003" s="13" t="inlineStr">
        <is>
          <t>Não</t>
        </is>
      </c>
      <c r="J3003" s="13" t="n">
        <v>2017</v>
      </c>
      <c r="L3003" s="13" t="n">
        <v>1</v>
      </c>
      <c r="M3003" s="8">
        <f>L3003*G3003</f>
        <v/>
      </c>
      <c r="P3003" s="9" t="n"/>
    </row>
    <row r="3004">
      <c r="A3004" s="13" t="inlineStr">
        <is>
          <t>Suprimentos de Reserva / Spare Supplies</t>
        </is>
      </c>
      <c r="B3004" s="13" t="inlineStr">
        <is>
          <t>Artifact / Artefato</t>
        </is>
      </c>
      <c r="C3004" s="13" t="inlineStr">
        <is>
          <t>Common / Comum</t>
        </is>
      </c>
      <c r="D3004" s="13"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3004" s="13" t="inlineStr">
        <is>
          <t>{2}</t>
        </is>
      </c>
      <c r="F3004" s="13" t="inlineStr">
        <is>
          <t>Incolor</t>
        </is>
      </c>
      <c r="G3004" s="8" t="n">
        <v>0.09</v>
      </c>
      <c r="H3004" s="13" t="inlineStr">
        <is>
          <t>Zendikar Rising (ZNR)</t>
        </is>
      </c>
      <c r="I3004" s="13" t="inlineStr">
        <is>
          <t>No</t>
        </is>
      </c>
      <c r="J3004" s="13" t="n">
        <v>2020</v>
      </c>
      <c r="L3004" s="13" t="n">
        <v>1</v>
      </c>
      <c r="M3004" s="8">
        <f>L3004*G3004</f>
        <v/>
      </c>
      <c r="P3004" s="9" t="n"/>
    </row>
    <row r="3005">
      <c r="A3005" s="13" t="inlineStr">
        <is>
          <t>Sure Strike / Golpe Certeiro</t>
        </is>
      </c>
      <c r="B3005" s="13" t="inlineStr">
        <is>
          <t>Instant / Mágica Instantânea</t>
        </is>
      </c>
      <c r="C3005" s="13" t="inlineStr">
        <is>
          <t>Common / Comum</t>
        </is>
      </c>
      <c r="D3005" s="13" t="inlineStr">
        <is>
          <t>Target creature gets +3/+0 and gains first strike until end of turn. (It deals combat damage before creatures without first strike.) / A criatura alvo recebe +3/+0 e ganha iniciativa até o final do turno.</t>
        </is>
      </c>
      <c r="E3005" s="13" t="inlineStr">
        <is>
          <t>{1}{R}</t>
        </is>
      </c>
      <c r="F3005" s="13" t="inlineStr">
        <is>
          <t>Vermelho</t>
        </is>
      </c>
      <c r="G3005" s="8" t="n">
        <v>0.03</v>
      </c>
      <c r="H3005" s="13" t="inlineStr">
        <is>
          <t>Core Set 2019 (M19)</t>
        </is>
      </c>
      <c r="I3005" s="13" t="inlineStr">
        <is>
          <t>Não</t>
        </is>
      </c>
      <c r="J3005" s="13" t="n">
        <v>2018</v>
      </c>
      <c r="L3005" s="13" t="n">
        <v>1</v>
      </c>
      <c r="M3005" s="8">
        <f>L3005*G3005</f>
        <v/>
      </c>
      <c r="P3005" s="9" t="n"/>
    </row>
    <row r="3006">
      <c r="A3006" s="13" t="inlineStr">
        <is>
          <t>Sure Strike / Golpe Certeiro</t>
        </is>
      </c>
      <c r="B3006" s="13" t="inlineStr">
        <is>
          <t>Instant / Mágica Instantânea</t>
        </is>
      </c>
      <c r="C3006" s="13" t="inlineStr">
        <is>
          <t>Common / Comum</t>
        </is>
      </c>
      <c r="D3006" s="13" t="inlineStr">
        <is>
          <t>Target creature gets +3/+0 and gains first strike until end of turn. (It deals combat damage before creatures without first strike.) / A criatura alvo recebe +3/+0 e ganha iniciativa até o final do turno.</t>
        </is>
      </c>
      <c r="E3006" s="13" t="inlineStr">
        <is>
          <t>{1}{R}</t>
        </is>
      </c>
      <c r="F3006" s="13" t="inlineStr">
        <is>
          <t>Vermelho</t>
        </is>
      </c>
      <c r="G3006" s="8" t="n">
        <v>0.05</v>
      </c>
      <c r="H3006" s="13" t="inlineStr">
        <is>
          <t>Innistrad: Crimson Vow (VOW)</t>
        </is>
      </c>
      <c r="I3006" s="13" t="inlineStr">
        <is>
          <t>Não</t>
        </is>
      </c>
      <c r="J3006" s="13" t="n">
        <v>2021</v>
      </c>
      <c r="L3006" s="13" t="n">
        <v>1</v>
      </c>
      <c r="M3006" s="8">
        <f>L3006*G3006</f>
        <v/>
      </c>
      <c r="P3006" s="9" t="n"/>
    </row>
    <row r="3007">
      <c r="A3007" s="13" t="inlineStr">
        <is>
          <t>Surging Dementia / Demência Ondulante</t>
        </is>
      </c>
      <c r="B3007" s="13" t="inlineStr">
        <is>
          <t>Sorcery / Feitiço</t>
        </is>
      </c>
      <c r="C3007" s="13" t="inlineStr">
        <is>
          <t>Common / Comum</t>
        </is>
      </c>
      <c r="D3007" s="13"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3007" s="13" t="inlineStr">
        <is>
          <t>{1}{B}</t>
        </is>
      </c>
      <c r="F3007" s="13" t="inlineStr">
        <is>
          <t>Preto</t>
        </is>
      </c>
      <c r="G3007" s="8" t="n">
        <v>0.14</v>
      </c>
      <c r="H3007" s="13" t="inlineStr">
        <is>
          <t>Coldsnap (CSP)</t>
        </is>
      </c>
      <c r="I3007" s="13" t="inlineStr">
        <is>
          <t>Não</t>
        </is>
      </c>
      <c r="J3007" s="13" t="n">
        <v>2006</v>
      </c>
      <c r="L3007" s="13" t="n">
        <v>1</v>
      </c>
      <c r="M3007" s="8">
        <f>L3007*G3007</f>
        <v/>
      </c>
      <c r="P3007" s="9" t="n"/>
    </row>
    <row r="3008">
      <c r="A3008" s="13" t="inlineStr">
        <is>
          <t>Surrak, the Hunt Caller / Surrak, o Convocador da Caçada</t>
        </is>
      </c>
      <c r="B3008" s="13" t="inlineStr">
        <is>
          <t>Legendary Creature — Human Warrior / Criatura Lendária — Humano Guerreiro</t>
        </is>
      </c>
      <c r="C3008" s="13" t="inlineStr">
        <is>
          <t>Uncommon / Incomum</t>
        </is>
      </c>
      <c r="D3008" s="13"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3008" s="13" t="inlineStr">
        <is>
          <t>{2}{G}{G}</t>
        </is>
      </c>
      <c r="F3008" s="13" t="inlineStr">
        <is>
          <t>Verde</t>
        </is>
      </c>
      <c r="G3008" s="8" t="n">
        <v>0.59</v>
      </c>
      <c r="H3008" s="13" t="inlineStr">
        <is>
          <t>Commander Masters (CMM)</t>
        </is>
      </c>
      <c r="I3008" s="13" t="inlineStr">
        <is>
          <t>Não</t>
        </is>
      </c>
      <c r="J3008" s="13" t="n">
        <v>2023</v>
      </c>
      <c r="K3008" s="10" t="n">
        <v>46117</v>
      </c>
      <c r="L3008" s="13" t="n">
        <v>1</v>
      </c>
      <c r="M3008" s="8">
        <f>L3008*G3008</f>
        <v/>
      </c>
      <c r="P3008" s="9" t="n"/>
    </row>
    <row r="3009">
      <c r="A3009" s="13" t="inlineStr">
        <is>
          <t>Svyelunite Temple / Templo Svyelunita</t>
        </is>
      </c>
      <c r="B3009" s="13" t="inlineStr">
        <is>
          <t>Terreno / Land</t>
        </is>
      </c>
      <c r="C3009" s="13" t="inlineStr">
        <is>
          <t>Incomum / Uncommon</t>
        </is>
      </c>
      <c r="D3009" s="13" t="inlineStr">
        <is>
          <t>Svyelunite Temple comes into play tapped. {T}: Add {U} to your mana pool. {T}, Sacrifice Svyelunite Temple: Add {U}{U} to your mana pool.</t>
        </is>
      </c>
      <c r="F3009" s="13" t="inlineStr">
        <is>
          <t>Azul</t>
        </is>
      </c>
      <c r="G3009" s="8" t="n">
        <v>2.11</v>
      </c>
      <c r="H3009" s="13" t="inlineStr">
        <is>
          <t>Fallen Empires (FEM)</t>
        </is>
      </c>
      <c r="I3009" s="13" t="inlineStr">
        <is>
          <t>Não</t>
        </is>
      </c>
      <c r="J3009" s="13" t="n">
        <v>1994</v>
      </c>
      <c r="L3009" s="13" t="n">
        <v>1</v>
      </c>
      <c r="M3009" s="8">
        <f>L3009*G3009</f>
        <v/>
      </c>
      <c r="N3009" s="13" t="inlineStr">
        <is>
          <t>Pasta</t>
        </is>
      </c>
      <c r="P3009" s="9" t="n"/>
    </row>
    <row r="3010">
      <c r="A3010" s="13" t="inlineStr">
        <is>
          <t>Swallowed by Leviathan / Engolido por Leviatã</t>
        </is>
      </c>
      <c r="B3010" s="13" t="inlineStr">
        <is>
          <t>Mágica Instantânea</t>
        </is>
      </c>
      <c r="C3010" s="13" t="inlineStr">
        <is>
          <t>Incomum</t>
        </is>
      </c>
      <c r="D3010" s="13"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010" s="13" t="inlineStr">
        <is>
          <t>2{U}</t>
        </is>
      </c>
      <c r="F3010" s="13" t="inlineStr">
        <is>
          <t>Azul</t>
        </is>
      </c>
      <c r="G3010" s="8" t="n">
        <v>0.19</v>
      </c>
      <c r="H3010" s="13" t="inlineStr">
        <is>
          <t>Final Fantasy</t>
        </is>
      </c>
      <c r="I3010" s="13" t="inlineStr">
        <is>
          <t>Não</t>
        </is>
      </c>
      <c r="J3010" s="13" t="n">
        <v>2025</v>
      </c>
      <c r="L3010" s="13" t="n">
        <v>2</v>
      </c>
      <c r="M3010" s="8">
        <f>L3010*G3010</f>
        <v/>
      </c>
      <c r="P3010" s="9" t="n"/>
    </row>
    <row r="3011">
      <c r="A3011" s="13" t="inlineStr">
        <is>
          <t>Swallowed by Leviathan / Engolido por Leviatã</t>
        </is>
      </c>
      <c r="B3011" s="13" t="inlineStr">
        <is>
          <t>Mágica Instantânea</t>
        </is>
      </c>
      <c r="C3011" s="13" t="inlineStr">
        <is>
          <t>Incomum</t>
        </is>
      </c>
      <c r="D3011" s="13"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011" s="13" t="inlineStr">
        <is>
          <t>2{U}</t>
        </is>
      </c>
      <c r="F3011" s="13" t="inlineStr">
        <is>
          <t>Azul</t>
        </is>
      </c>
      <c r="G3011" s="8" t="n">
        <v>0.49</v>
      </c>
      <c r="H3011" s="13" t="inlineStr">
        <is>
          <t>Final Fantasy</t>
        </is>
      </c>
      <c r="I3011" s="13" t="inlineStr">
        <is>
          <t>Sim</t>
        </is>
      </c>
      <c r="J3011" s="13" t="n">
        <v>2025</v>
      </c>
      <c r="L3011" s="13" t="n">
        <v>1</v>
      </c>
      <c r="M3011" s="8">
        <f>L3011*G3011</f>
        <v/>
      </c>
      <c r="P3011" s="9" t="n"/>
    </row>
    <row r="3012">
      <c r="A3012" s="13" t="inlineStr">
        <is>
          <t>Swampsnare Trap</t>
        </is>
      </c>
      <c r="B3012" s="13" t="inlineStr">
        <is>
          <t>Enchantment — Aura</t>
        </is>
      </c>
      <c r="C3012" s="13" t="inlineStr">
        <is>
          <t>Common / Comum</t>
        </is>
      </c>
      <c r="D3012" s="13" t="inlineStr">
        <is>
          <t>This spell costs {1} less to cast if it targets a creature with flying. Enchant creature Enchanted creature gets -5/-3.</t>
        </is>
      </c>
      <c r="E3012" s="13" t="inlineStr">
        <is>
          <t>{2}{B}</t>
        </is>
      </c>
      <c r="F3012" s="13" t="inlineStr">
        <is>
          <t>Preto</t>
        </is>
      </c>
      <c r="G3012" s="8" t="n">
        <v>0.05</v>
      </c>
      <c r="H3012" s="13" t="inlineStr">
        <is>
          <t>Avatar: The Last Airbender (TLA)</t>
        </is>
      </c>
      <c r="I3012" s="13" t="inlineStr">
        <is>
          <t>Não</t>
        </is>
      </c>
      <c r="J3012" s="13" t="n">
        <v>2025</v>
      </c>
      <c r="L3012" s="13" t="n">
        <v>4</v>
      </c>
      <c r="M3012" s="8">
        <f>L3012*G3012</f>
        <v/>
      </c>
      <c r="P3012" s="9" t="n"/>
    </row>
    <row r="3013">
      <c r="A3013" s="13" t="inlineStr">
        <is>
          <t>Swarmborn Giant / Gigante do Enxame</t>
        </is>
      </c>
      <c r="B3013" s="13" t="inlineStr">
        <is>
          <t>Creature — Giant / Criatura — Gigante</t>
        </is>
      </c>
      <c r="C3013" s="13" t="inlineStr">
        <is>
          <t>Uncommon / Incomum</t>
        </is>
      </c>
      <c r="D3013" s="13"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3013" s="13" t="inlineStr">
        <is>
          <t>{2}{G}{G}</t>
        </is>
      </c>
      <c r="F3013" s="13" t="inlineStr">
        <is>
          <t>Verde</t>
        </is>
      </c>
      <c r="G3013" s="8" t="n">
        <v>0.05</v>
      </c>
      <c r="H3013" s="13" t="inlineStr">
        <is>
          <t>Journey into Nyx (JOU)</t>
        </is>
      </c>
      <c r="I3013" s="13" t="inlineStr">
        <is>
          <t>Não</t>
        </is>
      </c>
      <c r="J3013" s="13" t="n">
        <v>2014</v>
      </c>
      <c r="K3013" s="10" t="n">
        <v>46179</v>
      </c>
      <c r="L3013" s="13" t="n">
        <v>1</v>
      </c>
      <c r="M3013" s="8">
        <f>L3013*G3013</f>
        <v/>
      </c>
      <c r="P3013" s="9" t="n"/>
    </row>
    <row r="3014">
      <c r="A3014" s="13" t="inlineStr">
        <is>
          <t>Swarming Goblins / Enxame de Goblins</t>
        </is>
      </c>
      <c r="B3014" s="13" t="inlineStr">
        <is>
          <t>Creature — Goblin / Criatura — Goblin</t>
        </is>
      </c>
      <c r="C3014" s="13" t="inlineStr">
        <is>
          <t>Common / Comum</t>
        </is>
      </c>
      <c r="D3014" s="13"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3014" s="13" t="inlineStr">
        <is>
          <t>{4}{R}</t>
        </is>
      </c>
      <c r="F3014" s="13" t="inlineStr">
        <is>
          <t>Vermelho</t>
        </is>
      </c>
      <c r="G3014" s="8" t="n">
        <v>0.1</v>
      </c>
      <c r="H3014" s="13" t="inlineStr">
        <is>
          <t>Adventures in the Forgotten Realms (AFR)</t>
        </is>
      </c>
      <c r="I3014" s="13" t="inlineStr">
        <is>
          <t>Não</t>
        </is>
      </c>
      <c r="J3014" s="13" t="n">
        <v>2021</v>
      </c>
      <c r="K3014" s="10" t="n">
        <v>46085</v>
      </c>
      <c r="L3014" s="13" t="n">
        <v>1</v>
      </c>
      <c r="M3014" s="8">
        <f>L3014*G3014</f>
        <v/>
      </c>
      <c r="P3014" s="9" t="n"/>
    </row>
    <row r="3015">
      <c r="A3015" s="13" t="inlineStr">
        <is>
          <t>Swift Justice / Justiça Veloz</t>
        </is>
      </c>
      <c r="B3015" s="13" t="inlineStr">
        <is>
          <t>Mágica Instantânea</t>
        </is>
      </c>
      <c r="C3015" s="13" t="inlineStr">
        <is>
          <t>Comum</t>
        </is>
      </c>
      <c r="D3015" s="13" t="inlineStr">
        <is>
          <t>Até o final do turno, a criatura alvo recebe +1/+0 e ganha iniciativa e vínculo com a vida.</t>
        </is>
      </c>
      <c r="E3015" s="13" t="inlineStr">
        <is>
          <t>W</t>
        </is>
      </c>
      <c r="F3015" s="13" t="inlineStr">
        <is>
          <t>Branco</t>
        </is>
      </c>
      <c r="G3015" s="8" t="n">
        <v>0.06</v>
      </c>
      <c r="H3015" s="13" t="inlineStr">
        <is>
          <t>Duel Decks: Speed vs. Cunning</t>
        </is>
      </c>
      <c r="I3015" s="13" t="inlineStr">
        <is>
          <t>Não</t>
        </is>
      </c>
      <c r="J3015" s="13" t="n">
        <v>2014</v>
      </c>
      <c r="L3015" s="13" t="n">
        <v>1</v>
      </c>
      <c r="M3015" s="8">
        <f>L3015*G3015</f>
        <v/>
      </c>
      <c r="P3015" s="9" t="n"/>
    </row>
    <row r="3016">
      <c r="A3016" s="13" t="inlineStr">
        <is>
          <t>Swift Kick / Chute Veloz</t>
        </is>
      </c>
      <c r="B3016" s="13" t="inlineStr">
        <is>
          <t>Instant / Mágica Instantânea</t>
        </is>
      </c>
      <c r="C3016" s="13" t="inlineStr">
        <is>
          <t>Common / Comum</t>
        </is>
      </c>
      <c r="D3016" s="13" t="inlineStr">
        <is>
          <t>Target creature you control gets +1/+0 until end of turn. It fights target creature you don't control. / A criatura alvo que você controla recebe +1/+0 até o final do turno. Ela luta com a criatura alvo que você não controla.</t>
        </is>
      </c>
      <c r="E3016" s="13" t="inlineStr">
        <is>
          <t>{3}{R}</t>
        </is>
      </c>
      <c r="F3016" s="13" t="inlineStr">
        <is>
          <t>Vermelho</t>
        </is>
      </c>
      <c r="G3016" s="8" t="n">
        <v>0.04</v>
      </c>
      <c r="H3016" s="13" t="inlineStr">
        <is>
          <t>Khans of Tarkir (KTK)</t>
        </is>
      </c>
      <c r="I3016" s="13" t="inlineStr">
        <is>
          <t>Não</t>
        </is>
      </c>
      <c r="J3016" s="13" t="n">
        <v>2014</v>
      </c>
      <c r="L3016" s="13" t="n">
        <v>1</v>
      </c>
      <c r="M3016" s="8">
        <f>L3016*G3016</f>
        <v/>
      </c>
      <c r="P3016" s="9" t="n"/>
    </row>
    <row r="3017">
      <c r="A3017" s="13" t="inlineStr">
        <is>
          <t>Swiftwing Assailant</t>
        </is>
      </c>
      <c r="B3017" s="13" t="inlineStr">
        <is>
          <t>Creature — Bird Warrior</t>
        </is>
      </c>
      <c r="C3017" s="13" t="inlineStr">
        <is>
          <t>Common / Comum</t>
        </is>
      </c>
      <c r="D3017" s="13" t="inlineStr">
        <is>
          <t>Flying Start your engines! (If you have no speed, it starts at 1. It increases once on each of your turns when an opponent loses life. Max speed is 4.) Max speed — This creature gets +0/+1 and has vigilance.</t>
        </is>
      </c>
      <c r="E3017" s="13" t="inlineStr">
        <is>
          <t>{3}{W}</t>
        </is>
      </c>
      <c r="F3017" s="13" t="inlineStr">
        <is>
          <t>Branco</t>
        </is>
      </c>
      <c r="G3017" s="8" t="n">
        <v>0.05</v>
      </c>
      <c r="H3017" s="13" t="inlineStr">
        <is>
          <t>Aetherdrift (DFT)</t>
        </is>
      </c>
      <c r="I3017" s="13" t="inlineStr">
        <is>
          <t>Não</t>
        </is>
      </c>
      <c r="J3017" s="13" t="n">
        <v>2025</v>
      </c>
      <c r="K3017" s="10" t="n">
        <v>46084</v>
      </c>
      <c r="L3017" s="13" t="n">
        <v>1</v>
      </c>
      <c r="M3017" s="8">
        <f>L3017*G3017</f>
        <v/>
      </c>
      <c r="P3017" s="9" t="n"/>
    </row>
    <row r="3018">
      <c r="A3018" s="13" t="inlineStr">
        <is>
          <t>Swirling Sandstorm / Redemoinho de Areia</t>
        </is>
      </c>
      <c r="B3018" s="13" t="inlineStr">
        <is>
          <t>Sorcery / Feitiço</t>
        </is>
      </c>
      <c r="C3018" s="13" t="inlineStr">
        <is>
          <t>Common / Comum</t>
        </is>
      </c>
      <c r="D3018" s="13"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3018" s="13" t="inlineStr">
        <is>
          <t>{3}{R}</t>
        </is>
      </c>
      <c r="F3018" s="13" t="inlineStr">
        <is>
          <t>Vermelho</t>
        </is>
      </c>
      <c r="G3018" s="8" t="n">
        <v>0.8</v>
      </c>
      <c r="H3018" s="13" t="inlineStr">
        <is>
          <t>Judgment (JUD)</t>
        </is>
      </c>
      <c r="I3018" s="13" t="inlineStr">
        <is>
          <t>Não</t>
        </is>
      </c>
      <c r="J3018" s="13" t="n">
        <v>2002</v>
      </c>
      <c r="L3018" s="13" t="n">
        <v>1</v>
      </c>
      <c r="M3018" s="8">
        <f>L3018*G3018</f>
        <v/>
      </c>
      <c r="P3018" s="9" t="n"/>
    </row>
    <row r="3019">
      <c r="A3019" s="13" t="inlineStr">
        <is>
          <t>Sylvan Ranger / Guardiã das Matas</t>
        </is>
      </c>
      <c r="B3019" s="13" t="inlineStr">
        <is>
          <t>Creature — Elf Scout / Criatura — Elfo Batedor</t>
        </is>
      </c>
      <c r="C3019" s="13" t="inlineStr">
        <is>
          <t>Common / Comum</t>
        </is>
      </c>
      <c r="D3019" s="13"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3019" s="13" t="inlineStr">
        <is>
          <t>{1}{G}</t>
        </is>
      </c>
      <c r="F3019" s="13" t="inlineStr">
        <is>
          <t>Verde</t>
        </is>
      </c>
      <c r="G3019" s="8" t="n">
        <v>0.06</v>
      </c>
      <c r="H3019" s="13" t="inlineStr">
        <is>
          <t>Magic 2011 (M11)</t>
        </is>
      </c>
      <c r="I3019" s="13" t="inlineStr">
        <is>
          <t>Não</t>
        </is>
      </c>
      <c r="J3019" s="13" t="n">
        <v>2010</v>
      </c>
      <c r="K3019" s="10" t="n">
        <v>46023</v>
      </c>
      <c r="L3019" s="13" t="n">
        <v>4</v>
      </c>
      <c r="M3019" s="8">
        <f>L3019*G3019</f>
        <v/>
      </c>
      <c r="P3019" s="9" t="n"/>
    </row>
    <row r="3020">
      <c r="A3020" s="13" t="inlineStr">
        <is>
          <t>Sylvan Safekeeper / Guardião da Floresta</t>
        </is>
      </c>
      <c r="B3020" s="13" t="inlineStr">
        <is>
          <t>Creature — Human Wizard / Criatura — Humano Mago</t>
        </is>
      </c>
      <c r="C3020" s="13" t="inlineStr">
        <is>
          <t>Rare / Rara</t>
        </is>
      </c>
      <c r="D3020" s="13" t="inlineStr">
        <is>
          <t>{0}, Sacrifice a land: Target creature you control gains shroud until end of turn. / {0}, Sacrifique um terreno: A criatura alvo que você controla ganha manto até o final do turno.</t>
        </is>
      </c>
      <c r="E3020" s="13" t="inlineStr">
        <is>
          <t>{G}</t>
        </is>
      </c>
      <c r="F3020" s="13" t="inlineStr">
        <is>
          <t>Verde</t>
        </is>
      </c>
      <c r="G3020" s="8" t="n">
        <v>0.06</v>
      </c>
      <c r="H3020" s="13" t="inlineStr">
        <is>
          <t>Magic 2011 (M11)</t>
        </is>
      </c>
      <c r="I3020" s="13" t="inlineStr">
        <is>
          <t>Não</t>
        </is>
      </c>
      <c r="J3020" s="13" t="n">
        <v>2002</v>
      </c>
      <c r="K3020" s="10" t="n">
        <v>46023</v>
      </c>
      <c r="L3020" s="13" t="n">
        <v>1</v>
      </c>
      <c r="M3020" s="8">
        <f>L3020*G3020</f>
        <v/>
      </c>
      <c r="P3020" s="9" t="n"/>
    </row>
    <row r="3021">
      <c r="A3021" s="13" t="inlineStr">
        <is>
          <t>Sylvan Scrying / Auspício Silvestre</t>
        </is>
      </c>
      <c r="B3021" s="13" t="inlineStr">
        <is>
          <t>Sorcery / Feitiço</t>
        </is>
      </c>
      <c r="C3021" s="13" t="inlineStr">
        <is>
          <t>Uncommon / Incomum</t>
        </is>
      </c>
      <c r="D3021" s="13" t="inlineStr">
        <is>
          <t>Search your library for a land card, reveal it, and put it into your hand. Then shuffle. / Procure um card de terreno em seu grimório, revele-o e coloque-o em sua mão. Depois, embaralhe seu grimório.</t>
        </is>
      </c>
      <c r="E3021" s="13" t="inlineStr">
        <is>
          <t>{1}{G}</t>
        </is>
      </c>
      <c r="F3021" s="13" t="inlineStr">
        <is>
          <t>Verde</t>
        </is>
      </c>
      <c r="G3021" s="8" t="n">
        <v>0.37</v>
      </c>
      <c r="H3021" s="13" t="inlineStr">
        <is>
          <t>Battle for Zendikar (BFZ)</t>
        </is>
      </c>
      <c r="I3021" s="13" t="inlineStr">
        <is>
          <t>Não</t>
        </is>
      </c>
      <c r="J3021" s="13" t="n">
        <v>2015</v>
      </c>
      <c r="L3021" s="13" t="n">
        <v>1</v>
      </c>
      <c r="M3021" s="8">
        <f>L3021*G3021</f>
        <v/>
      </c>
      <c r="P3021" s="9" t="n"/>
    </row>
    <row r="3022">
      <c r="A3022" s="13" t="inlineStr">
        <is>
          <t>Symbiotic Beast / Besta Simbiótica</t>
        </is>
      </c>
      <c r="B3022" s="13" t="inlineStr">
        <is>
          <t>Creature — Insect Beast / Criatura — Inseto Besta</t>
        </is>
      </c>
      <c r="C3022" s="13" t="inlineStr">
        <is>
          <t>Common / Comum</t>
        </is>
      </c>
      <c r="D3022" s="13" t="inlineStr">
        <is>
          <t>When this creature dies, create four 1/1 green Insect creature tokens. / Quando Besta Simbiótica morrer, crie quatro fichas de criatura Inseto verde 1/1.</t>
        </is>
      </c>
      <c r="E3022" s="13" t="inlineStr">
        <is>
          <t>{4}{G}{G}</t>
        </is>
      </c>
      <c r="F3022" s="13" t="inlineStr">
        <is>
          <t>Verde</t>
        </is>
      </c>
      <c r="G3022" s="8" t="n">
        <v>0.1</v>
      </c>
      <c r="H3022" s="13" t="inlineStr">
        <is>
          <t>Dominaria Remastered (DMR)</t>
        </is>
      </c>
      <c r="I3022" s="13" t="inlineStr">
        <is>
          <t>Não</t>
        </is>
      </c>
      <c r="J3022" s="13" t="n">
        <v>2023</v>
      </c>
      <c r="K3022" s="10" t="n">
        <v>46116</v>
      </c>
      <c r="L3022" s="13" t="n">
        <v>7</v>
      </c>
      <c r="M3022" s="8">
        <f>L3022*G3022</f>
        <v/>
      </c>
      <c r="P3022" s="9" t="n"/>
    </row>
    <row r="3023">
      <c r="A3023" s="13" t="inlineStr">
        <is>
          <t>Syncopate / Sincopar</t>
        </is>
      </c>
      <c r="B3023" s="13" t="inlineStr">
        <is>
          <t>Instant / Mágica Instantânea</t>
        </is>
      </c>
      <c r="C3023" s="13" t="inlineStr">
        <is>
          <t>Common / Comum</t>
        </is>
      </c>
      <c r="D3023" s="13"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3023" s="13" t="inlineStr">
        <is>
          <t>{X}{U}</t>
        </is>
      </c>
      <c r="F3023" s="13" t="inlineStr">
        <is>
          <t>Azul</t>
        </is>
      </c>
      <c r="G3023" s="8" t="n">
        <v>0.05</v>
      </c>
      <c r="H3023" s="13" t="inlineStr">
        <is>
          <t>Dominaria (DOM)</t>
        </is>
      </c>
      <c r="I3023" s="13" t="inlineStr">
        <is>
          <t>Não</t>
        </is>
      </c>
      <c r="J3023" s="13" t="n">
        <v>2018</v>
      </c>
      <c r="L3023" s="13" t="n">
        <v>1</v>
      </c>
      <c r="M3023" s="8">
        <f>L3023*G3023</f>
        <v/>
      </c>
      <c r="P3023" s="9" t="n"/>
    </row>
    <row r="3024">
      <c r="A3024" s="13" t="inlineStr">
        <is>
          <t>Syncopate / Síncope</t>
        </is>
      </c>
      <c r="B3024" s="13" t="inlineStr">
        <is>
          <t>Mágica Instantânea</t>
        </is>
      </c>
      <c r="C3024" s="13" t="inlineStr">
        <is>
          <t>Comum</t>
        </is>
      </c>
      <c r="D3024" s="13" t="inlineStr">
        <is>
          <t>Anule a mágica alvo, a menos que seu controlador pague {X}. Se aquela mágica for anulada deste modo, exile-a em vez de colocá-la no cemitério de seu dono.</t>
        </is>
      </c>
      <c r="E3024" s="13" t="inlineStr">
        <is>
          <t>{X}{U}</t>
        </is>
      </c>
      <c r="F3024" s="13" t="inlineStr">
        <is>
          <t>Azul</t>
        </is>
      </c>
      <c r="G3024" s="8" t="n">
        <v>0.05</v>
      </c>
      <c r="H3024" s="13" t="inlineStr">
        <is>
          <t>Final Fantasy</t>
        </is>
      </c>
      <c r="I3024" s="13" t="inlineStr">
        <is>
          <t>Não</t>
        </is>
      </c>
      <c r="J3024" s="13" t="n">
        <v>2025</v>
      </c>
      <c r="L3024" s="13" t="n">
        <v>6</v>
      </c>
      <c r="M3024" s="8">
        <f>L3024*G3024</f>
        <v/>
      </c>
      <c r="P3024" s="9" t="n"/>
    </row>
    <row r="3025">
      <c r="A3025" s="13" t="inlineStr">
        <is>
          <t>Syndicate Guildmage / Mago de Guilda do Sindicato</t>
        </is>
      </c>
      <c r="B3025" s="13" t="inlineStr">
        <is>
          <t>Creature — Human Cleric / Criatura — Humano Clérigo</t>
        </is>
      </c>
      <c r="C3025" s="13" t="inlineStr">
        <is>
          <t>Uncommon / Incomum</t>
        </is>
      </c>
      <c r="D3025" s="13"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3025" s="13" t="inlineStr">
        <is>
          <t>{W}{B}</t>
        </is>
      </c>
      <c r="F3025" s="13" t="inlineStr">
        <is>
          <t>Preto, Branco</t>
        </is>
      </c>
      <c r="G3025" s="8" t="n">
        <v>0.03</v>
      </c>
      <c r="H3025" s="13" t="inlineStr">
        <is>
          <t>Ravnica Allegiance (RNA)</t>
        </is>
      </c>
      <c r="I3025" s="13" t="inlineStr">
        <is>
          <t>Não</t>
        </is>
      </c>
      <c r="J3025" s="13" t="n">
        <v>2019</v>
      </c>
      <c r="K3025" s="10" t="n">
        <v>46055</v>
      </c>
      <c r="L3025" s="13" t="n">
        <v>2</v>
      </c>
      <c r="M3025" s="8">
        <f>L3025*G3025</f>
        <v/>
      </c>
      <c r="P3025" s="9" t="n"/>
    </row>
    <row r="3026">
      <c r="A3026" s="13" t="inlineStr">
        <is>
          <t>Syr Alin, the Lion's Claw / Syr Alin, a Garra do Leão</t>
        </is>
      </c>
      <c r="B3026" s="13" t="inlineStr">
        <is>
          <t>Legendary Creature — Human Knight / Criatura Lendária — Humano Cavaleiro</t>
        </is>
      </c>
      <c r="C3026" s="13" t="inlineStr">
        <is>
          <t>Uncommon / Incomum</t>
        </is>
      </c>
      <c r="D3026" s="13"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3026" s="13" t="inlineStr">
        <is>
          <t>{3}{W}{W}</t>
        </is>
      </c>
      <c r="F3026" s="13" t="inlineStr">
        <is>
          <t>Branco</t>
        </is>
      </c>
      <c r="G3026" s="8" t="n">
        <v>0.12</v>
      </c>
      <c r="H3026" s="13" t="inlineStr">
        <is>
          <t>Throne of Eldraine (ELD)</t>
        </is>
      </c>
      <c r="I3026" s="13" t="inlineStr">
        <is>
          <t>Não</t>
        </is>
      </c>
      <c r="J3026" s="13" t="n">
        <v>2019</v>
      </c>
      <c r="K3026" s="10" t="n">
        <v>46116</v>
      </c>
      <c r="L3026" s="13" t="n">
        <v>1</v>
      </c>
      <c r="M3026" s="8">
        <f>L3026*G3026</f>
        <v/>
      </c>
      <c r="P3026" s="9" t="n"/>
    </row>
    <row r="3027">
      <c r="A3027" s="13" t="inlineStr">
        <is>
          <t>Syr Armont, the Redeemer / Syr Armont, a Redentora</t>
        </is>
      </c>
      <c r="B3027" s="13" t="inlineStr">
        <is>
          <t>Legendary Creature — Human Knight / Criatura Lendária — Humano Cavaleiro</t>
        </is>
      </c>
      <c r="C3027" s="13" t="inlineStr">
        <is>
          <t>Uncommon / Incomum</t>
        </is>
      </c>
      <c r="D3027" s="13"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3027" s="13" t="inlineStr">
        <is>
          <t>{3}{G}{W}</t>
        </is>
      </c>
      <c r="F3027" s="13" t="inlineStr">
        <is>
          <t>Verde, Branco</t>
        </is>
      </c>
      <c r="G3027" s="8" t="n">
        <v>0.1</v>
      </c>
      <c r="H3027" s="13" t="inlineStr">
        <is>
          <t>Wilds of Eldraine (WOE)</t>
        </is>
      </c>
      <c r="I3027" s="13" t="inlineStr">
        <is>
          <t>Não</t>
        </is>
      </c>
      <c r="J3027" s="13" t="n">
        <v>2023</v>
      </c>
      <c r="K3027" s="10" t="n">
        <v>46116</v>
      </c>
      <c r="L3027" s="13" t="n">
        <v>1</v>
      </c>
      <c r="M3027" s="8">
        <f>L3027*G3027</f>
        <v/>
      </c>
      <c r="P3027" s="9" t="n"/>
    </row>
    <row r="3028">
      <c r="A3028" s="13" t="inlineStr">
        <is>
          <t>Syr Faren, the Hengehammer / Syr Faren, Martelo do Círculo</t>
        </is>
      </c>
      <c r="B3028" s="13" t="inlineStr">
        <is>
          <t>Legendary Creature — Human Knight / Criatura Lendária — Humano Cavaleiro</t>
        </is>
      </c>
      <c r="C3028" s="13" t="inlineStr">
        <is>
          <t>Uncommon / Incomum</t>
        </is>
      </c>
      <c r="D3028" s="13"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3028" s="13" t="inlineStr">
        <is>
          <t>{G}{G}</t>
        </is>
      </c>
      <c r="F3028" s="13" t="inlineStr">
        <is>
          <t>Verde</t>
        </is>
      </c>
      <c r="G3028" s="8" t="n">
        <v>0.09</v>
      </c>
      <c r="H3028" s="13" t="inlineStr">
        <is>
          <t>Throne of Eldraine (ELD)</t>
        </is>
      </c>
      <c r="I3028" s="13" t="inlineStr">
        <is>
          <t>Não</t>
        </is>
      </c>
      <c r="J3028" s="13" t="n">
        <v>2019</v>
      </c>
      <c r="K3028" s="10" t="n">
        <v>46055</v>
      </c>
      <c r="L3028" s="13" t="n">
        <v>1</v>
      </c>
      <c r="M3028" s="8">
        <f>L3028*G3028</f>
        <v/>
      </c>
      <c r="P3028" s="9" t="n"/>
    </row>
    <row r="3029">
      <c r="A3029" s="13" t="inlineStr">
        <is>
          <t>Taborax, Hope's Demise / Taborax, Fim da Esperança</t>
        </is>
      </c>
      <c r="B3029" s="13" t="inlineStr">
        <is>
          <t>Legendary Creature — Demon Cleric / Criatura Lendária — Demônio Clérigo</t>
        </is>
      </c>
      <c r="C3029" s="13" t="inlineStr">
        <is>
          <t>Uncommon / Incomum</t>
        </is>
      </c>
      <c r="D3029" s="13"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3029" s="13" t="inlineStr">
        <is>
          <t>{2}{B}</t>
        </is>
      </c>
      <c r="F3029" s="13" t="inlineStr">
        <is>
          <t>Preto</t>
        </is>
      </c>
      <c r="G3029" s="8" t="n">
        <v>0.39</v>
      </c>
      <c r="H3029" s="13" t="inlineStr">
        <is>
          <t>Commander Masters (CMM)</t>
        </is>
      </c>
      <c r="I3029" s="13" t="inlineStr">
        <is>
          <t>Não</t>
        </is>
      </c>
      <c r="J3029" s="13" t="n">
        <v>2023</v>
      </c>
      <c r="K3029" s="10" t="n">
        <v>46055</v>
      </c>
      <c r="L3029" s="13" t="n">
        <v>2</v>
      </c>
      <c r="M3029" s="8">
        <f>L3029*G3029</f>
        <v/>
      </c>
      <c r="P3029" s="9" t="n"/>
    </row>
    <row r="3030">
      <c r="A3030" s="13" t="inlineStr">
        <is>
          <t>Tainted Treats</t>
        </is>
      </c>
      <c r="B3030" s="13" t="inlineStr">
        <is>
          <t>Instant</t>
        </is>
      </c>
      <c r="C3030" s="13" t="inlineStr">
        <is>
          <t>Uncommon / Incomum</t>
        </is>
      </c>
      <c r="D3030" s="13" t="inlineStr">
        <is>
          <t>Destroy target artifact or creature. If its mana value was 4 or less, create a Food token. (It's an artifact with "{2}, {T}, Sacrifice this token: You gain 3 life.")</t>
        </is>
      </c>
      <c r="E3030" s="13" t="inlineStr">
        <is>
          <t>{1}{B}{G}</t>
        </is>
      </c>
      <c r="F3030" s="13" t="inlineStr">
        <is>
          <t>Preto, Verde</t>
        </is>
      </c>
      <c r="G3030" s="8" t="n">
        <v>0.16</v>
      </c>
      <c r="H3030" s="13" t="inlineStr">
        <is>
          <t>Teenage Mutant Ninja Turtles (TMT)</t>
        </is>
      </c>
      <c r="I3030" s="13" t="inlineStr">
        <is>
          <t>Não</t>
        </is>
      </c>
      <c r="J3030" s="13" t="n">
        <v>2026</v>
      </c>
      <c r="L3030" s="13" t="n">
        <v>1</v>
      </c>
      <c r="M3030" s="8">
        <f>L3030*G3030</f>
        <v/>
      </c>
      <c r="P3030" s="9" t="n"/>
    </row>
    <row r="3031">
      <c r="A3031" s="13" t="inlineStr">
        <is>
          <t>Take Down / Abater</t>
        </is>
      </c>
      <c r="B3031" s="13" t="inlineStr">
        <is>
          <t>Sorcery / Feitiço</t>
        </is>
      </c>
      <c r="C3031" s="13" t="inlineStr">
        <is>
          <t>Common / Comum</t>
        </is>
      </c>
      <c r="D3031" s="13"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3031" s="13" t="inlineStr">
        <is>
          <t>{G}</t>
        </is>
      </c>
      <c r="F3031" s="13" t="inlineStr">
        <is>
          <t>Verde</t>
        </is>
      </c>
      <c r="G3031" s="8" t="n">
        <v>0.03</v>
      </c>
      <c r="H3031" s="13" t="inlineStr">
        <is>
          <t>Kaladesh (KLD)</t>
        </is>
      </c>
      <c r="I3031" s="13" t="inlineStr">
        <is>
          <t>Não</t>
        </is>
      </c>
      <c r="J3031" s="13" t="n">
        <v>2016</v>
      </c>
      <c r="L3031" s="13" t="n">
        <v>4</v>
      </c>
      <c r="M3031" s="8">
        <f>L3031*G3031</f>
        <v/>
      </c>
      <c r="P3031" s="9" t="n"/>
    </row>
    <row r="3032">
      <c r="A3032" s="13" t="inlineStr">
        <is>
          <t>Talassido Vigia-costa</t>
        </is>
      </c>
      <c r="B3032" s="13" t="inlineStr">
        <is>
          <t>Criatura — Tritão Ladino</t>
        </is>
      </c>
      <c r="C3032" s="13" t="inlineStr">
        <is>
          <t>Comum</t>
        </is>
      </c>
      <c r="D3032" s="13" t="inlineStr">
        <is>
          <t>Talassido Vigia-costa não pode ser bloqueado.</t>
        </is>
      </c>
      <c r="E3032" s="13" t="inlineStr">
        <is>
          <t>U</t>
        </is>
      </c>
      <c r="F3032" s="13" t="inlineStr">
        <is>
          <t>Azul</t>
        </is>
      </c>
      <c r="G3032" s="8" t="n">
        <v>0.26</v>
      </c>
      <c r="H3032" s="13" t="inlineStr">
        <is>
          <t>Journey into Nyx</t>
        </is>
      </c>
      <c r="I3032" s="13" t="inlineStr">
        <is>
          <t>Não</t>
        </is>
      </c>
      <c r="J3032" s="13" t="n">
        <v>2014</v>
      </c>
      <c r="K3032" s="10" t="n">
        <v>46023</v>
      </c>
      <c r="L3032" s="13" t="n">
        <v>6</v>
      </c>
      <c r="M3032" s="8">
        <f>L3032*G3032</f>
        <v/>
      </c>
      <c r="P3032" s="9" t="n"/>
    </row>
    <row r="3033">
      <c r="A3033" s="13" t="inlineStr">
        <is>
          <t>Tale of Tinúviel / História de Tinúviel</t>
        </is>
      </c>
      <c r="B3033" s="13" t="inlineStr">
        <is>
          <t>Enchantment — Saga / Encantamento — Saga</t>
        </is>
      </c>
      <c r="C3033" s="13" t="inlineStr">
        <is>
          <t>Uncommon / Incomum</t>
        </is>
      </c>
      <c r="D3033" s="13"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3033" s="13" t="inlineStr">
        <is>
          <t>{3}{W}{W}</t>
        </is>
      </c>
      <c r="F3033" s="13" t="inlineStr">
        <is>
          <t>Branco</t>
        </is>
      </c>
      <c r="G3033" s="8" t="n">
        <v>0.22</v>
      </c>
      <c r="H3033" s="13" t="inlineStr">
        <is>
          <t>The Lord of the Rings: Tales of Middle-earth (LTR)</t>
        </is>
      </c>
      <c r="I3033" s="13" t="inlineStr">
        <is>
          <t>Não</t>
        </is>
      </c>
      <c r="J3033" s="13" t="n">
        <v>2023</v>
      </c>
      <c r="L3033" s="13" t="n">
        <v>1</v>
      </c>
      <c r="M3033" s="8">
        <f>L3033*G3033</f>
        <v/>
      </c>
      <c r="P3033" s="9" t="n"/>
    </row>
    <row r="3034">
      <c r="A3034" s="13" t="inlineStr">
        <is>
          <t>Tales of Master Seshiro // Seshiro's Living Legacy / Contos do Mestre Seshiro // Legado Vivo de Seshiro</t>
        </is>
      </c>
      <c r="B3034" s="13" t="inlineStr">
        <is>
          <t>Enchantment — Saga // Enchantment Creature — Snake Warrior / Encantamento — Saga</t>
        </is>
      </c>
      <c r="C3034" s="13" t="inlineStr">
        <is>
          <t>Common / Comum</t>
        </is>
      </c>
      <c r="D3034" s="13"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3034" s="13" t="inlineStr">
        <is>
          <t>{4}{G}</t>
        </is>
      </c>
      <c r="F3034" s="13" t="inlineStr">
        <is>
          <t>Verde</t>
        </is>
      </c>
      <c r="G3034" s="8" t="n">
        <v>0.06</v>
      </c>
      <c r="H3034" s="13" t="inlineStr">
        <is>
          <t>Kamigawa: Neon Dynasty (NEO)</t>
        </is>
      </c>
      <c r="I3034" s="13" t="inlineStr">
        <is>
          <t>Não</t>
        </is>
      </c>
      <c r="J3034" s="13" t="n">
        <v>2022</v>
      </c>
      <c r="K3034" s="10" t="n">
        <v>46147</v>
      </c>
      <c r="L3034" s="13" t="n">
        <v>1</v>
      </c>
      <c r="M3034" s="8">
        <f>L3034*G3034</f>
        <v/>
      </c>
      <c r="P3034" s="9" t="n"/>
    </row>
    <row r="3035">
      <c r="A3035" s="13" t="inlineStr">
        <is>
          <t>Talho das Sombras / Deadly Derision</t>
        </is>
      </c>
      <c r="B3035" s="13" t="inlineStr">
        <is>
          <t>Mágica Instantânea / Instant</t>
        </is>
      </c>
      <c r="C3035" s="13" t="inlineStr">
        <is>
          <t>Comum / Common</t>
        </is>
      </c>
      <c r="D3035" s="13" t="inlineStr">
        <is>
          <t>Esta mágica não pode ser anulada. A criatura alvo recebe -X/-X até o final do turno. / This spell can't be countered. Target creature gets -X/-X until end of turn.</t>
        </is>
      </c>
      <c r="E3035" s="13" t="inlineStr">
        <is>
          <t>{X}{B}</t>
        </is>
      </c>
      <c r="F3035" s="13" t="inlineStr">
        <is>
          <t>Preto / Black</t>
        </is>
      </c>
      <c r="G3035" s="8" t="n">
        <v>0.4</v>
      </c>
      <c r="H3035" s="13" t="inlineStr">
        <is>
          <t>Murders at Karlov Manor (MKM)</t>
        </is>
      </c>
      <c r="I3035" s="13" t="inlineStr">
        <is>
          <t>Não</t>
        </is>
      </c>
      <c r="J3035" s="13" t="n">
        <v>2024</v>
      </c>
      <c r="L3035" s="13" t="n">
        <v>1</v>
      </c>
      <c r="M3035" s="8">
        <f>L3035*G3035</f>
        <v/>
      </c>
      <c r="P3035" s="9" t="n"/>
    </row>
    <row r="3036">
      <c r="A3036" s="13" t="inlineStr">
        <is>
          <t>Tall as a Beanstalk / Alto como um Pé de Feijão</t>
        </is>
      </c>
      <c r="B3036" s="13" t="inlineStr">
        <is>
          <t>Enchantment — Aura / Encantamento — Aura</t>
        </is>
      </c>
      <c r="C3036" s="13" t="inlineStr">
        <is>
          <t>Common / Comum</t>
        </is>
      </c>
      <c r="D3036" s="13" t="inlineStr">
        <is>
          <t>Enchant creature. Enchanted creature gets +3/+3, has reach, and is a Giant in addition to its other types. / Encantar criatura. A criatura encantada recebe +3/+3, tem alcance e é um Gigante além de seus outros tipos.</t>
        </is>
      </c>
      <c r="E3036" s="13" t="inlineStr">
        <is>
          <t>{3}{G}</t>
        </is>
      </c>
      <c r="F3036" s="13" t="inlineStr">
        <is>
          <t>Verde</t>
        </is>
      </c>
      <c r="G3036" s="8" t="n">
        <v>0.05</v>
      </c>
      <c r="H3036" s="13" t="inlineStr">
        <is>
          <t>Throne of Eldraine (ELD)</t>
        </is>
      </c>
      <c r="I3036" s="13" t="inlineStr">
        <is>
          <t>Não</t>
        </is>
      </c>
      <c r="J3036" s="13" t="n">
        <v>2019</v>
      </c>
      <c r="L3036" s="13" t="n">
        <v>4</v>
      </c>
      <c r="M3036" s="8">
        <f>L3036*G3036</f>
        <v/>
      </c>
      <c r="P3036" s="9" t="n"/>
    </row>
    <row r="3037">
      <c r="A3037" s="13" t="inlineStr">
        <is>
          <t>Talus Paladin / Paladino de Talus</t>
        </is>
      </c>
      <c r="B3037" s="13" t="inlineStr">
        <is>
          <t>Creature — Human Knight Ally / Criatura — Humano Cavaleiro Aliado</t>
        </is>
      </c>
      <c r="C3037" s="13" t="inlineStr">
        <is>
          <t>Rare / Rara</t>
        </is>
      </c>
      <c r="D3037" s="13"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3037" s="13" t="inlineStr">
        <is>
          <t>{3}{W}</t>
        </is>
      </c>
      <c r="F3037" s="13" t="inlineStr">
        <is>
          <t>Branco</t>
        </is>
      </c>
      <c r="G3037" s="8" t="n">
        <v>0.85</v>
      </c>
      <c r="H3037" s="13" t="inlineStr">
        <is>
          <t>Worldwake (WWK)</t>
        </is>
      </c>
      <c r="I3037" s="13" t="inlineStr">
        <is>
          <t>Não</t>
        </is>
      </c>
      <c r="J3037" s="13" t="n">
        <v>2010</v>
      </c>
      <c r="K3037" s="10" t="n">
        <v>46083</v>
      </c>
      <c r="L3037" s="13" t="n">
        <v>3</v>
      </c>
      <c r="M3037" s="8">
        <f>L3037*G3037</f>
        <v/>
      </c>
      <c r="P3037" s="9" t="n"/>
    </row>
    <row r="3038">
      <c r="A3038" s="13" t="inlineStr">
        <is>
          <t>Tambor de Folha Primaveril / Springleaf Drum</t>
        </is>
      </c>
      <c r="B3038" s="13" t="inlineStr">
        <is>
          <t>Artefato</t>
        </is>
      </c>
      <c r="C3038" s="13" t="inlineStr">
        <is>
          <t>Especial</t>
        </is>
      </c>
      <c r="D3038" s="13" t="inlineStr">
        <is>
          <t>{T}, Vire uma criatura desvirada que você controla: Adicione um mana de qualquer cor.</t>
        </is>
      </c>
      <c r="E3038" s="13" t="inlineStr">
        <is>
          <t>{1}</t>
        </is>
      </c>
      <c r="F3038" s="13" t="inlineStr">
        <is>
          <t>Incolor</t>
        </is>
      </c>
      <c r="G3038" s="8" t="n">
        <v>1.5</v>
      </c>
      <c r="H3038" s="13" t="inlineStr">
        <is>
          <t>Secret Lair Play (SLP)</t>
        </is>
      </c>
      <c r="I3038" s="13" t="inlineStr">
        <is>
          <t>Não</t>
        </is>
      </c>
      <c r="J3038" s="13" t="n">
        <v>2024</v>
      </c>
      <c r="L3038" s="13" t="n">
        <v>4</v>
      </c>
      <c r="M3038" s="8">
        <f>L3038*G3038</f>
        <v/>
      </c>
      <c r="P3038" s="9" t="n"/>
    </row>
    <row r="3039">
      <c r="A3039" s="13" t="inlineStr">
        <is>
          <t>Tamiyo's Logbook / Livro de Registros de Tamiyo</t>
        </is>
      </c>
      <c r="B3039" s="13" t="inlineStr">
        <is>
          <t>Artifact — Book / Artefato</t>
        </is>
      </c>
      <c r="C3039" s="13" t="inlineStr">
        <is>
          <t>Uncommon / Incomum</t>
        </is>
      </c>
      <c r="D3039" s="13" t="inlineStr">
        <is>
          <t>{5}{U}, {T}: Draw a card. This ability costs {1} less to activate for each other artifact you control. / {5}{U}, {T}: Compre um card. Esta habilidade custa {1} a menos para ser ativada para cada outro artefato que você controla.</t>
        </is>
      </c>
      <c r="E3039" s="13" t="inlineStr">
        <is>
          <t>{2}{U}</t>
        </is>
      </c>
      <c r="F3039" s="13" t="inlineStr">
        <is>
          <t>Azul</t>
        </is>
      </c>
      <c r="G3039" s="8" t="n">
        <v>0.04</v>
      </c>
      <c r="H3039" s="13" t="inlineStr">
        <is>
          <t>Phyrexia: All Will Be One (ONE)</t>
        </is>
      </c>
      <c r="I3039" s="13" t="inlineStr">
        <is>
          <t>Não</t>
        </is>
      </c>
      <c r="J3039" s="13" t="n">
        <v>2023</v>
      </c>
      <c r="L3039" s="13" t="n">
        <v>1</v>
      </c>
      <c r="M3039" s="8">
        <f>L3039*G3039</f>
        <v/>
      </c>
      <c r="P3039" s="9" t="n"/>
    </row>
    <row r="3040">
      <c r="A3040" s="13" t="inlineStr">
        <is>
          <t>Tannuk, Memorial Ensign</t>
        </is>
      </c>
      <c r="B3040" s="13" t="inlineStr">
        <is>
          <t>Legendary Creature — Kavu Pilot</t>
        </is>
      </c>
      <c r="C3040" s="13" t="inlineStr">
        <is>
          <t>Uncommon / Incomum</t>
        </is>
      </c>
      <c r="D3040" s="13" t="inlineStr">
        <is>
          <t>Landfall — Whenever a land you control enters, Tannuk deals 1 damage to each opponent. If this is the second time this ability has resolved this turn, draw a card.</t>
        </is>
      </c>
      <c r="E3040" s="13" t="inlineStr">
        <is>
          <t>{1}{R}{G}</t>
        </is>
      </c>
      <c r="F3040" s="13" t="inlineStr">
        <is>
          <t>Verde, Vermelho</t>
        </is>
      </c>
      <c r="G3040" s="8" t="n">
        <v>0.48</v>
      </c>
      <c r="H3040" s="13" t="inlineStr">
        <is>
          <t>Edge of Eternities (EOE)</t>
        </is>
      </c>
      <c r="I3040" s="13" t="inlineStr">
        <is>
          <t>Não</t>
        </is>
      </c>
      <c r="J3040" s="13" t="n">
        <v>2025</v>
      </c>
      <c r="K3040" s="10" t="n">
        <v>46114</v>
      </c>
      <c r="L3040" s="13" t="n">
        <v>1</v>
      </c>
      <c r="M3040" s="8">
        <f>L3040*G3040</f>
        <v/>
      </c>
      <c r="P3040" s="9" t="n"/>
    </row>
    <row r="3041">
      <c r="A3041" s="13" t="inlineStr">
        <is>
          <t>Task Force / Força Tarefa</t>
        </is>
      </c>
      <c r="B3041" s="13" t="inlineStr">
        <is>
          <t>Creature — Human Rebel</t>
        </is>
      </c>
      <c r="C3041" s="13" t="inlineStr">
        <is>
          <t>Common / Comum</t>
        </is>
      </c>
      <c r="D3041" s="13" t="inlineStr">
        <is>
          <t>Whenever this creature becomes the target of a spell or ability, it gets +0/+3 until end of turn.</t>
        </is>
      </c>
      <c r="E3041" s="13" t="inlineStr">
        <is>
          <t>{2}{W}</t>
        </is>
      </c>
      <c r="F3041" s="13" t="inlineStr">
        <is>
          <t>Branco</t>
        </is>
      </c>
      <c r="G3041" s="8" t="n">
        <v>0.23</v>
      </c>
      <c r="H3041" s="13" t="inlineStr">
        <is>
          <t>Jumpstart 2022 (J22)</t>
        </is>
      </c>
      <c r="I3041" s="13" t="inlineStr">
        <is>
          <t>Não</t>
        </is>
      </c>
      <c r="J3041" s="13" t="n">
        <v>2022</v>
      </c>
      <c r="K3041" s="10" t="n">
        <v>46082</v>
      </c>
      <c r="L3041" s="13" t="n">
        <v>1</v>
      </c>
      <c r="M3041" s="8">
        <f>L3041*G3041</f>
        <v/>
      </c>
      <c r="P3041" s="9" t="n"/>
    </row>
    <row r="3042">
      <c r="A3042" s="13" t="inlineStr">
        <is>
          <t>Tawnos's Wand / Cetro de Tawnos</t>
        </is>
      </c>
      <c r="B3042" s="13" t="inlineStr">
        <is>
          <t>Artifact</t>
        </is>
      </c>
      <c r="C3042" s="13" t="inlineStr">
        <is>
          <t>Uncommon / Incomum</t>
        </is>
      </c>
      <c r="D3042" s="13" t="inlineStr">
        <is>
          <t>{2}, {T}: Target creature with power 2 or less can't be blocked this turn.</t>
        </is>
      </c>
      <c r="E3042" s="13" t="inlineStr">
        <is>
          <t>{4}</t>
        </is>
      </c>
      <c r="F3042" s="13" t="inlineStr">
        <is>
          <t>Incolor</t>
        </is>
      </c>
      <c r="G3042" s="8" t="n">
        <v>0.15</v>
      </c>
      <c r="H3042" s="13" t="inlineStr">
        <is>
          <t>Fourth Edition</t>
        </is>
      </c>
      <c r="I3042" s="13" t="inlineStr">
        <is>
          <t>Não</t>
        </is>
      </c>
      <c r="J3042" s="13" t="n">
        <v>1995</v>
      </c>
      <c r="L3042" s="13" t="n">
        <v>1</v>
      </c>
      <c r="M3042" s="8">
        <f>L3042*G3042</f>
        <v/>
      </c>
      <c r="P3042" s="9" t="n"/>
    </row>
    <row r="3043">
      <c r="A3043" s="13" t="inlineStr">
        <is>
          <t>Tawnos's Wand / Cetro de Tawnos</t>
        </is>
      </c>
      <c r="B3043" s="13" t="inlineStr">
        <is>
          <t>Artifact</t>
        </is>
      </c>
      <c r="C3043" s="13" t="inlineStr">
        <is>
          <t>Uncommon / Incomum</t>
        </is>
      </c>
      <c r="D3043" s="13" t="inlineStr">
        <is>
          <t>{2}, {T}: Target creature with power 2 or less can't be blocked this turn.</t>
        </is>
      </c>
      <c r="E3043" s="13" t="inlineStr">
        <is>
          <t>{4}</t>
        </is>
      </c>
      <c r="F3043" s="13" t="inlineStr">
        <is>
          <t>Incolor</t>
        </is>
      </c>
      <c r="G3043" s="8" t="n">
        <v>0.35</v>
      </c>
      <c r="H3043" s="13" t="inlineStr">
        <is>
          <t>Fourth Edition (BB)</t>
        </is>
      </c>
      <c r="I3043" s="13" t="inlineStr">
        <is>
          <t>Não</t>
        </is>
      </c>
      <c r="J3043" s="13" t="n">
        <v>1995</v>
      </c>
      <c r="L3043" s="13" t="n">
        <v>1</v>
      </c>
      <c r="M3043" s="8">
        <f>L3043*G3043</f>
        <v/>
      </c>
      <c r="P3043" s="9" t="n"/>
    </row>
    <row r="3044">
      <c r="A3044" s="13" t="inlineStr">
        <is>
          <t>Tawnos's Weaponry / Arsenal de Tawnos</t>
        </is>
      </c>
      <c r="B3044" s="13" t="inlineStr">
        <is>
          <t>Artifact</t>
        </is>
      </c>
      <c r="C3044" s="13" t="inlineStr">
        <is>
          <t>Uncommon / Incomum</t>
        </is>
      </c>
      <c r="D3044" s="13" t="inlineStr">
        <is>
          <t>You may choose not to untap this artifact during your untap step. {2}, {T}: Target creature gets +1/+1 for as long as this artifact remains tapped.</t>
        </is>
      </c>
      <c r="E3044" s="13" t="inlineStr">
        <is>
          <t>{2}</t>
        </is>
      </c>
      <c r="F3044" s="13" t="inlineStr">
        <is>
          <t>Incolor</t>
        </is>
      </c>
      <c r="G3044" s="8" t="n">
        <v>0.1</v>
      </c>
      <c r="H3044" s="13" t="inlineStr">
        <is>
          <t>Fourth Edition</t>
        </is>
      </c>
      <c r="I3044" s="13" t="inlineStr">
        <is>
          <t>Não</t>
        </is>
      </c>
      <c r="J3044" s="13" t="n">
        <v>1995</v>
      </c>
      <c r="L3044" s="13" t="n">
        <v>2</v>
      </c>
      <c r="M3044" s="8">
        <f>L3044*G3044</f>
        <v/>
      </c>
      <c r="P3044" s="9" t="n"/>
    </row>
    <row r="3045">
      <c r="A3045" s="13" t="inlineStr">
        <is>
          <t>Tazeem Raptor / Raptor de Tazeem</t>
        </is>
      </c>
      <c r="B3045" s="13" t="inlineStr">
        <is>
          <t>Creature — Bird / Criatura — Ave</t>
        </is>
      </c>
      <c r="C3045" s="13" t="inlineStr">
        <is>
          <t>Common / Comum</t>
        </is>
      </c>
      <c r="D3045" s="13" t="inlineStr">
        <is>
          <t>Flying When this creature enters, you may return a land you control to its owner's hand. / Voar Quando Raptor de Tazeem entra no campo de batalha, você pode devolver um terreno que você controla para a mão de seu dono.</t>
        </is>
      </c>
      <c r="E3045" s="13" t="inlineStr">
        <is>
          <t>{2}{W}</t>
        </is>
      </c>
      <c r="F3045" s="13" t="inlineStr">
        <is>
          <t>Branco</t>
        </is>
      </c>
      <c r="G3045" s="8" t="n">
        <v>0.05</v>
      </c>
      <c r="H3045" s="13" t="inlineStr">
        <is>
          <t>Zendikar Rising (ZNR)</t>
        </is>
      </c>
      <c r="I3045" s="13" t="inlineStr">
        <is>
          <t>Não</t>
        </is>
      </c>
      <c r="J3045" s="13" t="n">
        <v>2020</v>
      </c>
      <c r="K3045" s="10" t="n">
        <v>46055</v>
      </c>
      <c r="L3045" s="13" t="n">
        <v>1</v>
      </c>
      <c r="M3045" s="8">
        <f>L3045*G3045</f>
        <v/>
      </c>
      <c r="P3045" s="9" t="n"/>
    </row>
    <row r="3046">
      <c r="A3046" s="13" t="inlineStr">
        <is>
          <t>TCRI Building</t>
        </is>
      </c>
      <c r="B3046" s="13" t="inlineStr">
        <is>
          <t>Land</t>
        </is>
      </c>
      <c r="C3046" s="13" t="inlineStr">
        <is>
          <t>Common / Comum</t>
        </is>
      </c>
      <c r="D3046" s="13" t="inlineStr">
        <is>
          <t>This land enters tapped. When this land enters, you gain 1 life. {T}: Add {U} or {R}.</t>
        </is>
      </c>
      <c r="F3046" s="13" t="inlineStr">
        <is>
          <t>Vermelho, Azul</t>
        </is>
      </c>
      <c r="G3046" s="8" t="n">
        <v>0.13</v>
      </c>
      <c r="H3046" s="13" t="inlineStr">
        <is>
          <t>Teenage Mutant Ninja Turtles (TMT)</t>
        </is>
      </c>
      <c r="I3046" s="13" t="inlineStr">
        <is>
          <t>Não</t>
        </is>
      </c>
      <c r="J3046" s="13" t="n">
        <v>2026</v>
      </c>
      <c r="L3046" s="13" t="n">
        <v>1</v>
      </c>
      <c r="M3046" s="8">
        <f>L3046*G3046</f>
        <v/>
      </c>
      <c r="P3046" s="9" t="n"/>
    </row>
    <row r="3047">
      <c r="A3047" s="13" t="inlineStr">
        <is>
          <t>Tectonic Hazard / Risco Tectônico</t>
        </is>
      </c>
      <c r="B3047" s="13" t="inlineStr">
        <is>
          <t>Sorcery / Feitiço</t>
        </is>
      </c>
      <c r="C3047" s="13" t="inlineStr">
        <is>
          <t>Common / Comum</t>
        </is>
      </c>
      <c r="D3047" s="13" t="inlineStr">
        <is>
          <t>Tectonic Hazard deals 1 damage to each opponent and each creature they control. / Risco Tectônico causa 1 ponto de dano a cada oponente e a cada criatura que ele controla.</t>
        </is>
      </c>
      <c r="E3047" s="13" t="inlineStr">
        <is>
          <t>{R}</t>
        </is>
      </c>
      <c r="F3047" s="13" t="inlineStr">
        <is>
          <t>Vermelho</t>
        </is>
      </c>
      <c r="G3047" s="8" t="n">
        <v>0.5</v>
      </c>
      <c r="H3047" s="13" t="inlineStr">
        <is>
          <t>The Lost Caverns of Ixalan (LCI)</t>
        </is>
      </c>
      <c r="I3047" s="13" t="inlineStr">
        <is>
          <t>Não</t>
        </is>
      </c>
      <c r="J3047" s="13" t="n">
        <v>2023</v>
      </c>
      <c r="L3047" s="13" t="n">
        <v>1</v>
      </c>
      <c r="M3047" s="8">
        <f>L3047*G3047</f>
        <v/>
      </c>
      <c r="P3047" s="9" t="n"/>
    </row>
    <row r="3048">
      <c r="A3048" s="13" t="inlineStr">
        <is>
          <t>Teeterpeak Ambusher / Emboscador dos Picos Vacilantes</t>
        </is>
      </c>
      <c r="B3048" s="13" t="inlineStr">
        <is>
          <t>Creature — Goblin Warrior / Criatura — Goblin Guerreiro</t>
        </is>
      </c>
      <c r="C3048" s="13" t="inlineStr">
        <is>
          <t>Common / Comum</t>
        </is>
      </c>
      <c r="D3048" s="13" t="inlineStr">
        <is>
          <t>{2}{R}: This creature gets +2/+0 until end of turn. / {2}{R}: Emboscador dos Picos Vacilantes recebe +2/+0 até o final do turno.</t>
        </is>
      </c>
      <c r="E3048" s="13" t="inlineStr">
        <is>
          <t>{1}{R}</t>
        </is>
      </c>
      <c r="F3048" s="13" t="inlineStr">
        <is>
          <t>Vermelho</t>
        </is>
      </c>
      <c r="G3048" s="8" t="n">
        <v>0.16</v>
      </c>
      <c r="H3048" s="13" t="inlineStr">
        <is>
          <t>Zendikar Rising (ZNR)</t>
        </is>
      </c>
      <c r="I3048" s="13" t="inlineStr">
        <is>
          <t>Não</t>
        </is>
      </c>
      <c r="J3048" s="13" t="n">
        <v>2020</v>
      </c>
      <c r="K3048" s="10" t="n">
        <v>46082</v>
      </c>
      <c r="L3048" s="13" t="n">
        <v>2</v>
      </c>
      <c r="M3048" s="8">
        <f>L3048*G3048</f>
        <v/>
      </c>
      <c r="P3048" s="9" t="n"/>
    </row>
    <row r="3049">
      <c r="A3049" s="13" t="inlineStr">
        <is>
          <t>Telethopter / Telethóptero</t>
        </is>
      </c>
      <c r="B3049" s="13" t="inlineStr">
        <is>
          <t>Artifact Creature</t>
        </is>
      </c>
      <c r="C3049" s="13" t="inlineStr">
        <is>
          <t>Incomum</t>
        </is>
      </c>
      <c r="D3049" s="13" t="inlineStr">
        <is>
          <t>Tap a creature you control: Telethopter gains flying until end of turn.</t>
        </is>
      </c>
      <c r="E3049" s="13" t="inlineStr">
        <is>
          <t>{4}</t>
        </is>
      </c>
      <c r="F3049" s="13" t="inlineStr">
        <is>
          <t>Incolor</t>
        </is>
      </c>
      <c r="G3049" s="8" t="n">
        <v>0.14</v>
      </c>
      <c r="H3049" s="13" t="inlineStr">
        <is>
          <t>Tempest (TMP)</t>
        </is>
      </c>
      <c r="I3049" s="13" t="inlineStr">
        <is>
          <t>Não</t>
        </is>
      </c>
      <c r="J3049" s="13" t="n">
        <v>1997</v>
      </c>
      <c r="K3049" s="10" t="n">
        <v>46025</v>
      </c>
      <c r="L3049" s="13" t="n">
        <v>1</v>
      </c>
      <c r="M3049" s="8">
        <f>L3049*G3049</f>
        <v/>
      </c>
      <c r="P3049" s="9" t="n"/>
    </row>
    <row r="3050">
      <c r="A3050" s="13" t="inlineStr">
        <is>
          <t>Telim'Tor / TelimíTor</t>
        </is>
      </c>
      <c r="B3050" s="13" t="inlineStr">
        <is>
          <t>Legendary Creature — Human Knight</t>
        </is>
      </c>
      <c r="C3050" s="13" t="inlineStr">
        <is>
          <t>Rare / Rara</t>
        </is>
      </c>
      <c r="D3050" s="13" t="inlineStr">
        <is>
          <t>Flanking (Whenever a creature without flanking blocks this creature, the blocking creature gets -1/-1 until end of turn.) Whenever Telim'Tor attacks, all attacking creatures with flanking get +1/+1 until end of turn.</t>
        </is>
      </c>
      <c r="E3050" s="13" t="inlineStr">
        <is>
          <t>{4}{R}</t>
        </is>
      </c>
      <c r="F3050" s="13" t="inlineStr">
        <is>
          <t>Vermelho</t>
        </is>
      </c>
      <c r="G3050" s="8" t="n">
        <v>2.5</v>
      </c>
      <c r="H3050" s="13" t="inlineStr">
        <is>
          <t>Mirage (MIR)</t>
        </is>
      </c>
      <c r="I3050" s="13" t="inlineStr">
        <is>
          <t>Não</t>
        </is>
      </c>
      <c r="J3050" s="13" t="n">
        <v>1996</v>
      </c>
      <c r="K3050" s="10" t="n">
        <v>46055</v>
      </c>
      <c r="L3050" s="13" t="n">
        <v>1</v>
      </c>
      <c r="M3050" s="8">
        <f>L3050*G3050</f>
        <v/>
      </c>
      <c r="P3050" s="9" t="n"/>
    </row>
    <row r="3051">
      <c r="A3051" s="13" t="inlineStr">
        <is>
          <t>Tellah, Great Sage / Tellah, Grande Sábio</t>
        </is>
      </c>
      <c r="B3051" s="13" t="inlineStr">
        <is>
          <t>Criatura Lendária — Humano Mago</t>
        </is>
      </c>
      <c r="C3051" s="13" t="inlineStr">
        <is>
          <t>Rara</t>
        </is>
      </c>
      <c r="D3051" s="13"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3051" s="13" t="inlineStr">
        <is>
          <t>3UR</t>
        </is>
      </c>
      <c r="F3051" s="13" t="inlineStr">
        <is>
          <t>Azul e Vermelho</t>
        </is>
      </c>
      <c r="G3051" s="8" t="n">
        <v>0.53</v>
      </c>
      <c r="H3051" s="13" t="inlineStr">
        <is>
          <t>Final Fantasy</t>
        </is>
      </c>
      <c r="I3051" s="13" t="inlineStr">
        <is>
          <t>Não</t>
        </is>
      </c>
      <c r="J3051" s="13" t="n">
        <v>2025</v>
      </c>
      <c r="K3051" s="10" t="n">
        <v>46084</v>
      </c>
      <c r="L3051" s="13" t="n">
        <v>1</v>
      </c>
      <c r="M3051" s="8">
        <f>L3051*G3051</f>
        <v/>
      </c>
      <c r="P3051" s="9" t="n"/>
    </row>
    <row r="3052">
      <c r="A3052" s="13" t="inlineStr">
        <is>
          <t>Temp of the Damned / Temporário dos Malditos</t>
        </is>
      </c>
      <c r="B3052" s="13" t="inlineStr">
        <is>
          <t>Creature — Zombie / Criatura — Zumbi</t>
        </is>
      </c>
      <c r="C3052" s="13" t="inlineStr">
        <is>
          <t>Rare / Rara</t>
        </is>
      </c>
      <c r="D3052" s="13"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3052" s="13" t="inlineStr">
        <is>
          <t>{2}{B}</t>
        </is>
      </c>
      <c r="F3052" s="13" t="inlineStr">
        <is>
          <t>Preto / Preto</t>
        </is>
      </c>
      <c r="G3052" s="8" t="n">
        <v>0.19</v>
      </c>
      <c r="H3052" s="13" t="inlineStr">
        <is>
          <t>Unglued (UGL)</t>
        </is>
      </c>
      <c r="I3052" s="13" t="inlineStr">
        <is>
          <t>No</t>
        </is>
      </c>
      <c r="J3052" s="13" t="n">
        <v>1998</v>
      </c>
      <c r="K3052" s="10" t="n">
        <v>46084</v>
      </c>
      <c r="L3052" s="13" t="n">
        <v>1</v>
      </c>
      <c r="M3052" s="8">
        <f>L3052*G3052</f>
        <v/>
      </c>
      <c r="P3052" s="9" t="n"/>
    </row>
    <row r="3053">
      <c r="A3053" s="13" t="inlineStr">
        <is>
          <t>Tempest Hart // Scan the Clouds / Cervo da Tempestade // Varredura das Nuvens</t>
        </is>
      </c>
      <c r="B3053" s="13" t="inlineStr">
        <is>
          <t>Creature — Elemental Elk // Instant — Adventure / Criatura — Elemental Alce</t>
        </is>
      </c>
      <c r="C3053" s="13" t="inlineStr">
        <is>
          <t>Uncommon / Incomum</t>
        </is>
      </c>
      <c r="D3053" s="13"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3053" s="13" t="inlineStr">
        <is>
          <t>{3}{G} // {1}{U}</t>
        </is>
      </c>
      <c r="F3053" s="13" t="inlineStr">
        <is>
          <t>Verde</t>
        </is>
      </c>
      <c r="G3053" s="8" t="n">
        <v>0.44</v>
      </c>
      <c r="H3053" s="13" t="inlineStr">
        <is>
          <t>Wilds of Eldraine (WOE)</t>
        </is>
      </c>
      <c r="I3053" s="13" t="inlineStr">
        <is>
          <t>Sim</t>
        </is>
      </c>
      <c r="J3053" s="13" t="n">
        <v>2023</v>
      </c>
      <c r="K3053" s="10" t="n">
        <v>46115</v>
      </c>
      <c r="L3053" s="13" t="n">
        <v>1</v>
      </c>
      <c r="M3053" s="8">
        <f>L3053*G3053</f>
        <v/>
      </c>
      <c r="P3053" s="9" t="n"/>
    </row>
    <row r="3054">
      <c r="A3054" s="13" t="inlineStr">
        <is>
          <t>Temple Thief / Ladrão de Templos</t>
        </is>
      </c>
      <c r="B3054" s="13" t="inlineStr">
        <is>
          <t>Creature — Human Rogue / Criatura — Humano Ladino</t>
        </is>
      </c>
      <c r="C3054" s="13" t="inlineStr">
        <is>
          <t>Common / Comum</t>
        </is>
      </c>
      <c r="D3054" s="13" t="inlineStr">
        <is>
          <t>This creature can't be blocked by enchanted creatures or enchantment creatures. / Ladrão de Templos não pode ser bloqueado por criaturas encantadas nem criaturas encantamento.</t>
        </is>
      </c>
      <c r="E3054" s="13" t="inlineStr">
        <is>
          <t>{1}{B}</t>
        </is>
      </c>
      <c r="F3054" s="13" t="inlineStr">
        <is>
          <t>Preto</t>
        </is>
      </c>
      <c r="G3054" s="8" t="n">
        <v>0.03</v>
      </c>
      <c r="H3054" s="13" t="inlineStr">
        <is>
          <t>Theros Beyond Death (THB)</t>
        </is>
      </c>
      <c r="I3054" s="13" t="inlineStr">
        <is>
          <t>Não</t>
        </is>
      </c>
      <c r="J3054" s="13" t="n">
        <v>2020</v>
      </c>
      <c r="K3054" s="10" t="n">
        <v>46055</v>
      </c>
      <c r="L3054" s="13" t="n">
        <v>1</v>
      </c>
      <c r="M3054" s="8">
        <f>L3054*G3054</f>
        <v/>
      </c>
      <c r="P3054" s="9" t="n"/>
    </row>
    <row r="3055">
      <c r="A3055" s="13" t="inlineStr">
        <is>
          <t>Temporal Cleansing / Limpeza Temporal</t>
        </is>
      </c>
      <c r="B3055" s="13" t="inlineStr">
        <is>
          <t>Feitiço / Sorcery</t>
        </is>
      </c>
      <c r="C3055" s="13" t="inlineStr">
        <is>
          <t>Comum / Common</t>
        </is>
      </c>
      <c r="D3055" s="13"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3055" s="13" t="inlineStr">
        <is>
          <t>{3}{U}</t>
        </is>
      </c>
      <c r="F3055" s="13" t="inlineStr">
        <is>
          <t>Azul / Blue</t>
        </is>
      </c>
      <c r="G3055" s="8" t="n">
        <v>0.05</v>
      </c>
      <c r="H3055" s="13" t="inlineStr">
        <is>
          <t>Lorwyn Eclipsed (ECL)</t>
        </is>
      </c>
      <c r="I3055" s="13" t="inlineStr">
        <is>
          <t>Não</t>
        </is>
      </c>
      <c r="J3055" s="13" t="n">
        <v>2026</v>
      </c>
      <c r="L3055" s="13" t="n">
        <v>2</v>
      </c>
      <c r="M3055" s="8">
        <f>L3055*G3055</f>
        <v/>
      </c>
      <c r="P3055" s="9" t="n"/>
    </row>
    <row r="3056">
      <c r="A3056" s="13" t="inlineStr">
        <is>
          <t>Temporal Fissure / Fissura Temporal</t>
        </is>
      </c>
      <c r="B3056" s="13" t="inlineStr">
        <is>
          <t>Sorcery / Feitiço</t>
        </is>
      </c>
      <c r="C3056" s="13" t="inlineStr">
        <is>
          <t>Common / Comum</t>
        </is>
      </c>
      <c r="D3056" s="13"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3056" s="13" t="inlineStr">
        <is>
          <t>{4}{U}</t>
        </is>
      </c>
      <c r="F3056" s="13" t="inlineStr">
        <is>
          <t>Azul</t>
        </is>
      </c>
      <c r="G3056" s="8" t="n">
        <v>0.23</v>
      </c>
      <c r="H3056" s="13" t="inlineStr">
        <is>
          <t>Scourge (SCG)</t>
        </is>
      </c>
      <c r="I3056" s="13" t="inlineStr">
        <is>
          <t>Não</t>
        </is>
      </c>
      <c r="J3056" s="13" t="n">
        <v>2003</v>
      </c>
      <c r="L3056" s="13" t="n">
        <v>1</v>
      </c>
      <c r="M3056" s="8">
        <f>L3056*G3056</f>
        <v/>
      </c>
      <c r="P3056" s="9" t="n"/>
    </row>
    <row r="3057">
      <c r="A3057" s="13" t="inlineStr">
        <is>
          <t>Temur Charm / Amuleto Temur</t>
        </is>
      </c>
      <c r="B3057" s="13" t="inlineStr">
        <is>
          <t>Instant / Mágica Instantânea</t>
        </is>
      </c>
      <c r="C3057" s="13" t="inlineStr">
        <is>
          <t>Uncommon / Incomum</t>
        </is>
      </c>
      <c r="D3057" s="13"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3057" s="13" t="inlineStr">
        <is>
          <t>{G}{U}{R}</t>
        </is>
      </c>
      <c r="F3057" s="13" t="inlineStr">
        <is>
          <t>Verde, Vermelho, Azul</t>
        </is>
      </c>
      <c r="G3057" s="8" t="n">
        <v>0.09</v>
      </c>
      <c r="H3057" s="13" t="inlineStr">
        <is>
          <t>Khans of Tarkir (KTK)</t>
        </is>
      </c>
      <c r="I3057" s="13" t="inlineStr">
        <is>
          <t>Não</t>
        </is>
      </c>
      <c r="J3057" s="13" t="n">
        <v>2014</v>
      </c>
      <c r="L3057" s="13" t="n">
        <v>1</v>
      </c>
      <c r="M3057" s="8">
        <f>L3057*G3057</f>
        <v/>
      </c>
      <c r="N3057" s="13" t="inlineStr">
        <is>
          <t>Bulk Shopee</t>
        </is>
      </c>
      <c r="P3057" s="9" t="n"/>
    </row>
    <row r="3058">
      <c r="A3058" s="13" t="inlineStr">
        <is>
          <t>Tend the Sprigs</t>
        </is>
      </c>
      <c r="B3058" s="13" t="inlineStr">
        <is>
          <t>Sorcery</t>
        </is>
      </c>
      <c r="C3058" s="13" t="inlineStr">
        <is>
          <t>Common</t>
        </is>
      </c>
      <c r="D3058" s="13" t="inlineStr">
        <is>
          <t>Search your library for a basic land card, put it onto the battlefield tapped, then shuffle. Then if you control seven or more lands and/or Treefolk, create a 3/4 green Treefolk creature token with reach. (It can block creatures with flying.)</t>
        </is>
      </c>
      <c r="E3058" s="13" t="inlineStr">
        <is>
          <t>{2}{G}</t>
        </is>
      </c>
      <c r="F3058" s="13" t="inlineStr">
        <is>
          <t>Verde</t>
        </is>
      </c>
      <c r="G3058" s="8" t="n">
        <v>0.1</v>
      </c>
      <c r="H3058" s="13" t="inlineStr">
        <is>
          <t>Lorwyn Eclipsed (ECL)</t>
        </is>
      </c>
      <c r="I3058" s="13" t="inlineStr">
        <is>
          <t>Não</t>
        </is>
      </c>
      <c r="J3058" s="13" t="n">
        <v>2026</v>
      </c>
      <c r="L3058" s="13" t="n">
        <v>2</v>
      </c>
      <c r="M3058" s="8">
        <f>L3058*G3058</f>
        <v/>
      </c>
      <c r="P3058" s="9" t="n"/>
    </row>
    <row r="3059">
      <c r="A3059" s="13" t="inlineStr">
        <is>
          <t>Tender Wildguide</t>
        </is>
      </c>
      <c r="B3059" s="13" t="inlineStr">
        <is>
          <t>Creature — Possum Druid</t>
        </is>
      </c>
      <c r="C3059" s="13" t="inlineStr">
        <is>
          <t>Rare / Rara</t>
        </is>
      </c>
      <c r="D3059" s="13" t="inlineStr">
        <is>
          <t>Offspring {2} (You may pay an additional {2} as you cast this spell. If you do, when this creature enters, create a 1/1 token copy of it.) {T}: Add one mana of any color. {T}: Put a +1/+1 counter on this creature.</t>
        </is>
      </c>
      <c r="E3059" s="13" t="inlineStr">
        <is>
          <t>{1}{G}</t>
        </is>
      </c>
      <c r="F3059" s="13" t="inlineStr">
        <is>
          <t>Verde</t>
        </is>
      </c>
      <c r="G3059" s="8" t="n">
        <v>1</v>
      </c>
      <c r="H3059" s="13" t="inlineStr">
        <is>
          <t>Bloomburrow (BLB)</t>
        </is>
      </c>
      <c r="I3059" s="13" t="inlineStr">
        <is>
          <t>Não</t>
        </is>
      </c>
      <c r="J3059" s="13" t="n">
        <v>2024</v>
      </c>
      <c r="K3059" s="10" t="n">
        <v>46055</v>
      </c>
      <c r="L3059" s="13" t="n">
        <v>1</v>
      </c>
      <c r="M3059" s="8">
        <f>L3059*G3059</f>
        <v/>
      </c>
      <c r="N3059" s="13" t="inlineStr">
        <is>
          <t>Pasta</t>
        </is>
      </c>
      <c r="P3059" s="9" t="n"/>
    </row>
    <row r="3060">
      <c r="A3060" s="13" t="inlineStr">
        <is>
          <t>Tenderize</t>
        </is>
      </c>
      <c r="B3060" s="13" t="inlineStr">
        <is>
          <t>Instant</t>
        </is>
      </c>
      <c r="C3060" s="13" t="inlineStr">
        <is>
          <t>Common / Comum</t>
        </is>
      </c>
      <c r="D3060" s="13" t="inlineStr">
        <is>
          <t>Target creature you control deals damage equal to its power to target creature an opponent controls.</t>
        </is>
      </c>
      <c r="E3060" s="13" t="inlineStr">
        <is>
          <t>{1}{G}</t>
        </is>
      </c>
      <c r="F3060" s="13" t="inlineStr">
        <is>
          <t>Verde</t>
        </is>
      </c>
      <c r="G3060" s="8" t="n">
        <v>0.1</v>
      </c>
      <c r="H3060" s="13" t="inlineStr">
        <is>
          <t>Teenage Mutant Ninja Turtles (TMT)</t>
        </is>
      </c>
      <c r="I3060" s="13" t="inlineStr">
        <is>
          <t>Não</t>
        </is>
      </c>
      <c r="J3060" s="13" t="n">
        <v>2026</v>
      </c>
      <c r="L3060" s="13" t="n">
        <v>4</v>
      </c>
      <c r="M3060" s="8">
        <f>L3060*G3060</f>
        <v/>
      </c>
      <c r="P3060" s="9" t="n"/>
    </row>
    <row r="3061">
      <c r="A3061" s="13" t="inlineStr">
        <is>
          <t>Terminal de Rede / Network Terminal</t>
        </is>
      </c>
      <c r="B3061" s="13" t="inlineStr">
        <is>
          <t>Artefato</t>
        </is>
      </c>
      <c r="C3061" s="13" t="inlineStr">
        <is>
          <t>Comum</t>
        </is>
      </c>
      <c r="D3061" s="13" t="inlineStr">
        <is>
          <t>{T}: Adicione um mana de qualquer cor. {1}, {T}, vire outro artefato desvirado que você controla: Compre um card e depois descarte um card.</t>
        </is>
      </c>
      <c r="E3061" s="13" t="inlineStr">
        <is>
          <t>{3}</t>
        </is>
      </c>
      <c r="F3061" s="13" t="inlineStr">
        <is>
          <t>Incolor</t>
        </is>
      </c>
      <c r="G3061" s="8" t="n">
        <v>0.4</v>
      </c>
      <c r="H3061" s="13" t="inlineStr">
        <is>
          <t>Kamigawa: Neon Dynasty (NEO)</t>
        </is>
      </c>
      <c r="I3061" s="13" t="inlineStr">
        <is>
          <t>Sim</t>
        </is>
      </c>
      <c r="J3061" s="13" t="n">
        <v>2022</v>
      </c>
      <c r="L3061" s="13" t="n">
        <v>2</v>
      </c>
      <c r="M3061" s="8">
        <f>L3061*G3061</f>
        <v/>
      </c>
      <c r="P3061" s="9" t="n"/>
    </row>
    <row r="3062">
      <c r="A3062" s="13" t="inlineStr">
        <is>
          <t>Terramorphic Expanse / Imensidão Terramórfica</t>
        </is>
      </c>
      <c r="B3062" s="13" t="inlineStr">
        <is>
          <t>Terreno</t>
        </is>
      </c>
      <c r="C3062" s="13" t="inlineStr">
        <is>
          <t>Comum</t>
        </is>
      </c>
      <c r="D3062" s="13" t="inlineStr">
        <is>
          <t>{T}, Sacrifique Imensidão Terramórfica: Procure em seu grimório por um card de terreno básico e coloque-o no campo de batalha virado. Depois, embaralhe seu grimório.</t>
        </is>
      </c>
      <c r="E3062" s="13" t="inlineStr">
        <is>
          <t>Não encontrado</t>
        </is>
      </c>
      <c r="F3062" s="13" t="inlineStr">
        <is>
          <t>Incolor</t>
        </is>
      </c>
      <c r="G3062" s="8" t="n">
        <v>0.19</v>
      </c>
      <c r="H3062" s="13" t="inlineStr">
        <is>
          <t>Duel Decks: Speed vs. Cunning</t>
        </is>
      </c>
      <c r="I3062" s="13" t="inlineStr">
        <is>
          <t>Não</t>
        </is>
      </c>
      <c r="J3062" s="13" t="n">
        <v>2014</v>
      </c>
      <c r="L3062" s="13" t="n">
        <v>2</v>
      </c>
      <c r="M3062" s="8">
        <f>L3062*G3062</f>
        <v/>
      </c>
      <c r="P3062" s="9" t="n"/>
    </row>
    <row r="3063">
      <c r="A3063" s="13" t="inlineStr">
        <is>
          <t>Terramorphic Expanse / Vastidão Morfoterrena</t>
        </is>
      </c>
      <c r="B3063" s="13" t="inlineStr">
        <is>
          <t>Land / Terreno</t>
        </is>
      </c>
      <c r="C3063" s="13" t="inlineStr">
        <is>
          <t>Common / Comum</t>
        </is>
      </c>
      <c r="D3063" s="13"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3063" s="13" t="n"/>
      <c r="F3063" s="13" t="inlineStr">
        <is>
          <t>Incolor</t>
        </is>
      </c>
      <c r="G3063" s="8" t="n">
        <v>0.1</v>
      </c>
      <c r="H3063" s="13" t="inlineStr">
        <is>
          <t>Secrets of Strixhaven (SOS)</t>
        </is>
      </c>
      <c r="I3063" s="13" t="inlineStr">
        <is>
          <t>Não</t>
        </is>
      </c>
      <c r="J3063" s="13" t="n">
        <v>2026</v>
      </c>
      <c r="K3063" s="13" t="n"/>
      <c r="L3063" s="13" t="n">
        <v>1</v>
      </c>
      <c r="M3063" s="8">
        <f>L3063*G3063</f>
        <v/>
      </c>
      <c r="P3063" s="9" t="n"/>
    </row>
    <row r="3064">
      <c r="A3064" s="13" t="inlineStr">
        <is>
          <t>Terror</t>
        </is>
      </c>
      <c r="B3064" s="13" t="inlineStr">
        <is>
          <t>Instant / Mágica Instantânea</t>
        </is>
      </c>
      <c r="C3064" s="13" t="inlineStr">
        <is>
          <t>Common / Comum</t>
        </is>
      </c>
      <c r="D3064" s="13" t="inlineStr">
        <is>
          <t>Destroy target nonartifact, nonblack creature. It can't be regenerated. / Destrua a criatura alvo que não seja preta e nem artefato. Ela não pode ser regenerada.</t>
        </is>
      </c>
      <c r="E3064" s="13" t="inlineStr">
        <is>
          <t>{1}{B}</t>
        </is>
      </c>
      <c r="F3064" s="13" t="inlineStr">
        <is>
          <t>Preto</t>
        </is>
      </c>
      <c r="G3064" s="8" t="n">
        <v>0.15</v>
      </c>
      <c r="H3064" s="13" t="inlineStr">
        <is>
          <t>Dominaria Remastered (DMR)</t>
        </is>
      </c>
      <c r="I3064" s="13" t="inlineStr">
        <is>
          <t>Não</t>
        </is>
      </c>
      <c r="J3064" s="13" t="n">
        <v>2023</v>
      </c>
      <c r="L3064" s="13" t="n">
        <v>1</v>
      </c>
      <c r="M3064" s="8">
        <f>L3064*G3064</f>
        <v/>
      </c>
      <c r="P3064" s="9" t="n"/>
    </row>
    <row r="3065">
      <c r="A3065" s="13" t="inlineStr">
        <is>
          <t>Terror</t>
        </is>
      </c>
      <c r="B3065" s="13" t="inlineStr">
        <is>
          <t>Instant / Mágica Instantânea</t>
        </is>
      </c>
      <c r="C3065" s="13" t="inlineStr">
        <is>
          <t>Common / Comum</t>
        </is>
      </c>
      <c r="D3065" s="13" t="inlineStr">
        <is>
          <t>Destroy target nonartifact, nonblack creature. It can't be regenerated. / Destrua a criatura alvo que não seja preta e nem artefato. Ela não pode ser regenerada.</t>
        </is>
      </c>
      <c r="E3065" s="13" t="inlineStr">
        <is>
          <t>{1}{B}</t>
        </is>
      </c>
      <c r="F3065" s="13" t="inlineStr">
        <is>
          <t>Preto</t>
        </is>
      </c>
      <c r="G3065" s="8" t="n">
        <v>0.06</v>
      </c>
      <c r="H3065" s="13" t="inlineStr">
        <is>
          <t>Fourth Edition</t>
        </is>
      </c>
      <c r="I3065" s="13" t="inlineStr">
        <is>
          <t>Não</t>
        </is>
      </c>
      <c r="J3065" s="13" t="n">
        <v>1995</v>
      </c>
      <c r="L3065" s="13" t="n">
        <v>10</v>
      </c>
      <c r="M3065" s="8">
        <f>L3065*G3065</f>
        <v/>
      </c>
      <c r="P3065" s="9" t="n"/>
    </row>
    <row r="3066">
      <c r="A3066" s="13" t="inlineStr">
        <is>
          <t>Terror</t>
        </is>
      </c>
      <c r="B3066" s="13" t="inlineStr">
        <is>
          <t>Instant / Mágica Instantânea</t>
        </is>
      </c>
      <c r="C3066" s="13" t="inlineStr">
        <is>
          <t>Common / Comum</t>
        </is>
      </c>
      <c r="D3066" s="13" t="inlineStr">
        <is>
          <t>Destroy target nonartifact, nonblack creature. It can't be regenerated. / Destrua a criatura alvo que não seja preta e nem artefato. Ela não pode ser regenerada.</t>
        </is>
      </c>
      <c r="E3066" s="13" t="inlineStr">
        <is>
          <t>{1}{B}</t>
        </is>
      </c>
      <c r="F3066" s="13" t="inlineStr">
        <is>
          <t>Preto</t>
        </is>
      </c>
      <c r="G3066" s="8" t="n">
        <v>0.75</v>
      </c>
      <c r="H3066" s="13" t="inlineStr">
        <is>
          <t>Revised Edition</t>
        </is>
      </c>
      <c r="I3066" s="13" t="inlineStr">
        <is>
          <t>Não</t>
        </is>
      </c>
      <c r="J3066" s="13" t="n">
        <v>1994</v>
      </c>
      <c r="L3066" s="13" t="n">
        <v>2</v>
      </c>
      <c r="M3066" s="8">
        <f>L3066*G3066</f>
        <v/>
      </c>
      <c r="P3066" s="9" t="n"/>
    </row>
    <row r="3067">
      <c r="A3067" s="13" t="inlineStr">
        <is>
          <t>Teshar, Ancestor's Apostle / Teshar, Apóstolo da Ancestral</t>
        </is>
      </c>
      <c r="B3067" s="13" t="inlineStr">
        <is>
          <t>Legendary Creature — Bird Cleric / Criatura Lendária — Ave Clérigo</t>
        </is>
      </c>
      <c r="C3067" s="13" t="inlineStr">
        <is>
          <t>Rare / Rara</t>
        </is>
      </c>
      <c r="D3067" s="13"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3067" s="13" t="inlineStr">
        <is>
          <t>{3}{W}</t>
        </is>
      </c>
      <c r="F3067" s="13" t="inlineStr">
        <is>
          <t>Branco</t>
        </is>
      </c>
      <c r="G3067" s="8" t="n">
        <v>0.49</v>
      </c>
      <c r="H3067" s="13" t="inlineStr">
        <is>
          <t>Dominaria (DOM)</t>
        </is>
      </c>
      <c r="I3067" s="13" t="inlineStr">
        <is>
          <t>Não</t>
        </is>
      </c>
      <c r="J3067" s="13" t="n">
        <v>2018</v>
      </c>
      <c r="K3067" s="10" t="n">
        <v>46055</v>
      </c>
      <c r="L3067" s="13" t="n">
        <v>1</v>
      </c>
      <c r="M3067" s="8">
        <f>L3067*G3067</f>
        <v/>
      </c>
      <c r="P3067" s="9" t="n"/>
    </row>
    <row r="3068">
      <c r="A3068" s="13" t="inlineStr">
        <is>
          <t>Testament Bearer / Porta-testamento</t>
        </is>
      </c>
      <c r="B3068" s="13" t="inlineStr">
        <is>
          <t>Creature — Phyrexian Warrior / Criatura — Phyrexiano Guerreiro</t>
        </is>
      </c>
      <c r="C3068" s="13" t="inlineStr">
        <is>
          <t>Common / Comum</t>
        </is>
      </c>
      <c r="D3068" s="13"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3068" s="13" t="inlineStr">
        <is>
          <t>{3}{B}</t>
        </is>
      </c>
      <c r="F3068" s="13" t="inlineStr">
        <is>
          <t>Preto</t>
        </is>
      </c>
      <c r="G3068" s="8" t="n">
        <v>0.04</v>
      </c>
      <c r="H3068" s="13" t="inlineStr">
        <is>
          <t>Phyrexia: All Will Be One (ONE)</t>
        </is>
      </c>
      <c r="I3068" s="13" t="inlineStr">
        <is>
          <t>Não</t>
        </is>
      </c>
      <c r="J3068" s="13" t="n">
        <v>2023</v>
      </c>
      <c r="K3068" s="10" t="n">
        <v>46026</v>
      </c>
      <c r="L3068" s="13" t="n">
        <v>1</v>
      </c>
      <c r="M3068" s="8">
        <f>L3068*G3068</f>
        <v/>
      </c>
      <c r="P3068" s="9" t="n"/>
    </row>
    <row r="3069">
      <c r="A3069" s="13" t="inlineStr">
        <is>
          <t>Thalia's Lancers / Lanceiras de Thalia</t>
        </is>
      </c>
      <c r="B3069" s="13" t="inlineStr">
        <is>
          <t>Creature — Human Knight / Criatura — Humano Cavaleiro</t>
        </is>
      </c>
      <c r="C3069" s="13" t="inlineStr">
        <is>
          <t>Rare / Rara</t>
        </is>
      </c>
      <c r="D3069" s="13"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3069" s="13" t="inlineStr">
        <is>
          <t>{3}{W}{W}</t>
        </is>
      </c>
      <c r="F3069" s="13" t="inlineStr">
        <is>
          <t>Branco</t>
        </is>
      </c>
      <c r="G3069" s="8" t="n">
        <v>0.5</v>
      </c>
      <c r="H3069" s="13" t="inlineStr">
        <is>
          <t>Eldritch Moon (EMN)</t>
        </is>
      </c>
      <c r="I3069" s="13" t="inlineStr">
        <is>
          <t>Não</t>
        </is>
      </c>
      <c r="J3069" s="13" t="n">
        <v>2016</v>
      </c>
      <c r="K3069" s="10" t="n">
        <v>46116</v>
      </c>
      <c r="L3069" s="13" t="n">
        <v>1</v>
      </c>
      <c r="M3069" s="8">
        <f>L3069*G3069</f>
        <v/>
      </c>
      <c r="P3069" s="9" t="n"/>
    </row>
    <row r="3070">
      <c r="A3070" s="13" t="inlineStr">
        <is>
          <t>Thaumaton Torpedo / Torpede de Taumaton</t>
        </is>
      </c>
      <c r="B3070" s="13" t="inlineStr">
        <is>
          <t>Artefato</t>
        </is>
      </c>
      <c r="C3070" s="13" t="inlineStr">
        <is>
          <t>Comum</t>
        </is>
      </c>
      <c r="D3070" s="13" t="inlineStr">
        <is>
          <t>{6}, {T}, Sacrifique este artefato: Destrua a permanente não de terreno alvo. Esta habilidade custa {3} a menos para ser ativada se você atacou com uma Nave Espacial neste turno.</t>
        </is>
      </c>
      <c r="E3070" s="13" t="inlineStr">
        <is>
          <t>{1}</t>
        </is>
      </c>
      <c r="F3070" s="13" t="inlineStr">
        <is>
          <t>Incolor</t>
        </is>
      </c>
      <c r="G3070" s="8" t="n">
        <v>0.05</v>
      </c>
      <c r="H3070" s="13" t="inlineStr">
        <is>
          <t>Edge of Eternity</t>
        </is>
      </c>
      <c r="I3070" s="13" t="inlineStr">
        <is>
          <t>Não</t>
        </is>
      </c>
      <c r="J3070" s="13" t="n">
        <v>2025</v>
      </c>
      <c r="L3070" s="13" t="n">
        <v>1</v>
      </c>
      <c r="M3070" s="8">
        <f>L3070*G3070</f>
        <v/>
      </c>
      <c r="P3070" s="9" t="n"/>
    </row>
    <row r="3071">
      <c r="A3071" s="13" t="inlineStr">
        <is>
          <t>Thaumaton Torpedo / Torpedo Taumaton</t>
        </is>
      </c>
      <c r="B3071" s="13" t="inlineStr">
        <is>
          <t>Artifact / Artefato</t>
        </is>
      </c>
      <c r="C3071" s="13" t="inlineStr">
        <is>
          <t>Common / Comum</t>
        </is>
      </c>
      <c r="D3071" s="13"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3071" s="13" t="inlineStr">
        <is>
          <t>{1}</t>
        </is>
      </c>
      <c r="F3071" s="13" t="inlineStr">
        <is>
          <t>Incolor</t>
        </is>
      </c>
      <c r="G3071" s="8" t="n">
        <v>0.06</v>
      </c>
      <c r="H3071" s="13" t="inlineStr">
        <is>
          <t>Aether Drift (EOE)</t>
        </is>
      </c>
      <c r="I3071" s="13" t="inlineStr">
        <is>
          <t>No</t>
        </is>
      </c>
      <c r="J3071" s="13" t="n">
        <v>2025</v>
      </c>
      <c r="L3071" s="13" t="n">
        <v>1</v>
      </c>
      <c r="M3071" s="8">
        <f>L3071*G3071</f>
        <v/>
      </c>
      <c r="P3071" s="9" t="n"/>
    </row>
    <row r="3072">
      <c r="A3072" s="13" t="inlineStr">
        <is>
          <t>Thawbringer / Trazedor do Degelo</t>
        </is>
      </c>
      <c r="B3072" s="13" t="inlineStr">
        <is>
          <t>Criatura — Inseto Patrulheiro</t>
        </is>
      </c>
      <c r="C3072" s="13" t="inlineStr">
        <is>
          <t>Comum</t>
        </is>
      </c>
      <c r="D3072" s="13" t="inlineStr">
        <is>
          <t>Quando esta criatura entrar ou morrer, vigie 1. (Olhe o card do topo de seu grimório. Você pode colocá-lo em seu cemitério.)</t>
        </is>
      </c>
      <c r="E3072" s="13" t="inlineStr">
        <is>
          <t>2{G}</t>
        </is>
      </c>
      <c r="F3072" s="13" t="inlineStr">
        <is>
          <t>Verde</t>
        </is>
      </c>
      <c r="G3072" s="8" t="n">
        <v>0.05</v>
      </c>
      <c r="H3072" s="13" t="inlineStr">
        <is>
          <t>Edge of Eternity</t>
        </is>
      </c>
      <c r="I3072" s="13" t="inlineStr">
        <is>
          <t>Não</t>
        </is>
      </c>
      <c r="J3072" s="13" t="n">
        <v>2025</v>
      </c>
      <c r="K3072" s="10" t="n">
        <v>46057</v>
      </c>
      <c r="L3072" s="13" t="n">
        <v>1</v>
      </c>
      <c r="M3072" s="8">
        <f>L3072*G3072</f>
        <v/>
      </c>
      <c r="P3072" s="9" t="n"/>
    </row>
    <row r="3073">
      <c r="A3073" s="13" t="inlineStr">
        <is>
          <t>The Binding of the Titans / O Aprisionamento dos Titãs</t>
        </is>
      </c>
      <c r="B3073" s="13" t="inlineStr">
        <is>
          <t>Enchantment — Saga / Encantamento — Saga</t>
        </is>
      </c>
      <c r="C3073" s="13" t="inlineStr">
        <is>
          <t>Uncommon / Incomum</t>
        </is>
      </c>
      <c r="D3073" s="13"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3073" s="13" t="inlineStr">
        <is>
          <t>{1}{G}</t>
        </is>
      </c>
      <c r="F3073" s="13" t="inlineStr">
        <is>
          <t>Verde</t>
        </is>
      </c>
      <c r="G3073" s="8" t="n">
        <v>0.13</v>
      </c>
      <c r="H3073" s="13" t="inlineStr">
        <is>
          <t>Commander Masters (CMM)</t>
        </is>
      </c>
      <c r="I3073" s="13" t="inlineStr">
        <is>
          <t>Não</t>
        </is>
      </c>
      <c r="J3073" s="13" t="n">
        <v>2023</v>
      </c>
      <c r="L3073" s="13" t="n">
        <v>1</v>
      </c>
      <c r="M3073" s="8">
        <f>L3073*G3073</f>
        <v/>
      </c>
      <c r="P3073" s="9" t="n"/>
    </row>
    <row r="3074">
      <c r="A3074" s="13" t="inlineStr">
        <is>
          <t>The Brute / O Bruto</t>
        </is>
      </c>
      <c r="B3074" s="13" t="inlineStr">
        <is>
          <t>Enchantment — Aura / Encantar Criatura</t>
        </is>
      </c>
      <c r="C3074" s="13" t="inlineStr">
        <is>
          <t>Common / Comum</t>
        </is>
      </c>
      <c r="D3074" s="13" t="inlineStr">
        <is>
          <t>Enchant creature Enchanted creature gets +1/+0. {R}{R}{R}: Regenerate enchanted creature. / A criatura-alvo ganha +1/+0. {R}{R}{R}: Regenera a criatura-alvo encantada pelo Bruto.</t>
        </is>
      </c>
      <c r="E3074" s="13" t="inlineStr">
        <is>
          <t>{1}{R}</t>
        </is>
      </c>
      <c r="F3074" s="13" t="inlineStr">
        <is>
          <t>Vermelho</t>
        </is>
      </c>
      <c r="G3074" s="8" t="n">
        <v>0.05</v>
      </c>
      <c r="H3074" s="13" t="inlineStr">
        <is>
          <t>Fourth Edition</t>
        </is>
      </c>
      <c r="I3074" s="13" t="inlineStr">
        <is>
          <t>Não</t>
        </is>
      </c>
      <c r="J3074" s="13" t="n">
        <v>1995</v>
      </c>
      <c r="L3074" s="13" t="n">
        <v>2</v>
      </c>
      <c r="M3074" s="8">
        <f>L3074*G3074</f>
        <v/>
      </c>
      <c r="P3074" s="9" t="n"/>
    </row>
    <row r="3075">
      <c r="A3075" s="13" t="inlineStr">
        <is>
          <t>The Brute / O Bruto</t>
        </is>
      </c>
      <c r="B3075" s="13" t="inlineStr">
        <is>
          <t>Enchantment — Aura / Encantar Criatura</t>
        </is>
      </c>
      <c r="C3075" s="13" t="inlineStr">
        <is>
          <t>Common / Comum</t>
        </is>
      </c>
      <c r="D3075" s="13" t="inlineStr">
        <is>
          <t>Enchant creature Enchanted creature gets +1/+0. {R}{R}{R}: Regenerate enchanted creature. / A criatura-alvo ganha +1/+0. {R}{R}{R}: Regenera a criatura-alvo encantada pelo Bruto.</t>
        </is>
      </c>
      <c r="E3075" s="13" t="inlineStr">
        <is>
          <t>{1}{R}</t>
        </is>
      </c>
      <c r="F3075" s="13" t="inlineStr">
        <is>
          <t>Vermelho</t>
        </is>
      </c>
      <c r="G3075" s="8" t="n">
        <v>0.17</v>
      </c>
      <c r="H3075" s="13" t="inlineStr">
        <is>
          <t>Fourth Edition (BB)</t>
        </is>
      </c>
      <c r="I3075" s="13" t="inlineStr">
        <is>
          <t>Não</t>
        </is>
      </c>
      <c r="J3075" s="13" t="n">
        <v>1995</v>
      </c>
      <c r="L3075" s="13" t="n">
        <v>6</v>
      </c>
      <c r="M3075" s="8">
        <f>L3075*G3075</f>
        <v/>
      </c>
      <c r="P3075" s="9" t="n"/>
    </row>
    <row r="3076">
      <c r="A3076" s="13" t="inlineStr">
        <is>
          <t>The Cheese Stands Alone</t>
        </is>
      </c>
      <c r="B3076" s="13" t="inlineStr">
        <is>
          <t>Enchantment</t>
        </is>
      </c>
      <c r="C3076" s="13" t="inlineStr">
        <is>
          <t>Rare</t>
        </is>
      </c>
      <c r="D3076" s="13" t="inlineStr">
        <is>
          <t>If you control no cards in play other than The Cheese Stands Alone and have no cards in your hand, you win the game.</t>
        </is>
      </c>
      <c r="E3076" s="13" t="inlineStr">
        <is>
          <t>{4}{W}{W}</t>
        </is>
      </c>
      <c r="F3076" s="13" t="inlineStr">
        <is>
          <t>White</t>
        </is>
      </c>
      <c r="G3076" s="8" t="n">
        <v>29.98</v>
      </c>
      <c r="H3076" s="13" t="inlineStr">
        <is>
          <t>Unglued (UGL)</t>
        </is>
      </c>
      <c r="I3076" s="13" t="inlineStr">
        <is>
          <t>No</t>
        </is>
      </c>
      <c r="J3076" s="13" t="n">
        <v>1998</v>
      </c>
      <c r="L3076" s="13" t="n">
        <v>1</v>
      </c>
      <c r="M3076" s="8">
        <f>L3076*G3076</f>
        <v/>
      </c>
      <c r="P3076" s="9" t="n"/>
    </row>
    <row r="3077">
      <c r="A3077" s="13" t="inlineStr">
        <is>
          <t>The Cloning of Shredder</t>
        </is>
      </c>
      <c r="B3077" s="13" t="inlineStr">
        <is>
          <t>Enchantment — Saga</t>
        </is>
      </c>
      <c r="C3077" s="13" t="inlineStr">
        <is>
          <t>Mythic / Mítica</t>
        </is>
      </c>
      <c r="D3077" s="13"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3077" s="13" t="inlineStr">
        <is>
          <t>{4}{B}{B}</t>
        </is>
      </c>
      <c r="F3077" s="13" t="inlineStr">
        <is>
          <t>Preto</t>
        </is>
      </c>
      <c r="G3077" s="8" t="n">
        <v>17.99</v>
      </c>
      <c r="H3077" s="13" t="inlineStr">
        <is>
          <t>Teenage Mutant Ninja Turtles (TMT)</t>
        </is>
      </c>
      <c r="I3077" s="13" t="inlineStr">
        <is>
          <t>Não</t>
        </is>
      </c>
      <c r="J3077" s="13" t="n">
        <v>2026</v>
      </c>
      <c r="L3077" s="13" t="n">
        <v>1</v>
      </c>
      <c r="M3077" s="8">
        <f>L3077*G3077</f>
        <v/>
      </c>
      <c r="P3077" s="9" t="n"/>
    </row>
    <row r="3078">
      <c r="A3078" s="13" t="inlineStr">
        <is>
          <t>The Crystal's Chosen / Os Escolhidos do Cristal</t>
        </is>
      </c>
      <c r="B3078" s="13" t="inlineStr">
        <is>
          <t>Feitiço</t>
        </is>
      </c>
      <c r="C3078" s="13" t="inlineStr">
        <is>
          <t>Incomum</t>
        </is>
      </c>
      <c r="D3078" s="13" t="inlineStr">
        <is>
          <t>Crie quatro fichas de criatura Herói incolor 1/1. Depois, coloque um marcador +1/+1 em cada criatura que você controla.</t>
        </is>
      </c>
      <c r="E3078" s="13" t="inlineStr">
        <is>
          <t>5{W}{W}</t>
        </is>
      </c>
      <c r="F3078" s="13" t="inlineStr">
        <is>
          <t>Branco</t>
        </is>
      </c>
      <c r="G3078" s="8" t="n">
        <v>0.12</v>
      </c>
      <c r="H3078" s="13" t="inlineStr">
        <is>
          <t>Final Fantasy</t>
        </is>
      </c>
      <c r="I3078" s="13" t="inlineStr">
        <is>
          <t>Não</t>
        </is>
      </c>
      <c r="J3078" s="13" t="n">
        <v>2025</v>
      </c>
      <c r="L3078" s="13" t="n">
        <v>1</v>
      </c>
      <c r="M3078" s="8">
        <f>L3078*G3078</f>
        <v/>
      </c>
      <c r="P3078" s="9" t="n"/>
    </row>
    <row r="3079">
      <c r="A3079" s="13" t="inlineStr">
        <is>
          <t>The Dross Pits / Os Poços de Dross</t>
        </is>
      </c>
      <c r="B3079" s="13" t="inlineStr">
        <is>
          <t>Land — Sphere / Terreno — Esfera</t>
        </is>
      </c>
      <c r="C3079" s="13" t="inlineStr">
        <is>
          <t>Common / Comum</t>
        </is>
      </c>
      <c r="D3079" s="13" t="inlineStr">
        <is>
          <t>This land enters tapped. {T}: Add {B}. {1}{B}, {T}, Sacrifice this land: Draw a card. / Os Poços de Dross entra no campo de batalha virado. {T}: Adicione {B}. {1}{B}, {T}, sacrifique Os Poços de Dross: Compre um card.</t>
        </is>
      </c>
      <c r="F3079" s="13" t="inlineStr">
        <is>
          <t>Preto</t>
        </is>
      </c>
      <c r="G3079" s="8" t="n">
        <v>0.1</v>
      </c>
      <c r="H3079" s="13" t="inlineStr">
        <is>
          <t>Phyrexia: All Will Be One (ONE)</t>
        </is>
      </c>
      <c r="I3079" s="13" t="inlineStr">
        <is>
          <t>Não</t>
        </is>
      </c>
      <c r="J3079" s="13" t="n">
        <v>2023</v>
      </c>
      <c r="L3079" s="13" t="n">
        <v>1</v>
      </c>
      <c r="M3079" s="8">
        <f>L3079*G3079</f>
        <v/>
      </c>
      <c r="P3079" s="9" t="n"/>
    </row>
    <row r="3080">
      <c r="A3080" s="13" t="inlineStr">
        <is>
          <t>The Earth King</t>
        </is>
      </c>
      <c r="B3080" s="13" t="inlineStr">
        <is>
          <t>Legendary Creature — Human Noble Ally</t>
        </is>
      </c>
      <c r="C3080" s="13" t="inlineStr">
        <is>
          <t>Rare / Rara</t>
        </is>
      </c>
      <c r="D3080" s="13" t="inlineStr">
        <is>
          <t>When The Earth King enters, create a 4/4 green Bear creature token. Whenever one or more creatures you control with power 4 or greater attack, search your library for up to that many basic land cards, put them onto the battlefield tapped, then shuffle.</t>
        </is>
      </c>
      <c r="E3080" s="13" t="inlineStr">
        <is>
          <t>{3}{G}</t>
        </is>
      </c>
      <c r="F3080" s="13" t="inlineStr">
        <is>
          <t>Verde</t>
        </is>
      </c>
      <c r="G3080" s="8" t="n">
        <v>2.49</v>
      </c>
      <c r="H3080" s="13" t="inlineStr">
        <is>
          <t>Avatar: The Last Airbender (TLA)</t>
        </is>
      </c>
      <c r="I3080" s="13" t="inlineStr">
        <is>
          <t>Não</t>
        </is>
      </c>
      <c r="J3080" s="13" t="n">
        <v>2025</v>
      </c>
      <c r="K3080" s="10" t="n">
        <v>46055</v>
      </c>
      <c r="L3080" s="13" t="n">
        <v>1</v>
      </c>
      <c r="M3080" s="8">
        <f>L3080*G3080</f>
        <v/>
      </c>
      <c r="P3080" s="9" t="n"/>
    </row>
    <row r="3081">
      <c r="A3081" s="13" t="inlineStr">
        <is>
          <t>The Fallen</t>
        </is>
      </c>
      <c r="B3081" s="13" t="inlineStr">
        <is>
          <t>Creature — Zombie</t>
        </is>
      </c>
      <c r="C3081" s="13" t="inlineStr">
        <is>
          <t>Uncommon / Incomum</t>
        </is>
      </c>
      <c r="D3081" s="13" t="inlineStr">
        <is>
          <t>At the beginning of your upkeep, this creature deals 1 damage to each opponent and planeswalker it has dealt damage to this game.</t>
        </is>
      </c>
      <c r="E3081" s="13" t="inlineStr">
        <is>
          <t>{1}{B}{B}{B}</t>
        </is>
      </c>
      <c r="F3081" s="13" t="inlineStr">
        <is>
          <t>Preto</t>
        </is>
      </c>
      <c r="G3081" s="8" t="n">
        <v>0.19</v>
      </c>
      <c r="H3081" s="13" t="inlineStr">
        <is>
          <t>Chronicles</t>
        </is>
      </c>
      <c r="I3081" s="13" t="inlineStr">
        <is>
          <t>Não</t>
        </is>
      </c>
      <c r="J3081" s="13" t="n">
        <v>1995</v>
      </c>
      <c r="K3081" s="10" t="n">
        <v>46083</v>
      </c>
      <c r="L3081" s="13" t="n">
        <v>2</v>
      </c>
      <c r="M3081" s="8">
        <f>L3081*G3081</f>
        <v/>
      </c>
      <c r="P3081" s="9" t="n"/>
    </row>
    <row r="3082">
      <c r="A3082" s="13" t="inlineStr">
        <is>
          <t>The Final Days / Os Dias Finais</t>
        </is>
      </c>
      <c r="B3082" s="13" t="inlineStr">
        <is>
          <t>Feitiço</t>
        </is>
      </c>
      <c r="C3082" s="13" t="inlineStr">
        <is>
          <t>Incomum</t>
        </is>
      </c>
      <c r="D3082" s="13"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3082" s="13" t="inlineStr">
        <is>
          <t>2{B}{B}</t>
        </is>
      </c>
      <c r="F3082" s="13" t="inlineStr">
        <is>
          <t>Preto</t>
        </is>
      </c>
      <c r="G3082" s="8" t="n">
        <v>0.2</v>
      </c>
      <c r="H3082" s="13" t="inlineStr">
        <is>
          <t>Final Fantasy</t>
        </is>
      </c>
      <c r="I3082" s="13" t="inlineStr">
        <is>
          <t>Não</t>
        </is>
      </c>
      <c r="J3082" s="13" t="n">
        <v>2025</v>
      </c>
      <c r="L3082" s="13" t="n">
        <v>4</v>
      </c>
      <c r="M3082" s="8">
        <f>L3082*G3082</f>
        <v/>
      </c>
      <c r="P3082" s="9" t="n"/>
    </row>
    <row r="3083">
      <c r="A3083" s="13" t="inlineStr">
        <is>
          <t>The First Eruption / A Primeira Erupção</t>
        </is>
      </c>
      <c r="B3083" s="13" t="inlineStr">
        <is>
          <t>Enchantment — Saga / Encantamento — Saga</t>
        </is>
      </c>
      <c r="C3083" s="13" t="inlineStr">
        <is>
          <t>Rare / Rara</t>
        </is>
      </c>
      <c r="D3083" s="13"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083" s="13" t="inlineStr">
        <is>
          <t>{2}{R}</t>
        </is>
      </c>
      <c r="F3083" s="13" t="inlineStr">
        <is>
          <t>Vermelho</t>
        </is>
      </c>
      <c r="G3083" s="8" t="n">
        <v>0.19</v>
      </c>
      <c r="H3083" s="13" t="inlineStr">
        <is>
          <t>Dominaria (DOM)</t>
        </is>
      </c>
      <c r="I3083" s="13" t="inlineStr">
        <is>
          <t>Não</t>
        </is>
      </c>
      <c r="J3083" s="13" t="n">
        <v>2018</v>
      </c>
      <c r="L3083" s="13" t="n">
        <v>2</v>
      </c>
      <c r="M3083" s="8">
        <f>L3083*G3083</f>
        <v/>
      </c>
      <c r="P3083" s="9" t="n"/>
    </row>
    <row r="3084">
      <c r="A3084" s="13" t="inlineStr">
        <is>
          <t>The First Eruption / A Primeira Erupção</t>
        </is>
      </c>
      <c r="B3084" s="13" t="inlineStr">
        <is>
          <t>Enchantment — Saga / Encantamento — Saga</t>
        </is>
      </c>
      <c r="C3084" s="13" t="inlineStr">
        <is>
          <t>Rare / Rara</t>
        </is>
      </c>
      <c r="D3084" s="13"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084" s="13" t="inlineStr">
        <is>
          <t>{2}{R}</t>
        </is>
      </c>
      <c r="F3084" s="13" t="inlineStr">
        <is>
          <t>Vermelho</t>
        </is>
      </c>
      <c r="G3084" s="8" t="n">
        <v>0.39</v>
      </c>
      <c r="H3084" s="13" t="inlineStr">
        <is>
          <t>Dominaria (DOM)</t>
        </is>
      </c>
      <c r="I3084" s="13" t="inlineStr">
        <is>
          <t>Sim</t>
        </is>
      </c>
      <c r="J3084" s="13" t="n">
        <v>2018</v>
      </c>
      <c r="L3084" s="13" t="n">
        <v>1</v>
      </c>
      <c r="M3084" s="8">
        <f>L3084*G3084</f>
        <v/>
      </c>
      <c r="P3084" s="9" t="n"/>
    </row>
    <row r="3085">
      <c r="A3085" s="13" t="inlineStr">
        <is>
          <t>The First Iroan Games / Os Primeiros Jogos Iroanos</t>
        </is>
      </c>
      <c r="B3085" s="13" t="inlineStr">
        <is>
          <t>Enchantment — Saga / Encantamento — Saga</t>
        </is>
      </c>
      <c r="C3085" s="13" t="inlineStr">
        <is>
          <t>Rare / Rara</t>
        </is>
      </c>
      <c r="D3085" s="13"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3085" s="13" t="inlineStr">
        <is>
          <t>{2}{G}</t>
        </is>
      </c>
      <c r="F3085" s="13" t="inlineStr">
        <is>
          <t>Verde</t>
        </is>
      </c>
      <c r="G3085" s="8" t="n">
        <v>0.24</v>
      </c>
      <c r="H3085" s="13" t="inlineStr">
        <is>
          <t>Theros Beyond Death (THB)</t>
        </is>
      </c>
      <c r="I3085" s="13" t="inlineStr">
        <is>
          <t>Não</t>
        </is>
      </c>
      <c r="J3085" s="13" t="n">
        <v>2020</v>
      </c>
      <c r="L3085" s="13" t="n">
        <v>1</v>
      </c>
      <c r="M3085" s="8">
        <f>L3085*G3085</f>
        <v/>
      </c>
      <c r="P3085" s="9" t="n"/>
    </row>
    <row r="3086">
      <c r="A3086" s="13" t="inlineStr">
        <is>
          <t>The Flame of Keld / A Chama de Keld</t>
        </is>
      </c>
      <c r="B3086" s="13" t="inlineStr">
        <is>
          <t>Enchantment — Saga / Encantamento — Saga</t>
        </is>
      </c>
      <c r="C3086" s="13" t="inlineStr">
        <is>
          <t>Uncommon / Incomum</t>
        </is>
      </c>
      <c r="D3086" s="13"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3086" s="13" t="inlineStr">
        <is>
          <t>{1}{R}</t>
        </is>
      </c>
      <c r="F3086" s="13" t="inlineStr">
        <is>
          <t>Vermelho</t>
        </is>
      </c>
      <c r="G3086" s="8" t="n">
        <v>0.2</v>
      </c>
      <c r="H3086" s="13" t="inlineStr">
        <is>
          <t>Dominaria (DOM)</t>
        </is>
      </c>
      <c r="I3086" s="13" t="inlineStr">
        <is>
          <t>Não</t>
        </is>
      </c>
      <c r="J3086" s="13" t="n">
        <v>2018</v>
      </c>
      <c r="L3086" s="13" t="n">
        <v>1</v>
      </c>
      <c r="M3086" s="8">
        <f>L3086*G3086</f>
        <v/>
      </c>
      <c r="P3086" s="9" t="n"/>
    </row>
    <row r="3087">
      <c r="A3087" s="13" t="inlineStr">
        <is>
          <t>The Gold Saucer / O Gold Saucer</t>
        </is>
      </c>
      <c r="B3087" s="13" t="inlineStr">
        <is>
          <t>Terreno — Vila</t>
        </is>
      </c>
      <c r="C3087" s="13" t="inlineStr">
        <is>
          <t>Incomum</t>
        </is>
      </c>
      <c r="D3087" s="13" t="inlineStr">
        <is>
          <t>{T}: Adicione {C}. {2}, {T}: Jogue uma moeda. Se você ganhar na moeda, crie uma ficha de Tesouro. {3}, {T}, Sacrifique dois artefatos: Compre um card.</t>
        </is>
      </c>
      <c r="E3087" s="13" t="inlineStr">
        <is>
          <t>Não encontrado</t>
        </is>
      </c>
      <c r="F3087" s="13" t="inlineStr">
        <is>
          <t>Incolor</t>
        </is>
      </c>
      <c r="G3087" s="8" t="n">
        <v>0.5</v>
      </c>
      <c r="H3087" s="13" t="inlineStr">
        <is>
          <t>Final Fantasy</t>
        </is>
      </c>
      <c r="I3087" s="13" t="inlineStr">
        <is>
          <t>Não</t>
        </is>
      </c>
      <c r="J3087" s="13" t="n">
        <v>2025</v>
      </c>
      <c r="L3087" s="13" t="n">
        <v>3</v>
      </c>
      <c r="M3087" s="8">
        <f>L3087*G3087</f>
        <v/>
      </c>
      <c r="P3087" s="9" t="n"/>
    </row>
    <row r="3088">
      <c r="A3088" s="13" t="inlineStr">
        <is>
          <t>The Grey Havens / Os Portos Cinzentos</t>
        </is>
      </c>
      <c r="B3088" s="13" t="inlineStr">
        <is>
          <t>Legendary Land / Terreno Lendário</t>
        </is>
      </c>
      <c r="C3088" s="13" t="inlineStr">
        <is>
          <t>Uncommon / Incomum</t>
        </is>
      </c>
      <c r="D3088" s="13"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3088" s="13" t="inlineStr">
        <is>
          <t>Incolor</t>
        </is>
      </c>
      <c r="G3088" s="8" t="n">
        <v>0.75</v>
      </c>
      <c r="H3088" s="13" t="inlineStr">
        <is>
          <t>The Lord of the Rings: Tales of Middle-earth (LTR)</t>
        </is>
      </c>
      <c r="I3088" s="13" t="inlineStr">
        <is>
          <t>Não</t>
        </is>
      </c>
      <c r="J3088" s="13" t="n">
        <v>2023</v>
      </c>
      <c r="L3088" s="13" t="n">
        <v>2</v>
      </c>
      <c r="M3088" s="8">
        <f>L3088*G3088</f>
        <v/>
      </c>
      <c r="P3088" s="9" t="n"/>
    </row>
    <row r="3089">
      <c r="A3089" s="13" t="inlineStr">
        <is>
          <t>The Hive / A Colméia</t>
        </is>
      </c>
      <c r="B3089" s="13" t="inlineStr">
        <is>
          <t>Artifact / Artefato</t>
        </is>
      </c>
      <c r="C3089" s="13" t="inlineStr">
        <is>
          <t>Rare / Rara</t>
        </is>
      </c>
      <c r="D3089" s="13"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3089" s="13" t="inlineStr">
        <is>
          <t>{5}</t>
        </is>
      </c>
      <c r="F3089" s="13" t="inlineStr">
        <is>
          <t>Incolor</t>
        </is>
      </c>
      <c r="G3089" s="8" t="n">
        <v>0.39</v>
      </c>
      <c r="H3089" s="13" t="inlineStr">
        <is>
          <t>Fourth Edition</t>
        </is>
      </c>
      <c r="I3089" s="13" t="inlineStr">
        <is>
          <t>Não</t>
        </is>
      </c>
      <c r="J3089" s="13" t="n">
        <v>1995</v>
      </c>
      <c r="L3089" s="13" t="n">
        <v>1</v>
      </c>
      <c r="M3089" s="8">
        <f>L3089*G3089</f>
        <v/>
      </c>
      <c r="N3089" s="13" t="inlineStr">
        <is>
          <t>Pasta</t>
        </is>
      </c>
      <c r="P3089" s="9" t="n"/>
    </row>
    <row r="3090">
      <c r="A3090" s="13" t="inlineStr">
        <is>
          <t>The Hive / A Colméia</t>
        </is>
      </c>
      <c r="B3090" s="13" t="inlineStr">
        <is>
          <t>Artifact / Artefato</t>
        </is>
      </c>
      <c r="C3090" s="13" t="inlineStr">
        <is>
          <t>Rare / Rara</t>
        </is>
      </c>
      <c r="D3090" s="13"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3090" s="13" t="inlineStr">
        <is>
          <t>{5}</t>
        </is>
      </c>
      <c r="F3090" s="13" t="inlineStr">
        <is>
          <t>Incolor</t>
        </is>
      </c>
      <c r="G3090" s="8" t="n">
        <v>1.5</v>
      </c>
      <c r="H3090" s="13" t="inlineStr">
        <is>
          <t>Fourth Edition (BB)</t>
        </is>
      </c>
      <c r="I3090" s="13" t="inlineStr">
        <is>
          <t>Não</t>
        </is>
      </c>
      <c r="J3090" s="13" t="n">
        <v>1995</v>
      </c>
      <c r="L3090" s="13" t="n">
        <v>1</v>
      </c>
      <c r="M3090" s="8">
        <f>L3090*G3090</f>
        <v/>
      </c>
      <c r="N3090" s="13" t="inlineStr">
        <is>
          <t>Pasta</t>
        </is>
      </c>
      <c r="P3090" s="9" t="n"/>
    </row>
    <row r="3091">
      <c r="A3091" s="13" t="inlineStr">
        <is>
          <t>The Imperial City of Archades // Wall of Omens / A Cidade Imperial de Archades // Barreira de Augúrios</t>
        </is>
      </c>
      <c r="B3091" s="13" t="inlineStr">
        <is>
          <t>Criatura — Barreira</t>
        </is>
      </c>
      <c r="C3091" s="13" t="inlineStr">
        <is>
          <t>Incomum</t>
        </is>
      </c>
      <c r="D3091" s="13" t="inlineStr">
        <is>
          <t>Defensor. Quando esta criatura entrar, compre um card.</t>
        </is>
      </c>
      <c r="E3091" s="13" t="inlineStr">
        <is>
          <t>1{W}</t>
        </is>
      </c>
      <c r="F3091" s="13" t="inlineStr">
        <is>
          <t>Branco</t>
        </is>
      </c>
      <c r="G3091" s="8" t="n">
        <v>1.36</v>
      </c>
      <c r="H3091" s="13" t="inlineStr">
        <is>
          <t>Final Fantasy</t>
        </is>
      </c>
      <c r="I3091" s="13" t="inlineStr">
        <is>
          <t>Não</t>
        </is>
      </c>
      <c r="J3091" s="13" t="n">
        <v>2025</v>
      </c>
      <c r="K3091" s="13" t="inlineStr">
        <is>
          <t>0/4</t>
        </is>
      </c>
      <c r="L3091" s="13" t="n">
        <v>1</v>
      </c>
      <c r="M3091" s="8">
        <f>L3091*G3091</f>
        <v/>
      </c>
      <c r="P3091" s="9" t="n"/>
    </row>
    <row r="3092">
      <c r="A3092" s="13" t="inlineStr">
        <is>
          <t>The Lady of the Mountain</t>
        </is>
      </c>
      <c r="B3092" s="13" t="inlineStr">
        <is>
          <t>Summon Legend</t>
        </is>
      </c>
      <c r="C3092" s="13" t="inlineStr">
        <is>
          <t>Comum / Common</t>
        </is>
      </c>
      <c r="D3092" s="13" t="inlineStr">
        <is>
          <t>Her given name has been lost in the mists of time. Legend says that her silent vigil will one day be ended by the one who, pure of heart and spirit, calls out that name again.</t>
        </is>
      </c>
      <c r="E3092" s="13" t="inlineStr">
        <is>
          <t>{4}{G}{R}</t>
        </is>
      </c>
      <c r="F3092" s="13" t="inlineStr">
        <is>
          <t>Verde e Vermelho / Green and Red</t>
        </is>
      </c>
      <c r="G3092" s="8" t="n">
        <v>11.69</v>
      </c>
      <c r="H3092" s="13" t="inlineStr">
        <is>
          <t>Legends (LEG)</t>
        </is>
      </c>
      <c r="I3092" s="13" t="inlineStr">
        <is>
          <t>Não</t>
        </is>
      </c>
      <c r="J3092" s="13" t="n">
        <v>1994</v>
      </c>
      <c r="K3092" s="10" t="n">
        <v>46147</v>
      </c>
      <c r="L3092" s="13" t="n">
        <v>1</v>
      </c>
      <c r="M3092" s="8">
        <f>L3092*G3092</f>
        <v/>
      </c>
      <c r="N3092" s="13" t="inlineStr">
        <is>
          <t>Pasta</t>
        </is>
      </c>
      <c r="P3092" s="9" t="n"/>
    </row>
    <row r="3093">
      <c r="A3093" s="13" t="inlineStr">
        <is>
          <t>The Last Ronin's Technique</t>
        </is>
      </c>
      <c r="B3093" s="13" t="inlineStr">
        <is>
          <t>Instant</t>
        </is>
      </c>
      <c r="C3093" s="13" t="inlineStr">
        <is>
          <t>Uncommon / Incomum</t>
        </is>
      </c>
      <c r="D3093" s="13"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3093" s="13" t="inlineStr">
        <is>
          <t>{3}{W}</t>
        </is>
      </c>
      <c r="F3093" s="13" t="inlineStr">
        <is>
          <t>Branco</t>
        </is>
      </c>
      <c r="G3093" s="8" t="n">
        <v>0.2</v>
      </c>
      <c r="H3093" s="13" t="inlineStr">
        <is>
          <t>Teenage Mutant Ninja Turtles (TMT)</t>
        </is>
      </c>
      <c r="I3093" s="13" t="inlineStr">
        <is>
          <t>Não</t>
        </is>
      </c>
      <c r="J3093" s="13" t="n">
        <v>2026</v>
      </c>
      <c r="L3093" s="13" t="n">
        <v>2</v>
      </c>
      <c r="M3093" s="8">
        <f>L3093*G3093</f>
        <v/>
      </c>
      <c r="P3093" s="9" t="n"/>
    </row>
    <row r="3094">
      <c r="A3094" s="13" t="inlineStr">
        <is>
          <t>The Lunar Whale / A Baleia Lunar</t>
        </is>
      </c>
      <c r="B3094" s="13" t="inlineStr">
        <is>
          <t>Artefato Lendário — Veículo</t>
        </is>
      </c>
      <c r="C3094" s="13" t="inlineStr">
        <is>
          <t>Rara</t>
        </is>
      </c>
      <c r="D3094" s="13" t="inlineStr">
        <is>
          <t>Voar. Você pode olhar o card do topo de seu grimório a qualquer momento. Enquanto A Baleia Lunar tiver atacado neste turno, você poderá jogar o card do topo de seu grimório. Tripular 1</t>
        </is>
      </c>
      <c r="E3094" s="13" t="inlineStr">
        <is>
          <t>3{U}</t>
        </is>
      </c>
      <c r="F3094" s="13" t="inlineStr">
        <is>
          <t>Azul</t>
        </is>
      </c>
      <c r="G3094" s="8" t="n">
        <v>0.5</v>
      </c>
      <c r="H3094" s="13" t="inlineStr">
        <is>
          <t>Final Fantasy</t>
        </is>
      </c>
      <c r="I3094" s="13" t="inlineStr">
        <is>
          <t>Não</t>
        </is>
      </c>
      <c r="J3094" s="13" t="n">
        <v>2025</v>
      </c>
      <c r="K3094" s="10" t="n">
        <v>46145</v>
      </c>
      <c r="L3094" s="13" t="n">
        <v>1</v>
      </c>
      <c r="M3094" s="8">
        <f>L3094*G3094</f>
        <v/>
      </c>
      <c r="P3094" s="9" t="n"/>
    </row>
    <row r="3095">
      <c r="A3095" s="13" t="inlineStr">
        <is>
          <t>The Masamune / A Masamune</t>
        </is>
      </c>
      <c r="B3095" s="13" t="inlineStr">
        <is>
          <t>Artefato Lendário — Equipamento</t>
        </is>
      </c>
      <c r="C3095" s="13" t="inlineStr">
        <is>
          <t>Rara</t>
        </is>
      </c>
      <c r="D3095" s="13"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3095" s="13" t="n">
        <v>3</v>
      </c>
      <c r="F3095" s="13" t="inlineStr">
        <is>
          <t>Incolor</t>
        </is>
      </c>
      <c r="G3095" s="8" t="n">
        <v>2.82</v>
      </c>
      <c r="H3095" s="13" t="inlineStr">
        <is>
          <t>Final Fantasy</t>
        </is>
      </c>
      <c r="I3095" s="13" t="inlineStr">
        <is>
          <t>Não</t>
        </is>
      </c>
      <c r="J3095" s="13" t="n">
        <v>2025</v>
      </c>
      <c r="L3095" s="13" t="n">
        <v>1</v>
      </c>
      <c r="M3095" s="8">
        <f>L3095*G3095</f>
        <v/>
      </c>
      <c r="P3095" s="9" t="n"/>
    </row>
    <row r="3096">
      <c r="A3096" s="13" t="inlineStr">
        <is>
          <t>The Masters of Evil / Os Mestres do Terror</t>
        </is>
      </c>
      <c r="B3096" s="13" t="inlineStr">
        <is>
          <t>Criatura Lendária — Humano Vilão</t>
        </is>
      </c>
      <c r="C3096" s="13" t="inlineStr">
        <is>
          <t>Incomum</t>
        </is>
      </c>
      <c r="D3096" s="13" t="inlineStr">
        <is>
          <t>Outros Vilões que você controla recebem +2/+1. {1}{B}, Descarte este card: Procure em seu grimório por um card de Plano, revele-o, coloque-o em sua mão e depois embaralhe.</t>
        </is>
      </c>
      <c r="E3096" s="13" t="inlineStr">
        <is>
          <t>5{B}</t>
        </is>
      </c>
      <c r="F3096" s="13" t="inlineStr">
        <is>
          <t>Preto</t>
        </is>
      </c>
      <c r="G3096" s="8" t="n">
        <v>0.44</v>
      </c>
      <c r="H3096" s="13" t="inlineStr">
        <is>
          <t>Marvel</t>
        </is>
      </c>
      <c r="I3096" s="13" t="inlineStr">
        <is>
          <t>Não</t>
        </is>
      </c>
      <c r="J3096" s="13" t="n">
        <v>2026</v>
      </c>
      <c r="K3096" s="10" t="n">
        <v>46178</v>
      </c>
      <c r="L3096" s="13" t="n">
        <v>1</v>
      </c>
      <c r="M3096" s="8">
        <f>L3096*G3096</f>
        <v/>
      </c>
      <c r="P3096" s="9" t="n"/>
    </row>
    <row r="3097">
      <c r="A3097" s="13" t="inlineStr">
        <is>
          <t>The Mirari Conjecture / A Conjectura do Mirari</t>
        </is>
      </c>
      <c r="B3097" s="13" t="inlineStr">
        <is>
          <t>Enchantment — Saga / Encantamento — Saga</t>
        </is>
      </c>
      <c r="C3097" s="13" t="inlineStr">
        <is>
          <t>Rare / Rara</t>
        </is>
      </c>
      <c r="D3097" s="13"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3097" s="13" t="inlineStr">
        <is>
          <t>{4}{U}</t>
        </is>
      </c>
      <c r="F3097" s="13" t="inlineStr">
        <is>
          <t>Azul</t>
        </is>
      </c>
      <c r="G3097" s="8" t="n">
        <v>0.27</v>
      </c>
      <c r="H3097" s="13" t="inlineStr">
        <is>
          <t>Dominaria (DOM)</t>
        </is>
      </c>
      <c r="I3097" s="13" t="inlineStr">
        <is>
          <t>Não</t>
        </is>
      </c>
      <c r="J3097" s="13" t="n">
        <v>2018</v>
      </c>
      <c r="L3097" s="13" t="n">
        <v>1</v>
      </c>
      <c r="M3097" s="8">
        <f>L3097*G3097</f>
        <v/>
      </c>
      <c r="P3097" s="9" t="n"/>
    </row>
    <row r="3098">
      <c r="A3098" s="13" t="inlineStr">
        <is>
          <t>The Neutrinos</t>
        </is>
      </c>
      <c r="B3098" s="13" t="inlineStr">
        <is>
          <t>Legendary Creature — Elf Rebel</t>
        </is>
      </c>
      <c r="C3098" s="13" t="inlineStr">
        <is>
          <t>Uncommon / Incomum</t>
        </is>
      </c>
      <c r="D3098" s="13" t="inlineStr">
        <is>
          <t>Flying Alliance — Whenever another creature you control enters, The Neutrinos get +1/+0 until end of turn. Whenever The Neutrinos attack, exile up to one target creature you own, then return it to the battlefield under your control tapped and attacking.</t>
        </is>
      </c>
      <c r="E3098" s="13" t="inlineStr">
        <is>
          <t>{2}{R}{W}</t>
        </is>
      </c>
      <c r="F3098" s="13" t="inlineStr">
        <is>
          <t>Vermelho, Branco</t>
        </is>
      </c>
      <c r="G3098" s="8" t="n">
        <v>0.15</v>
      </c>
      <c r="H3098" s="13" t="inlineStr">
        <is>
          <t>Teenage Mutant Ninja Turtles (TMT)</t>
        </is>
      </c>
      <c r="I3098" s="13" t="inlineStr">
        <is>
          <t>Não</t>
        </is>
      </c>
      <c r="J3098" s="13" t="n">
        <v>2026</v>
      </c>
      <c r="K3098" s="10" t="n">
        <v>46114</v>
      </c>
      <c r="L3098" s="13" t="n">
        <v>1</v>
      </c>
      <c r="M3098" s="8">
        <f>L3098*G3098</f>
        <v/>
      </c>
      <c r="P3098" s="9" t="n"/>
    </row>
    <row r="3099">
      <c r="A3099" s="13" t="inlineStr">
        <is>
          <t>The Prima Vista / O Prima Vista</t>
        </is>
      </c>
      <c r="B3099" s="13" t="inlineStr">
        <is>
          <t>Artefato Lendário — Veículo</t>
        </is>
      </c>
      <c r="C3099" s="13" t="inlineStr">
        <is>
          <t>Incomum</t>
        </is>
      </c>
      <c r="D3099" s="13"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099" s="13" t="inlineStr">
        <is>
          <t>4{U}</t>
        </is>
      </c>
      <c r="F3099" s="13" t="inlineStr">
        <is>
          <t>Azul</t>
        </is>
      </c>
      <c r="G3099" s="8" t="n">
        <v>0.1</v>
      </c>
      <c r="H3099" s="13" t="inlineStr">
        <is>
          <t>Final Fantasy</t>
        </is>
      </c>
      <c r="I3099" s="13" t="inlineStr">
        <is>
          <t>Não</t>
        </is>
      </c>
      <c r="J3099" s="13" t="n">
        <v>2025</v>
      </c>
      <c r="K3099" s="10" t="n">
        <v>46086</v>
      </c>
      <c r="L3099" s="13" t="n">
        <v>1</v>
      </c>
      <c r="M3099" s="8">
        <f>L3099*G3099</f>
        <v/>
      </c>
      <c r="P3099" s="9" t="n"/>
    </row>
    <row r="3100">
      <c r="A3100" s="13" t="inlineStr">
        <is>
          <t>The Regalia / O Regalia</t>
        </is>
      </c>
      <c r="B3100" s="13" t="inlineStr">
        <is>
          <t>Artefato Lendário — Veículo</t>
        </is>
      </c>
      <c r="C3100" s="13" t="inlineStr">
        <is>
          <t>Rara</t>
        </is>
      </c>
      <c r="D3100" s="13" t="inlineStr">
        <is>
          <t>Ímpeto. Sempre que O Regalia atacar, revele cards do topo de seu grimório até revelar um card de terreno. Coloque aquele card no campo de batalha virado e o restante no fundo de seu grimório em uma ordem aleatória. Tripular 1</t>
        </is>
      </c>
      <c r="E3100" s="13" t="n">
        <v>4</v>
      </c>
      <c r="F3100" s="13" t="inlineStr">
        <is>
          <t>Incolor</t>
        </is>
      </c>
      <c r="G3100" s="8" t="n">
        <v>4.95</v>
      </c>
      <c r="H3100" s="13" t="inlineStr">
        <is>
          <t>Final Fantasy</t>
        </is>
      </c>
      <c r="I3100" s="13" t="inlineStr">
        <is>
          <t>Não</t>
        </is>
      </c>
      <c r="J3100" s="13" t="n">
        <v>2025</v>
      </c>
      <c r="K3100" s="10" t="n">
        <v>46116</v>
      </c>
      <c r="L3100" s="13" t="n">
        <v>1</v>
      </c>
      <c r="M3100" s="8">
        <f>L3100*G3100</f>
        <v/>
      </c>
      <c r="P3100" s="9" t="n"/>
    </row>
    <row r="3101">
      <c r="A3101" s="13" t="inlineStr">
        <is>
          <t>The Scorpion God / O Deus Escorpião</t>
        </is>
      </c>
      <c r="B3101" s="13" t="inlineStr">
        <is>
          <t>Legendary Creature — God / Criatura Lendária — Deus</t>
        </is>
      </c>
      <c r="C3101" s="13" t="inlineStr">
        <is>
          <t>Mythic / Mítica</t>
        </is>
      </c>
      <c r="D3101" s="13"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3101" s="13" t="inlineStr">
        <is>
          <t>{3}{B}{R}</t>
        </is>
      </c>
      <c r="F3101" s="13" t="inlineStr">
        <is>
          <t>Preto, Vermelho</t>
        </is>
      </c>
      <c r="G3101" s="8" t="n">
        <v>1</v>
      </c>
      <c r="H3101" s="13" t="inlineStr">
        <is>
          <t>Hour of Devastation (HOU)</t>
        </is>
      </c>
      <c r="I3101" s="13" t="inlineStr">
        <is>
          <t>Não</t>
        </is>
      </c>
      <c r="J3101" s="13" t="n">
        <v>2017</v>
      </c>
      <c r="K3101" s="10" t="n">
        <v>46148</v>
      </c>
      <c r="L3101" s="13" t="n">
        <v>1</v>
      </c>
      <c r="M3101" s="8">
        <f>L3101*G3101</f>
        <v/>
      </c>
      <c r="N3101" s="13" t="inlineStr">
        <is>
          <t>Pasta</t>
        </is>
      </c>
      <c r="P3101" s="9" t="n"/>
    </row>
    <row r="3102">
      <c r="A3102" s="13" t="inlineStr">
        <is>
          <t>The Shattered States Era // Nameless Conqueror / A Era dos Estados Despedaçados // Conquistador Sem Nome</t>
        </is>
      </c>
      <c r="B3102" s="13" t="inlineStr">
        <is>
          <t>Enchantment — Saga // Enchantment Creature — Human Samurai / Encantamento — Saga</t>
        </is>
      </c>
      <c r="C3102" s="13" t="inlineStr">
        <is>
          <t>Common / Comum</t>
        </is>
      </c>
      <c r="D3102" s="13"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3102" s="13" t="inlineStr">
        <is>
          <t>{4}{R}</t>
        </is>
      </c>
      <c r="F3102" s="13" t="inlineStr">
        <is>
          <t>Vermelho</t>
        </is>
      </c>
      <c r="G3102" s="8" t="n">
        <v>0.06</v>
      </c>
      <c r="H3102" s="13" t="inlineStr">
        <is>
          <t>Kamigawa: Neon Dynasty (NEO)</t>
        </is>
      </c>
      <c r="I3102" s="13" t="inlineStr">
        <is>
          <t>Não</t>
        </is>
      </c>
      <c r="J3102" s="13" t="n">
        <v>2022</v>
      </c>
      <c r="K3102" s="10" t="n">
        <v>46084</v>
      </c>
      <c r="L3102" s="13" t="n">
        <v>1</v>
      </c>
      <c r="M3102" s="8">
        <f>L3102*G3102</f>
        <v/>
      </c>
      <c r="P3102" s="9" t="n"/>
    </row>
    <row r="3103">
      <c r="A3103" s="13" t="inlineStr">
        <is>
          <t>The Spirit Oasis</t>
        </is>
      </c>
      <c r="B3103" s="13" t="inlineStr">
        <is>
          <t>Legendary Enchantment — Shrine</t>
        </is>
      </c>
      <c r="C3103" s="13" t="inlineStr">
        <is>
          <t>Uncommon / Incomum</t>
        </is>
      </c>
      <c r="D3103" s="13" t="inlineStr">
        <is>
          <t>When The Spirit Oasis enters, draw a card for each Shrine you control. Whenever another Shrine you control enters, draw a card.</t>
        </is>
      </c>
      <c r="E3103" s="13" t="inlineStr">
        <is>
          <t>{2}{U}</t>
        </is>
      </c>
      <c r="F3103" s="13" t="inlineStr">
        <is>
          <t>Azul</t>
        </is>
      </c>
      <c r="G3103" s="8" t="n">
        <v>0.2</v>
      </c>
      <c r="H3103" s="13" t="inlineStr">
        <is>
          <t>Avatar: The Last Airbender (TLA)</t>
        </is>
      </c>
      <c r="I3103" s="13" t="inlineStr">
        <is>
          <t>Não</t>
        </is>
      </c>
      <c r="J3103" s="13" t="n">
        <v>2025</v>
      </c>
      <c r="L3103" s="13" t="n">
        <v>1</v>
      </c>
      <c r="M3103" s="8">
        <f>L3103*G3103</f>
        <v/>
      </c>
      <c r="P3103" s="9" t="n"/>
    </row>
    <row r="3104">
      <c r="A3104" s="13" t="inlineStr">
        <is>
          <t>The Three Seasons / As Três Estações</t>
        </is>
      </c>
      <c r="B3104" s="13" t="inlineStr">
        <is>
          <t>Enchantment — Saga / Encantamento — Saga</t>
        </is>
      </c>
      <c r="C3104" s="13" t="inlineStr">
        <is>
          <t>Uncommon / Incomum</t>
        </is>
      </c>
      <c r="D3104" s="13"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3104" s="13" t="inlineStr">
        <is>
          <t>{G}{U}</t>
        </is>
      </c>
      <c r="F3104" s="13" t="inlineStr">
        <is>
          <t>Verde, Azul</t>
        </is>
      </c>
      <c r="G3104" s="8" t="n">
        <v>0.1</v>
      </c>
      <c r="H3104" s="13" t="inlineStr">
        <is>
          <t>Kaldheim (KHM)</t>
        </is>
      </c>
      <c r="I3104" s="13" t="inlineStr">
        <is>
          <t>Não</t>
        </is>
      </c>
      <c r="J3104" s="13" t="n">
        <v>2021</v>
      </c>
      <c r="L3104" s="13" t="n">
        <v>1</v>
      </c>
      <c r="M3104" s="8">
        <f>L3104*G3104</f>
        <v/>
      </c>
      <c r="P3104" s="9" t="n"/>
    </row>
    <row r="3105">
      <c r="A3105" s="13" t="inlineStr">
        <is>
          <t>The Wandering Minstrel / O Menestrel Errante</t>
        </is>
      </c>
      <c r="B3105" s="13" t="inlineStr">
        <is>
          <t>Criatura Lendária — Humano Bardo</t>
        </is>
      </c>
      <c r="C3105" s="13" t="inlineStr">
        <is>
          <t>Rara</t>
        </is>
      </c>
      <c r="D3105" s="13"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3105" s="13" t="inlineStr">
        <is>
          <t>GU</t>
        </is>
      </c>
      <c r="F3105" s="13" t="inlineStr">
        <is>
          <t>Verde e Azul</t>
        </is>
      </c>
      <c r="G3105" s="8" t="n">
        <v>2.9</v>
      </c>
      <c r="H3105" s="13" t="inlineStr">
        <is>
          <t>Final Fantasy</t>
        </is>
      </c>
      <c r="I3105" s="13" t="inlineStr">
        <is>
          <t>Não</t>
        </is>
      </c>
      <c r="J3105" s="13" t="n">
        <v>2025</v>
      </c>
      <c r="K3105" s="10" t="n">
        <v>46082</v>
      </c>
      <c r="L3105" s="13" t="n">
        <v>1</v>
      </c>
      <c r="M3105" s="8">
        <f>L3105*G3105</f>
        <v/>
      </c>
      <c r="P3105" s="9" t="n"/>
    </row>
    <row r="3106">
      <c r="A3106" s="13" t="inlineStr">
        <is>
          <t>The Wilds / As Terras Selvagens</t>
        </is>
      </c>
      <c r="B3106" s="13" t="inlineStr">
        <is>
          <t>Plane — Eldraine / Plano — Eldraine</t>
        </is>
      </c>
      <c r="C3106" s="13" t="inlineStr">
        <is>
          <t>Common / Comum</t>
        </is>
      </c>
      <c r="D3106" s="13"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3106" s="13" t="inlineStr">
        <is>
          <t>Incolor</t>
        </is>
      </c>
      <c r="G3106" s="8" t="n">
        <v>0.04</v>
      </c>
      <c r="H3106" s="13" t="inlineStr">
        <is>
          <t>March of the Machine Commander (MOC)</t>
        </is>
      </c>
      <c r="I3106" s="13" t="inlineStr">
        <is>
          <t>Não</t>
        </is>
      </c>
      <c r="J3106" s="13" t="n">
        <v>2023</v>
      </c>
      <c r="L3106" s="13" t="n">
        <v>1</v>
      </c>
      <c r="M3106" s="8">
        <f>L3106*G3106</f>
        <v/>
      </c>
      <c r="P3106" s="9" t="n"/>
    </row>
    <row r="3107">
      <c r="A3107" s="13" t="inlineStr">
        <is>
          <t>The Witch's Vanity / A Vaidade da Bruxa</t>
        </is>
      </c>
      <c r="B3107" s="13" t="inlineStr">
        <is>
          <t>Enchantment — Saga / Encantamento — Saga</t>
        </is>
      </c>
      <c r="C3107" s="13" t="inlineStr">
        <is>
          <t>Uncommon / Incomum</t>
        </is>
      </c>
      <c r="D3107" s="13"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3107" s="13" t="inlineStr">
        <is>
          <t>{1}{B}</t>
        </is>
      </c>
      <c r="F3107" s="13" t="inlineStr">
        <is>
          <t>Preto</t>
        </is>
      </c>
      <c r="G3107" s="8" t="n">
        <v>0.1</v>
      </c>
      <c r="H3107" s="13" t="inlineStr">
        <is>
          <t>Wilds of Eldraine (WOE)</t>
        </is>
      </c>
      <c r="I3107" s="13" t="inlineStr">
        <is>
          <t>Não</t>
        </is>
      </c>
      <c r="J3107" s="13" t="n">
        <v>2023</v>
      </c>
      <c r="L3107" s="13" t="n">
        <v>1</v>
      </c>
      <c r="M3107" s="8">
        <f>L3107*G3107</f>
        <v/>
      </c>
      <c r="P3107" s="9" t="n"/>
    </row>
    <row r="3108">
      <c r="A3108" s="13" t="inlineStr">
        <is>
          <t>Theater of Horrors / Teatro de Horrores</t>
        </is>
      </c>
      <c r="B3108" s="13" t="inlineStr">
        <is>
          <t>Enchantment / Encantamento</t>
        </is>
      </c>
      <c r="C3108" s="13" t="inlineStr">
        <is>
          <t>Rare / Rara</t>
        </is>
      </c>
      <c r="D3108" s="13"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3108" s="13" t="inlineStr">
        <is>
          <t>{1}{B}{R}</t>
        </is>
      </c>
      <c r="F3108" s="13" t="inlineStr">
        <is>
          <t>Preto, Vermelho</t>
        </is>
      </c>
      <c r="G3108" s="8" t="n">
        <v>0.25</v>
      </c>
      <c r="H3108" s="13" t="inlineStr">
        <is>
          <t>Forgotten Realms Commander</t>
        </is>
      </c>
      <c r="I3108" s="13" t="inlineStr">
        <is>
          <t>Não</t>
        </is>
      </c>
      <c r="J3108" s="13" t="n">
        <v>2021</v>
      </c>
      <c r="L3108" s="13" t="n">
        <v>1</v>
      </c>
      <c r="M3108" s="8">
        <f>L3108*G3108</f>
        <v/>
      </c>
      <c r="N3108" s="13" t="inlineStr">
        <is>
          <t>Bulk Shopee</t>
        </is>
      </c>
      <c r="P3108" s="9" t="n"/>
    </row>
    <row r="3109">
      <c r="A3109" s="13" t="inlineStr">
        <is>
          <t>Theater of Horrors / Teatro de Horrores</t>
        </is>
      </c>
      <c r="B3109" s="13" t="inlineStr">
        <is>
          <t>Enchantment / Encantamento</t>
        </is>
      </c>
      <c r="C3109" s="13" t="inlineStr">
        <is>
          <t>Rare / Rara</t>
        </is>
      </c>
      <c r="D3109" s="13"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3109" s="13" t="inlineStr">
        <is>
          <t>{1}{B}{R}</t>
        </is>
      </c>
      <c r="F3109" s="13" t="inlineStr">
        <is>
          <t>Preto, Vermelho</t>
        </is>
      </c>
      <c r="G3109" s="8" t="n">
        <v>0.25</v>
      </c>
      <c r="H3109" s="13" t="inlineStr">
        <is>
          <t>Ravnica Allegiance (RNA)</t>
        </is>
      </c>
      <c r="I3109" s="13" t="inlineStr">
        <is>
          <t>Não</t>
        </is>
      </c>
      <c r="J3109" s="13" t="n">
        <v>2019</v>
      </c>
      <c r="L3109" s="13" t="n">
        <v>4</v>
      </c>
      <c r="M3109" s="8">
        <f>L3109*G3109</f>
        <v/>
      </c>
      <c r="P3109" s="9" t="n"/>
    </row>
    <row r="3110">
      <c r="A3110" s="13" t="inlineStr">
        <is>
          <t>Théoden, Rei de Rohan / Théoden, King of Rohan</t>
        </is>
      </c>
      <c r="B3110" s="13" t="inlineStr">
        <is>
          <t>Criatura Lendária — Humano Nobre</t>
        </is>
      </c>
      <c r="C3110" s="13" t="inlineStr">
        <is>
          <t>Incomum</t>
        </is>
      </c>
      <c r="D3110" s="13" t="inlineStr">
        <is>
          <t>Toda vez que Théoden, Rei de Rohan, ou outro Humano entra no campo de batalha sob seu controle, a criatura alvo ganha golpe duplo até o final do turno.</t>
        </is>
      </c>
      <c r="E3110" s="13" t="inlineStr">
        <is>
          <t>1{R}{W}</t>
        </is>
      </c>
      <c r="F3110" s="13" t="inlineStr">
        <is>
          <t>Multicolorido (Vermelho e Branco)</t>
        </is>
      </c>
      <c r="G3110" s="8" t="n">
        <v>0.23</v>
      </c>
      <c r="H3110" s="13" t="inlineStr">
        <is>
          <t>The Lord of the Rings: Tales of Middle-earth (LTR)</t>
        </is>
      </c>
      <c r="I3110" s="13" t="inlineStr">
        <is>
          <t>Não</t>
        </is>
      </c>
      <c r="J3110" s="13" t="n">
        <v>2023</v>
      </c>
      <c r="K3110" s="10" t="n">
        <v>46083</v>
      </c>
      <c r="L3110" s="13" t="n">
        <v>1</v>
      </c>
      <c r="M3110" s="8">
        <f>L3110*G3110</f>
        <v/>
      </c>
      <c r="P3110" s="9" t="n"/>
    </row>
    <row r="3111">
      <c r="A3111" s="13" t="inlineStr">
        <is>
          <t>Thermal Glider / Planador Térmico</t>
        </is>
      </c>
      <c r="B3111" s="13" t="inlineStr">
        <is>
          <t>Creature — Rebel / Criatura — Rebelde</t>
        </is>
      </c>
      <c r="C3111" s="13" t="inlineStr">
        <is>
          <t>Common / Comum</t>
        </is>
      </c>
      <c r="D3111" s="13" t="inlineStr">
        <is>
          <t>Flying, protection from red. / Voar, proteção contra o vermelho.</t>
        </is>
      </c>
      <c r="E3111" s="13" t="inlineStr">
        <is>
          <t>{2}{W}</t>
        </is>
      </c>
      <c r="F3111" s="13" t="inlineStr">
        <is>
          <t>Branco</t>
        </is>
      </c>
      <c r="G3111" s="8" t="n">
        <v>0.19</v>
      </c>
      <c r="H3111" s="13" t="inlineStr">
        <is>
          <t>Mercadian Masques (MMQ)</t>
        </is>
      </c>
      <c r="I3111" s="13" t="inlineStr">
        <is>
          <t>No</t>
        </is>
      </c>
      <c r="J3111" s="13" t="n">
        <v>1999</v>
      </c>
      <c r="K3111" s="10" t="n">
        <v>46024</v>
      </c>
      <c r="L3111" s="13" t="n">
        <v>1</v>
      </c>
      <c r="M3111" s="8">
        <f>L3111*G3111</f>
        <v/>
      </c>
      <c r="P3111" s="9" t="n"/>
    </row>
    <row r="3112">
      <c r="A3112" s="13" t="inlineStr">
        <is>
          <t>Thieving Magpie / Gralha Larápia</t>
        </is>
      </c>
      <c r="B3112" s="13" t="inlineStr">
        <is>
          <t>Creature — Bird / Criatura — Ave</t>
        </is>
      </c>
      <c r="C3112" s="13" t="inlineStr">
        <is>
          <t>Uncommon / Incomum</t>
        </is>
      </c>
      <c r="D3112" s="13"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3112" s="13" t="inlineStr">
        <is>
          <t>{2}{U}{U}</t>
        </is>
      </c>
      <c r="F3112" s="13" t="inlineStr">
        <is>
          <t>Azul</t>
        </is>
      </c>
      <c r="G3112" s="8" t="n">
        <v>0.14</v>
      </c>
      <c r="H3112" s="13" t="inlineStr">
        <is>
          <t>Dominaria Remastered (DMR)</t>
        </is>
      </c>
      <c r="I3112" s="13" t="inlineStr">
        <is>
          <t>Não</t>
        </is>
      </c>
      <c r="J3112" s="13" t="n">
        <v>2023</v>
      </c>
      <c r="K3112" s="10" t="n">
        <v>46082</v>
      </c>
      <c r="L3112" s="13" t="n">
        <v>1</v>
      </c>
      <c r="M3112" s="8">
        <f>L3112*G3112</f>
        <v/>
      </c>
      <c r="P3112" s="9" t="n"/>
    </row>
    <row r="3113">
      <c r="A3113" s="13" t="inlineStr">
        <is>
          <t>Thieving Otter / Lontra Ladra</t>
        </is>
      </c>
      <c r="B3113" s="13" t="inlineStr">
        <is>
          <t>Creature — Otter / Criatura — Lontra</t>
        </is>
      </c>
      <c r="C3113" s="13" t="inlineStr">
        <is>
          <t>Common / Comum</t>
        </is>
      </c>
      <c r="D3113" s="13" t="inlineStr">
        <is>
          <t>Whenever this creature deals damage to an opponent, draw a card. / Toda vez que Lontra Ladra causar dano a um oponente, compre um card.</t>
        </is>
      </c>
      <c r="E3113" s="13" t="inlineStr">
        <is>
          <t>{2}{U}</t>
        </is>
      </c>
      <c r="F3113" s="13" t="inlineStr">
        <is>
          <t>Azul</t>
        </is>
      </c>
      <c r="G3113" s="8" t="n">
        <v>0.04</v>
      </c>
      <c r="H3113" s="13" t="inlineStr">
        <is>
          <t>Ikoria: Lair of Behemoths (IKO)</t>
        </is>
      </c>
      <c r="I3113" s="13" t="inlineStr">
        <is>
          <t>Não</t>
        </is>
      </c>
      <c r="J3113" s="13" t="n">
        <v>2020</v>
      </c>
      <c r="K3113" s="10" t="n">
        <v>46055</v>
      </c>
      <c r="L3113" s="13" t="n">
        <v>1</v>
      </c>
      <c r="M3113" s="8">
        <f>L3113*G3113</f>
        <v/>
      </c>
      <c r="P3113" s="9" t="n"/>
    </row>
    <row r="3114">
      <c r="A3114" s="13" t="inlineStr">
        <is>
          <t>Think Twice / Pensar Duas Vezes</t>
        </is>
      </c>
      <c r="B3114" s="13" t="inlineStr">
        <is>
          <t>Instant / Mágica Instantânea</t>
        </is>
      </c>
      <c r="C3114" s="13" t="inlineStr">
        <is>
          <t>Common / Comum</t>
        </is>
      </c>
      <c r="D3114" s="13" t="inlineStr">
        <is>
          <t>Draw a card. Flashback {2}{U} (You may cast this card from your graveyard for its flashback cost. Then exile it.) / Compre um card. Recapitular {2}{U} (Você pode conjurar este card de seu cemitério pagando seu custo de recapitular. Depois, exile-o.)</t>
        </is>
      </c>
      <c r="E3114" s="13" t="inlineStr">
        <is>
          <t>{1}{U}</t>
        </is>
      </c>
      <c r="F3114" s="13" t="inlineStr">
        <is>
          <t>Azul</t>
        </is>
      </c>
      <c r="G3114" s="8" t="n">
        <v>0.05</v>
      </c>
      <c r="H3114" s="13" t="inlineStr">
        <is>
          <t>Foundations (FDN)</t>
        </is>
      </c>
      <c r="I3114" s="13" t="inlineStr">
        <is>
          <t>Não</t>
        </is>
      </c>
      <c r="J3114" s="13" t="n">
        <v>2024</v>
      </c>
      <c r="L3114" s="13" t="n">
        <v>1</v>
      </c>
      <c r="M3114" s="8">
        <f>L3114*G3114</f>
        <v/>
      </c>
      <c r="P3114" s="9" t="n"/>
    </row>
    <row r="3115">
      <c r="A3115" s="13" t="inlineStr">
        <is>
          <t>Think Twice / Pensar Duas Vezes</t>
        </is>
      </c>
      <c r="B3115" s="13" t="inlineStr">
        <is>
          <t>Instant / Mágica Instantânea</t>
        </is>
      </c>
      <c r="C3115" s="13" t="inlineStr">
        <is>
          <t>Common / Comum</t>
        </is>
      </c>
      <c r="D3115" s="13" t="inlineStr">
        <is>
          <t>Draw a card. Flashback {2}{U} (You may cast this card from your graveyard for its flashback cost. Then exile it.) / Compre um card. Recapitular {2}{U} (Você pode conjurar este card de seu cemitério pagando seu custo de recapitular. Depois, exile-o.)</t>
        </is>
      </c>
      <c r="E3115" s="13" t="inlineStr">
        <is>
          <t>{1}{U}</t>
        </is>
      </c>
      <c r="F3115" s="13" t="inlineStr">
        <is>
          <t>Azul</t>
        </is>
      </c>
      <c r="G3115" s="8" t="n">
        <v>0.05</v>
      </c>
      <c r="H3115" s="13" t="inlineStr">
        <is>
          <t>Historic Anthology 4 (HA4)</t>
        </is>
      </c>
      <c r="I3115" s="13" t="inlineStr">
        <is>
          <t>Não</t>
        </is>
      </c>
      <c r="J3115" s="13" t="n">
        <v>2021</v>
      </c>
      <c r="L3115" s="13" t="n">
        <v>2</v>
      </c>
      <c r="M3115" s="8">
        <f>L3115*G3115</f>
        <v/>
      </c>
      <c r="P3115" s="9" t="n"/>
    </row>
    <row r="3116">
      <c r="A3116" s="13" t="inlineStr">
        <is>
          <t>Third Path Savant / Erudito da Terceira Via</t>
        </is>
      </c>
      <c r="B3116" s="13" t="inlineStr">
        <is>
          <t>Creature — Human Wizard / Criatura — Humano Mago</t>
        </is>
      </c>
      <c r="C3116" s="13" t="inlineStr">
        <is>
          <t>Common / Comum</t>
        </is>
      </c>
      <c r="D3116" s="13" t="inlineStr">
        <is>
          <t>{7}: Draw two cards. / {7}: Compre dois cards.</t>
        </is>
      </c>
      <c r="E3116" s="13" t="inlineStr">
        <is>
          <t>{2}{U}</t>
        </is>
      </c>
      <c r="F3116" s="13" t="inlineStr">
        <is>
          <t>Azul</t>
        </is>
      </c>
      <c r="G3116" s="8" t="n">
        <v>0.06</v>
      </c>
      <c r="H3116" s="13" t="inlineStr">
        <is>
          <t>The Brothers' War (BRO)</t>
        </is>
      </c>
      <c r="I3116" s="13" t="inlineStr">
        <is>
          <t>Não</t>
        </is>
      </c>
      <c r="J3116" s="13" t="n">
        <v>2022</v>
      </c>
      <c r="K3116" s="10" t="n">
        <v>46083</v>
      </c>
      <c r="L3116" s="13" t="n">
        <v>1</v>
      </c>
      <c r="M3116" s="8">
        <f>L3116*G3116</f>
        <v/>
      </c>
      <c r="P3116" s="9" t="n"/>
    </row>
    <row r="3117">
      <c r="A3117" s="13" t="inlineStr">
        <is>
          <t>Thirst for Identity</t>
        </is>
      </c>
      <c r="B3117" s="13" t="inlineStr">
        <is>
          <t>Instant</t>
        </is>
      </c>
      <c r="C3117" s="13" t="inlineStr">
        <is>
          <t>Uncommon</t>
        </is>
      </c>
      <c r="D3117" s="13" t="inlineStr">
        <is>
          <t>Draw three cards. Then discard two cards unless you discard a creature card.</t>
        </is>
      </c>
      <c r="E3117" s="13" t="inlineStr">
        <is>
          <t>{2}{U}</t>
        </is>
      </c>
      <c r="F3117" s="13" t="inlineStr">
        <is>
          <t>Blue</t>
        </is>
      </c>
      <c r="G3117" s="8" t="n">
        <v>0.09</v>
      </c>
      <c r="H3117" s="13" t="inlineStr">
        <is>
          <t>Lorwyn Eclipsed (ECL)</t>
        </is>
      </c>
      <c r="I3117" s="13" t="inlineStr">
        <is>
          <t>No</t>
        </is>
      </c>
      <c r="J3117" s="13" t="n">
        <v>2026</v>
      </c>
      <c r="L3117" s="13" t="n">
        <v>1</v>
      </c>
      <c r="M3117" s="8">
        <f>L3117*G3117</f>
        <v/>
      </c>
      <c r="P3117" s="9" t="n"/>
    </row>
    <row r="3118">
      <c r="A3118" s="13" t="inlineStr">
        <is>
          <t>Thornweald Archer / Arqueiro de Espinoflora</t>
        </is>
      </c>
      <c r="B3118" s="13" t="inlineStr">
        <is>
          <t>Creature — Elf Archer / Criatura — Elfo Arqueiro</t>
        </is>
      </c>
      <c r="C3118" s="13" t="inlineStr">
        <is>
          <t>Common / Comum</t>
        </is>
      </c>
      <c r="D3118" s="13" t="inlineStr">
        <is>
          <t>Reach (This creature can block creatures with flying.) Deathtouch (Any amount of damage this deals to a creature is enough to destroy it.) / Alcance, toque mortífero</t>
        </is>
      </c>
      <c r="E3118" s="13" t="inlineStr">
        <is>
          <t>{1}{G}</t>
        </is>
      </c>
      <c r="F3118" s="13" t="inlineStr">
        <is>
          <t>Verde</t>
        </is>
      </c>
      <c r="G3118" s="8" t="n">
        <v>0.2</v>
      </c>
      <c r="H3118" s="13" t="inlineStr">
        <is>
          <t>Commander 2014 (C14)</t>
        </is>
      </c>
      <c r="I3118" s="13" t="inlineStr">
        <is>
          <t>Não</t>
        </is>
      </c>
      <c r="J3118" s="13" t="n">
        <v>2014</v>
      </c>
      <c r="K3118" s="10" t="n">
        <v>46024</v>
      </c>
      <c r="L3118" s="13" t="n">
        <v>1</v>
      </c>
      <c r="M3118" s="8">
        <f>L3118*G3118</f>
        <v/>
      </c>
      <c r="P3118" s="9" t="n"/>
    </row>
    <row r="3119">
      <c r="A3119" s="13" t="inlineStr">
        <is>
          <t>Thought Collapse / Colapso do Pensamento</t>
        </is>
      </c>
      <c r="B3119" s="13" t="inlineStr">
        <is>
          <t>Instant / Mágica Instantânea</t>
        </is>
      </c>
      <c r="C3119" s="13" t="inlineStr">
        <is>
          <t>Common / Comum</t>
        </is>
      </c>
      <c r="D3119" s="13" t="inlineStr">
        <is>
          <t>Counter target spell. Its controller mills three cards. / Anule a mágica alvo. Seu controlador coloca os três cards do topo do próprio grimório no próprio cemitério.</t>
        </is>
      </c>
      <c r="E3119" s="13" t="inlineStr">
        <is>
          <t>{1}{U}{U}</t>
        </is>
      </c>
      <c r="F3119" s="13" t="inlineStr">
        <is>
          <t>Azul</t>
        </is>
      </c>
      <c r="G3119" s="8" t="n">
        <v>0.06</v>
      </c>
      <c r="H3119" s="13" t="inlineStr">
        <is>
          <t>Ravnica Allegiance (RNA)</t>
        </is>
      </c>
      <c r="I3119" s="13" t="inlineStr">
        <is>
          <t>Não</t>
        </is>
      </c>
      <c r="J3119" s="13" t="n">
        <v>2019</v>
      </c>
      <c r="L3119" s="13" t="n">
        <v>3</v>
      </c>
      <c r="M3119" s="8">
        <f>L3119*G3119</f>
        <v/>
      </c>
      <c r="P3119" s="9" t="n"/>
    </row>
    <row r="3120">
      <c r="A3120" s="13" t="inlineStr">
        <is>
          <t>Thought Scour / Purgar Pensamento</t>
        </is>
      </c>
      <c r="B3120" s="13" t="inlineStr">
        <is>
          <t>Instant / Mágica Instantânea</t>
        </is>
      </c>
      <c r="C3120" s="13" t="inlineStr">
        <is>
          <t>Common / Comum</t>
        </is>
      </c>
      <c r="D3120" s="13" t="inlineStr">
        <is>
          <t>Target player mills two cards. Draw a card. / O jogador alvo coloca os dois cards do topo do grimório dele no próprio cemitério. Compre um card.</t>
        </is>
      </c>
      <c r="E3120" s="13" t="inlineStr">
        <is>
          <t>{U}</t>
        </is>
      </c>
      <c r="F3120" s="13" t="inlineStr">
        <is>
          <t>Azul</t>
        </is>
      </c>
      <c r="G3120" s="8" t="n">
        <v>3.9</v>
      </c>
      <c r="H3120" s="13" t="inlineStr">
        <is>
          <t>Double Masters 2022 (2X2)</t>
        </is>
      </c>
      <c r="I3120" s="13" t="inlineStr">
        <is>
          <t>Não</t>
        </is>
      </c>
      <c r="J3120" s="13" t="n">
        <v>2022</v>
      </c>
      <c r="L3120" s="13" t="n">
        <v>1</v>
      </c>
      <c r="M3120" s="8">
        <f>L3120*G3120</f>
        <v/>
      </c>
      <c r="N3120" s="13" t="inlineStr">
        <is>
          <t>Pasta</t>
        </is>
      </c>
      <c r="P3120" s="9" t="n"/>
    </row>
    <row r="3121">
      <c r="A3121" s="13" t="inlineStr">
        <is>
          <t>Thought Shucker</t>
        </is>
      </c>
      <c r="B3121" s="13" t="inlineStr">
        <is>
          <t>Creature — Rat Rogue</t>
        </is>
      </c>
      <c r="C3121" s="13" t="inlineStr">
        <is>
          <t>Common / Comum</t>
        </is>
      </c>
      <c r="D3121" s="13" t="inlineStr">
        <is>
          <t>Threshold — {1}{U}: Put a +1/+1 counter on this creature and draw a card. Activate only if there are seven or more cards in your graveyard and only once.</t>
        </is>
      </c>
      <c r="E3121" s="13" t="inlineStr">
        <is>
          <t>{1}{U}</t>
        </is>
      </c>
      <c r="F3121" s="13" t="inlineStr">
        <is>
          <t>Azul</t>
        </is>
      </c>
      <c r="G3121" s="8" t="n">
        <v>0.06</v>
      </c>
      <c r="H3121" s="13" t="inlineStr">
        <is>
          <t>Bloomburrow (BLB)</t>
        </is>
      </c>
      <c r="I3121" s="13" t="inlineStr">
        <is>
          <t>Não</t>
        </is>
      </c>
      <c r="J3121" s="13" t="n">
        <v>2024</v>
      </c>
      <c r="K3121" s="10" t="n">
        <v>46082</v>
      </c>
      <c r="L3121" s="13" t="n">
        <v>1</v>
      </c>
      <c r="M3121" s="8">
        <f>L3121*G3121</f>
        <v/>
      </c>
      <c r="P3121" s="9" t="n"/>
    </row>
    <row r="3122">
      <c r="A3122" s="13" t="inlineStr">
        <is>
          <t>Thoughtrender Lamia / Lâmia Enlouquecedora</t>
        </is>
      </c>
      <c r="B3122" s="13" t="inlineStr">
        <is>
          <t>Enchantment Creature — Lamia / Criatura Encantamento — Lâmia</t>
        </is>
      </c>
      <c r="C3122" s="13" t="inlineStr">
        <is>
          <t>Uncommon / Incomum</t>
        </is>
      </c>
      <c r="D3122" s="13"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3122" s="13" t="inlineStr">
        <is>
          <t>{4}{B}{B}</t>
        </is>
      </c>
      <c r="F3122" s="13" t="inlineStr">
        <is>
          <t>Preto</t>
        </is>
      </c>
      <c r="G3122" s="8" t="n">
        <v>0.05</v>
      </c>
      <c r="H3122" s="13" t="inlineStr">
        <is>
          <t>Journey into Nyx (JOU)</t>
        </is>
      </c>
      <c r="I3122" s="13" t="inlineStr">
        <is>
          <t>Não</t>
        </is>
      </c>
      <c r="J3122" s="13" t="n">
        <v>2014</v>
      </c>
      <c r="K3122" s="10" t="n">
        <v>46086</v>
      </c>
      <c r="L3122" s="13" t="n">
        <v>1</v>
      </c>
      <c r="M3122" s="8">
        <f>L3122*G3122</f>
        <v/>
      </c>
      <c r="P3122" s="9" t="n"/>
    </row>
    <row r="3123">
      <c r="A3123" s="13" t="inlineStr">
        <is>
          <t>Thoughtweft Charge</t>
        </is>
      </c>
      <c r="B3123" s="13" t="inlineStr">
        <is>
          <t>Instant</t>
        </is>
      </c>
      <c r="C3123" s="13" t="inlineStr">
        <is>
          <t>Uncommon</t>
        </is>
      </c>
      <c r="D3123" s="13" t="inlineStr">
        <is>
          <t>Target creature gets +3/+3 until end of turn. If a creature entered the battlefield under your control this turn, draw a card.</t>
        </is>
      </c>
      <c r="E3123" s="13" t="inlineStr">
        <is>
          <t>{1}{G}</t>
        </is>
      </c>
      <c r="F3123" s="13" t="inlineStr">
        <is>
          <t>Verde</t>
        </is>
      </c>
      <c r="G3123" s="8" t="n">
        <v>0.18</v>
      </c>
      <c r="H3123" s="13" t="inlineStr">
        <is>
          <t>Lorwyn Eclipsed (ECL)</t>
        </is>
      </c>
      <c r="I3123" s="13" t="inlineStr">
        <is>
          <t>Não</t>
        </is>
      </c>
      <c r="J3123" s="13" t="n">
        <v>2026</v>
      </c>
      <c r="L3123" s="13" t="n">
        <v>1</v>
      </c>
      <c r="M3123" s="8">
        <f>L3123*G3123</f>
        <v/>
      </c>
      <c r="P3123" s="9" t="n"/>
    </row>
    <row r="3124">
      <c r="A3124" s="13" t="inlineStr">
        <is>
          <t>Thoughtweft Imbuer</t>
        </is>
      </c>
      <c r="B3124" s="13" t="inlineStr">
        <is>
          <t>Creature — Kithkin Advisor</t>
        </is>
      </c>
      <c r="C3124" s="13" t="inlineStr">
        <is>
          <t>Uncommon / Incomum</t>
        </is>
      </c>
      <c r="D3124" s="13" t="inlineStr">
        <is>
          <t>Whenever a creature you control attacks alone, it gets +X/+X until end of turn, where X is the number of Kithkin you control.</t>
        </is>
      </c>
      <c r="E3124" s="13" t="inlineStr">
        <is>
          <t>{3}{W}</t>
        </is>
      </c>
      <c r="F3124" s="13" t="inlineStr">
        <is>
          <t>Branco</t>
        </is>
      </c>
      <c r="G3124" s="8" t="n">
        <v>0.07000000000000001</v>
      </c>
      <c r="H3124" s="13" t="inlineStr">
        <is>
          <t>Lorwyn Eclipsed (ECL)</t>
        </is>
      </c>
      <c r="I3124" s="13" t="inlineStr">
        <is>
          <t>Não</t>
        </is>
      </c>
      <c r="J3124" s="13" t="n">
        <v>2026</v>
      </c>
      <c r="K3124" s="13" t="inlineStr">
        <is>
          <t>0/5</t>
        </is>
      </c>
      <c r="L3124" s="13" t="n">
        <v>1</v>
      </c>
      <c r="M3124" s="8">
        <f>L3124*G3124</f>
        <v/>
      </c>
      <c r="P3124" s="9" t="n"/>
    </row>
    <row r="3125">
      <c r="A3125" s="13" t="inlineStr">
        <is>
          <t>Thoughtweft Lieutenant</t>
        </is>
      </c>
      <c r="B3125" s="13" t="inlineStr">
        <is>
          <t>Creature — Kithkin Soldier</t>
        </is>
      </c>
      <c r="C3125" s="13" t="inlineStr">
        <is>
          <t>Uncommon / Incomum</t>
        </is>
      </c>
      <c r="D3125" s="13" t="inlineStr">
        <is>
          <t>Whenever this creature or another Kithkin you control enters, target creature you control gets +1/+1 and gains trample until end of turn.</t>
        </is>
      </c>
      <c r="E3125" s="13" t="inlineStr">
        <is>
          <t>{G}{W}</t>
        </is>
      </c>
      <c r="F3125" s="13" t="inlineStr">
        <is>
          <t>Verde, Branco</t>
        </is>
      </c>
      <c r="G3125" s="8" t="n">
        <v>0.2</v>
      </c>
      <c r="H3125" s="13" t="inlineStr">
        <is>
          <t>Lorwyn Eclipsed (ECL)</t>
        </is>
      </c>
      <c r="I3125" s="13" t="inlineStr">
        <is>
          <t>Não</t>
        </is>
      </c>
      <c r="J3125" s="13" t="n">
        <v>2026</v>
      </c>
      <c r="K3125" s="10" t="n">
        <v>46055</v>
      </c>
      <c r="L3125" s="13" t="n">
        <v>1</v>
      </c>
      <c r="M3125" s="8">
        <f>L3125*G3125</f>
        <v/>
      </c>
      <c r="P3125" s="9" t="n"/>
    </row>
    <row r="3126">
      <c r="A3126" s="13" t="inlineStr">
        <is>
          <t>Thousand Winds / Mil Ventos</t>
        </is>
      </c>
      <c r="B3126" s="13" t="inlineStr">
        <is>
          <t>Criatura — Elemental</t>
        </is>
      </c>
      <c r="C3126" s="13" t="inlineStr">
        <is>
          <t>Rara</t>
        </is>
      </c>
      <c r="D3126" s="13"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3126" s="13" t="inlineStr">
        <is>
          <t>4UU</t>
        </is>
      </c>
      <c r="F3126" s="13" t="inlineStr">
        <is>
          <t>Azul</t>
        </is>
      </c>
      <c r="G3126" s="8" t="n">
        <v>0.15</v>
      </c>
      <c r="H3126" s="13" t="inlineStr">
        <is>
          <t>Duel Decks: Speed vs. Cunning</t>
        </is>
      </c>
      <c r="I3126" s="13" t="inlineStr">
        <is>
          <t>Não</t>
        </is>
      </c>
      <c r="J3126" s="13" t="n">
        <v>2014</v>
      </c>
      <c r="K3126" s="10" t="n">
        <v>46178</v>
      </c>
      <c r="L3126" s="13" t="n">
        <v>1</v>
      </c>
      <c r="M3126" s="8">
        <f>L3126*G3126</f>
        <v/>
      </c>
      <c r="P3126" s="9" t="n"/>
    </row>
    <row r="3127">
      <c r="A3127" s="13" t="inlineStr">
        <is>
          <t>Thrash of Raptors / Bando de Raptores</t>
        </is>
      </c>
      <c r="B3127" s="13" t="inlineStr">
        <is>
          <t>Creature — Dinosaur / Criatura — Dinossauro</t>
        </is>
      </c>
      <c r="C3127" s="13" t="inlineStr">
        <is>
          <t>Common / Comum</t>
        </is>
      </c>
      <c r="D3127" s="13" t="inlineStr">
        <is>
          <t>As long as you control another Dinosaur, this creature gets +2/+0 and has trample. / Enquanto você controlar outro Dinossauro, Bando de Raptores receberá +2/+0 e terá atropelar.</t>
        </is>
      </c>
      <c r="E3127" s="13" t="inlineStr">
        <is>
          <t>{3}{R}</t>
        </is>
      </c>
      <c r="F3127" s="13" t="inlineStr">
        <is>
          <t>Vermelho</t>
        </is>
      </c>
      <c r="G3127" s="8" t="n">
        <v>0.03</v>
      </c>
      <c r="H3127" s="13" t="inlineStr">
        <is>
          <t>Ixalan (XLN)</t>
        </is>
      </c>
      <c r="I3127" s="13" t="inlineStr">
        <is>
          <t>Não</t>
        </is>
      </c>
      <c r="J3127" s="13" t="n">
        <v>2017</v>
      </c>
      <c r="K3127" s="10" t="n">
        <v>46084</v>
      </c>
      <c r="L3127" s="13" t="n">
        <v>1</v>
      </c>
      <c r="M3127" s="8">
        <f>L3127*G3127</f>
        <v/>
      </c>
      <c r="P3127" s="9" t="n"/>
    </row>
    <row r="3128">
      <c r="A3128" s="13" t="inlineStr">
        <is>
          <t>Threats Around Every Corner</t>
        </is>
      </c>
      <c r="B3128" s="13" t="inlineStr">
        <is>
          <t>Enchantment</t>
        </is>
      </c>
      <c r="C3128" s="13" t="inlineStr">
        <is>
          <t>Uncommon / Incomum</t>
        </is>
      </c>
      <c r="D3128" s="13" t="inlineStr">
        <is>
          <t>When this enchantment enters, manifest dread. Whenever a face-down permanent you control enters, search your library for a basic land card, put it onto the battlefield tapped, then shuffle.</t>
        </is>
      </c>
      <c r="E3128" s="13" t="inlineStr">
        <is>
          <t>{3}{G}</t>
        </is>
      </c>
      <c r="F3128" s="13" t="inlineStr">
        <is>
          <t>Verde</t>
        </is>
      </c>
      <c r="G3128" s="8" t="n">
        <v>0.09</v>
      </c>
      <c r="H3128" s="13" t="inlineStr">
        <is>
          <t>Duskmourn: House of Horror (DSK)</t>
        </is>
      </c>
      <c r="I3128" s="13" t="inlineStr">
        <is>
          <t>Não</t>
        </is>
      </c>
      <c r="J3128" s="13" t="n">
        <v>2024</v>
      </c>
      <c r="L3128" s="13" t="n">
        <v>2</v>
      </c>
      <c r="M3128" s="8">
        <f>L3128*G3128</f>
        <v/>
      </c>
      <c r="P3128" s="9" t="n"/>
    </row>
    <row r="3129">
      <c r="A3129" s="13" t="inlineStr">
        <is>
          <t>Thriving Ibex / Íbex Vigoroso</t>
        </is>
      </c>
      <c r="B3129" s="13" t="inlineStr">
        <is>
          <t>Creature — Goat / Criatura — Bode</t>
        </is>
      </c>
      <c r="C3129" s="13" t="inlineStr">
        <is>
          <t>Common / Comum</t>
        </is>
      </c>
      <c r="D3129" s="13"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3129" s="13" t="inlineStr">
        <is>
          <t>{3}{W}</t>
        </is>
      </c>
      <c r="F3129" s="13" t="inlineStr">
        <is>
          <t>Branco</t>
        </is>
      </c>
      <c r="G3129" s="8" t="n">
        <v>0.03</v>
      </c>
      <c r="H3129" s="13" t="inlineStr">
        <is>
          <t>Kaladesh (KLD)</t>
        </is>
      </c>
      <c r="I3129" s="13" t="inlineStr">
        <is>
          <t>Não</t>
        </is>
      </c>
      <c r="J3129" s="13" t="n">
        <v>2016</v>
      </c>
      <c r="K3129" s="10" t="n">
        <v>46114</v>
      </c>
      <c r="L3129" s="13" t="n">
        <v>2</v>
      </c>
      <c r="M3129" s="8">
        <f>L3129*G3129</f>
        <v/>
      </c>
      <c r="P3129" s="9" t="n"/>
    </row>
    <row r="3130">
      <c r="A3130" s="13" t="inlineStr">
        <is>
          <t>Thriving Skyclaw / Garra-aérea Vigorosa</t>
        </is>
      </c>
      <c r="B3130" s="13" t="inlineStr">
        <is>
          <t>Creature — Cat Dragon / Criatura — Felino Dragão</t>
        </is>
      </c>
      <c r="C3130" s="13" t="inlineStr">
        <is>
          <t>Common / Comum</t>
        </is>
      </c>
      <c r="D3130" s="13"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3130" s="13" t="inlineStr">
        <is>
          <t>{2}{R}{R}</t>
        </is>
      </c>
      <c r="F3130" s="13" t="inlineStr">
        <is>
          <t>Vermelho</t>
        </is>
      </c>
      <c r="G3130" s="8" t="n">
        <v>0.05</v>
      </c>
      <c r="H3130" s="13" t="inlineStr">
        <is>
          <t>Modern Horizons 3 (MH3)</t>
        </is>
      </c>
      <c r="I3130" s="13" t="inlineStr">
        <is>
          <t>Não</t>
        </is>
      </c>
      <c r="J3130" s="13" t="n">
        <v>2024</v>
      </c>
      <c r="K3130" s="10" t="n">
        <v>46056</v>
      </c>
      <c r="L3130" s="13" t="n">
        <v>1</v>
      </c>
      <c r="M3130" s="8">
        <f>L3130*G3130</f>
        <v/>
      </c>
      <c r="P3130" s="9" t="n"/>
    </row>
    <row r="3131">
      <c r="A3131" s="13" t="inlineStr">
        <is>
          <t>Throne of Bone / Trono de Ossos</t>
        </is>
      </c>
      <c r="B3131" s="13" t="inlineStr">
        <is>
          <t>Artifact / Artefato</t>
        </is>
      </c>
      <c r="C3131" s="13" t="inlineStr">
        <is>
          <t>Uncommon / Incomum</t>
        </is>
      </c>
      <c r="D3131" s="13" t="inlineStr">
        <is>
          <t>Whenever a player casts a black spell, you may pay {1}. If you do, you gain 1 life. / Toda vez que um jogador jogar uma mágica preta, você pode pagar {1}. Se o fizer, você ganha 1 ponto de vida.</t>
        </is>
      </c>
      <c r="E3131" s="13" t="inlineStr">
        <is>
          <t>{1}</t>
        </is>
      </c>
      <c r="F3131" s="13" t="inlineStr">
        <is>
          <t>Incolor</t>
        </is>
      </c>
      <c r="G3131" s="8" t="n">
        <v>0.43</v>
      </c>
      <c r="H3131" s="13" t="inlineStr">
        <is>
          <t>Fourth Edition (BB)</t>
        </is>
      </c>
      <c r="I3131" s="13" t="inlineStr">
        <is>
          <t>Não</t>
        </is>
      </c>
      <c r="J3131" s="13" t="n">
        <v>1995</v>
      </c>
      <c r="L3131" s="13" t="n">
        <v>3</v>
      </c>
      <c r="M3131" s="8">
        <f>L3131*G3131</f>
        <v/>
      </c>
      <c r="P3131" s="9" t="n"/>
    </row>
    <row r="3132">
      <c r="A3132" s="13" t="inlineStr">
        <is>
          <t>Thrull Retainer / Lacaio Thrull</t>
        </is>
      </c>
      <c r="B3132" s="13" t="inlineStr">
        <is>
          <t>Enchantment — Aura</t>
        </is>
      </c>
      <c r="C3132" s="13" t="inlineStr">
        <is>
          <t>Uncommon / Incomum</t>
        </is>
      </c>
      <c r="D3132" s="13" t="inlineStr">
        <is>
          <t>Enchant creature Enchanted creature gets +1/+1. Sacrifice this Aura: Regenerate enchanted creature.</t>
        </is>
      </c>
      <c r="E3132" s="13" t="inlineStr">
        <is>
          <t>{B}</t>
        </is>
      </c>
      <c r="F3132" s="13" t="inlineStr">
        <is>
          <t>Preto</t>
        </is>
      </c>
      <c r="G3132" s="8" t="n">
        <v>0.4</v>
      </c>
      <c r="H3132" s="13" t="inlineStr">
        <is>
          <t>Fallen Empires (FEM)</t>
        </is>
      </c>
      <c r="I3132" s="13" t="inlineStr">
        <is>
          <t>Não</t>
        </is>
      </c>
      <c r="J3132" s="13" t="n">
        <v>1994</v>
      </c>
      <c r="L3132" s="13" t="n">
        <v>1</v>
      </c>
      <c r="M3132" s="8">
        <f>L3132*G3132</f>
        <v/>
      </c>
      <c r="P3132" s="9" t="n"/>
    </row>
    <row r="3133">
      <c r="A3133" s="13" t="inlineStr">
        <is>
          <t>Thrum of the Vestige / Rumor do Vestígio</t>
        </is>
      </c>
      <c r="B3133" s="13" t="inlineStr">
        <is>
          <t>Mágica Instantânea</t>
        </is>
      </c>
      <c r="C3133" s="13" t="inlineStr">
        <is>
          <t>Incomum</t>
        </is>
      </c>
      <c r="D3133" s="13" t="inlineStr">
        <is>
          <t>Rumor do Vestígio causa 3 de dano a qualquer alvo.</t>
        </is>
      </c>
      <c r="E3133" s="13" t="inlineStr">
        <is>
          <t>R</t>
        </is>
      </c>
      <c r="F3133" s="13" t="inlineStr">
        <is>
          <t>Vermelho</t>
        </is>
      </c>
      <c r="G3133" s="8" t="n">
        <v>8.5</v>
      </c>
      <c r="H3133" s="13" t="inlineStr">
        <is>
          <t>Final Fantasy</t>
        </is>
      </c>
      <c r="I3133" s="13" t="inlineStr">
        <is>
          <t>Não</t>
        </is>
      </c>
      <c r="J3133" s="13" t="n">
        <v>2025</v>
      </c>
      <c r="L3133" s="13" t="n">
        <v>1</v>
      </c>
      <c r="M3133" s="8">
        <f>L3133*G3133</f>
        <v/>
      </c>
      <c r="P3133" s="9" t="n"/>
    </row>
    <row r="3134">
      <c r="A3134" s="13" t="inlineStr">
        <is>
          <t>Thryx, the Sudden Storm / Trix, a Tempestade Repentina</t>
        </is>
      </c>
      <c r="B3134" s="13" t="inlineStr">
        <is>
          <t>Legendary Creature — Elemental Giant / Criatura Lendária — Elemental Gigante</t>
        </is>
      </c>
      <c r="C3134" s="13" t="inlineStr">
        <is>
          <t>Rare / Rara</t>
        </is>
      </c>
      <c r="D3134" s="13"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3134" s="13" t="inlineStr">
        <is>
          <t>{3}{U}{U}</t>
        </is>
      </c>
      <c r="F3134" s="13" t="inlineStr">
        <is>
          <t>Azul</t>
        </is>
      </c>
      <c r="G3134" s="8" t="n">
        <v>1.13</v>
      </c>
      <c r="H3134" s="13" t="inlineStr">
        <is>
          <t>Theros Beyond Death (THB)</t>
        </is>
      </c>
      <c r="I3134" s="13" t="inlineStr">
        <is>
          <t>Não</t>
        </is>
      </c>
      <c r="J3134" s="13" t="n">
        <v>2020</v>
      </c>
      <c r="K3134" s="10" t="n">
        <v>46146</v>
      </c>
      <c r="L3134" s="13" t="n">
        <v>2</v>
      </c>
      <c r="M3134" s="8">
        <f>L3134*G3134</f>
        <v/>
      </c>
      <c r="P3134" s="9" t="n"/>
    </row>
    <row r="3135">
      <c r="A3135" s="13" t="inlineStr">
        <is>
          <t>Thunder Drake / Dragonete do Trovão</t>
        </is>
      </c>
      <c r="B3135" s="13" t="inlineStr">
        <is>
          <t>Creature — Elemental Drake / Criatura — Elemental Dragonete</t>
        </is>
      </c>
      <c r="C3135" s="13" t="inlineStr">
        <is>
          <t>Common / Comum</t>
        </is>
      </c>
      <c r="D3135" s="13" t="inlineStr">
        <is>
          <t>Flying Whenever you cast your second spell each turn, put a +1/+1 counter on this creature. / Voar Toda vez que você conjurar sua segunda mágica a cada turno, coloque um marcador +1/+1 em Dragonete do Trovão.</t>
        </is>
      </c>
      <c r="E3135" s="13" t="inlineStr">
        <is>
          <t>{3}{U}</t>
        </is>
      </c>
      <c r="F3135" s="13" t="inlineStr">
        <is>
          <t>Azul</t>
        </is>
      </c>
      <c r="G3135" s="8" t="n">
        <v>0.02</v>
      </c>
      <c r="H3135" s="13" t="inlineStr">
        <is>
          <t>War of the Spark (WAR)</t>
        </is>
      </c>
      <c r="I3135" s="13" t="inlineStr">
        <is>
          <t>Não</t>
        </is>
      </c>
      <c r="J3135" s="13" t="n">
        <v>2019</v>
      </c>
      <c r="K3135" s="10" t="n">
        <v>46083</v>
      </c>
      <c r="L3135" s="13" t="n">
        <v>1</v>
      </c>
      <c r="M3135" s="8">
        <f>L3135*G3135</f>
        <v/>
      </c>
      <c r="P3135" s="9" t="n"/>
    </row>
    <row r="3136">
      <c r="A3136" s="13" t="inlineStr">
        <is>
          <t>Thunder Magic / Magia de Trovão</t>
        </is>
      </c>
      <c r="B3136" s="13" t="inlineStr">
        <is>
          <t>Mágica Instantânea</t>
        </is>
      </c>
      <c r="C3136" s="13" t="inlineStr">
        <is>
          <t>Comum</t>
        </is>
      </c>
      <c r="D3136" s="13" t="inlineStr">
        <is>
          <t>Em camadas (Escolha um custo adicional.) • Thunder — {0} — Magia de Trovão causa 2 de dano à criatura alvo. • Thundara — {3} — Magia de Trovão causa 4 de dano à criatura alvo. • Thundaga — {5}{R} — Magia de Trovão causa 8 de dano à criatura alvo.</t>
        </is>
      </c>
      <c r="E3136" s="13" t="inlineStr">
        <is>
          <t>R</t>
        </is>
      </c>
      <c r="F3136" s="13" t="inlineStr">
        <is>
          <t>Vermelho</t>
        </is>
      </c>
      <c r="G3136" s="8" t="n">
        <v>0.15</v>
      </c>
      <c r="H3136" s="13" t="inlineStr">
        <is>
          <t>Final Fantasy</t>
        </is>
      </c>
      <c r="I3136" s="13" t="inlineStr">
        <is>
          <t>Não</t>
        </is>
      </c>
      <c r="J3136" s="13" t="n">
        <v>2025</v>
      </c>
      <c r="L3136" s="13" t="n">
        <v>3</v>
      </c>
      <c r="M3136" s="8">
        <f>L3136*G3136</f>
        <v/>
      </c>
      <c r="P3136" s="9" t="n"/>
    </row>
    <row r="3137">
      <c r="A3137" s="13" t="inlineStr">
        <is>
          <t>Thunder Magic / Magia de Trovão</t>
        </is>
      </c>
      <c r="B3137" s="13" t="inlineStr">
        <is>
          <t>Mágica Instantânea</t>
        </is>
      </c>
      <c r="C3137" s="13" t="inlineStr">
        <is>
          <t>Comum</t>
        </is>
      </c>
      <c r="D3137" s="13" t="inlineStr">
        <is>
          <t>Em camadas (Escolha um custo adicional.) • Thunder — {0} — Magia de Trovão causa 2 de dano à criatura alvo. • Thundara — {3} — Magia de Trovão causa 4 de dano à criatura alvo. • Thundaga — {5}{R} — Magia de Trovão causa 8 de dano à criatura alvo.</t>
        </is>
      </c>
      <c r="E3137" s="13" t="inlineStr">
        <is>
          <t>R</t>
        </is>
      </c>
      <c r="F3137" s="13" t="inlineStr">
        <is>
          <t>Vermelho</t>
        </is>
      </c>
      <c r="G3137" s="8" t="n">
        <v>0.45</v>
      </c>
      <c r="H3137" s="13" t="inlineStr">
        <is>
          <t>Final Fantasy</t>
        </is>
      </c>
      <c r="I3137" s="13" t="inlineStr">
        <is>
          <t>Sim</t>
        </is>
      </c>
      <c r="J3137" s="13" t="n">
        <v>2025</v>
      </c>
      <c r="L3137" s="13" t="n">
        <v>1</v>
      </c>
      <c r="M3137" s="8">
        <f>L3137*G3137</f>
        <v/>
      </c>
      <c r="P3137" s="9" t="n"/>
    </row>
    <row r="3138">
      <c r="A3138" s="13" t="inlineStr">
        <is>
          <t>Thundering Broodwagon</t>
        </is>
      </c>
      <c r="B3138" s="13" t="inlineStr">
        <is>
          <t>Artifact — Vehicle</t>
        </is>
      </c>
      <c r="C3138" s="13" t="inlineStr">
        <is>
          <t>Uncommon / Incomum</t>
        </is>
      </c>
      <c r="D3138" s="13" t="inlineStr">
        <is>
          <t>Menace, reach When this Vehicle enters, destroy target nonland permanent an opponent controls with mana value 4 or less. Crew 3 Cycling {2} ({2}, Discard this card: Draw a card.)</t>
        </is>
      </c>
      <c r="E3138" s="13" t="inlineStr">
        <is>
          <t>{2}{B}{B}{G}{G}</t>
        </is>
      </c>
      <c r="F3138" s="13" t="inlineStr">
        <is>
          <t>Preto, Verde</t>
        </is>
      </c>
      <c r="G3138" s="8" t="n">
        <v>0.25</v>
      </c>
      <c r="H3138" s="13" t="inlineStr">
        <is>
          <t>Aetherdrift (DFT)</t>
        </is>
      </c>
      <c r="I3138" s="13" t="inlineStr">
        <is>
          <t>Sim</t>
        </is>
      </c>
      <c r="J3138" s="13" t="n">
        <v>2025</v>
      </c>
      <c r="K3138" s="10" t="n">
        <v>46148</v>
      </c>
      <c r="L3138" s="13" t="n">
        <v>1</v>
      </c>
      <c r="M3138" s="8">
        <f>L3138*G3138</f>
        <v/>
      </c>
      <c r="P3138" s="9" t="n"/>
    </row>
    <row r="3139">
      <c r="A3139" s="13" t="inlineStr">
        <is>
          <t>Thundering Raiju / Raiju Trovejante</t>
        </is>
      </c>
      <c r="B3139" s="13" t="inlineStr">
        <is>
          <t>Creature — Spirit / Criatura — Espírito</t>
        </is>
      </c>
      <c r="C3139" s="13" t="inlineStr">
        <is>
          <t>Rare / Rara</t>
        </is>
      </c>
      <c r="D3139" s="13"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3139" s="13" t="inlineStr">
        <is>
          <t>{2}{R}{R}</t>
        </is>
      </c>
      <c r="F3139" s="13" t="inlineStr">
        <is>
          <t>Vermelho</t>
        </is>
      </c>
      <c r="G3139" s="8" t="n">
        <v>0.99</v>
      </c>
      <c r="H3139" s="13" t="inlineStr">
        <is>
          <t>Kamigawa: Neon Dynasty (NEO)</t>
        </is>
      </c>
      <c r="I3139" s="13" t="inlineStr">
        <is>
          <t>Não</t>
        </is>
      </c>
      <c r="J3139" s="13" t="n">
        <v>2022</v>
      </c>
      <c r="K3139" s="10" t="n">
        <v>46084</v>
      </c>
      <c r="L3139" s="13" t="n">
        <v>1</v>
      </c>
      <c r="M3139" s="8">
        <f>L3139*G3139</f>
        <v/>
      </c>
      <c r="P3139" s="9" t="n"/>
    </row>
    <row r="3140">
      <c r="A3140" s="13" t="inlineStr">
        <is>
          <t>Thundering Rebuke / Repreensão Trovejante</t>
        </is>
      </c>
      <c r="B3140" s="13" t="inlineStr">
        <is>
          <t>Sorcery / Feitiço</t>
        </is>
      </c>
      <c r="C3140" s="13" t="inlineStr">
        <is>
          <t>Uncommon / Incomum</t>
        </is>
      </c>
      <c r="D3140" s="13" t="inlineStr">
        <is>
          <t>Thundering Rebuke deals 4 damage to target creature or planeswalker. / Repreensão Trovejante causa 4 pontos de dano à criatura ou ao planeswalker alvo.</t>
        </is>
      </c>
      <c r="E3140" s="13" t="inlineStr">
        <is>
          <t>{1}{R}</t>
        </is>
      </c>
      <c r="F3140" s="13" t="inlineStr">
        <is>
          <t>Vermelho</t>
        </is>
      </c>
      <c r="G3140" s="8" t="n">
        <v>0.1</v>
      </c>
      <c r="H3140" s="13" t="inlineStr">
        <is>
          <t>Zendikar Rising (ZNR)</t>
        </is>
      </c>
      <c r="I3140" s="13" t="inlineStr">
        <is>
          <t>Não</t>
        </is>
      </c>
      <c r="J3140" s="13" t="n">
        <v>2020</v>
      </c>
      <c r="L3140" s="13" t="n">
        <v>1</v>
      </c>
      <c r="M3140" s="8">
        <f>L3140*G3140</f>
        <v/>
      </c>
      <c r="P3140" s="9" t="n"/>
    </row>
    <row r="3141">
      <c r="A3141" s="13" t="inlineStr">
        <is>
          <t>Thunderous Wrath / Ira Trovejante</t>
        </is>
      </c>
      <c r="B3141" s="13" t="inlineStr">
        <is>
          <t>Instant / Mágica Instantânea</t>
        </is>
      </c>
      <c r="C3141" s="13" t="inlineStr">
        <is>
          <t>Common / Comum</t>
        </is>
      </c>
      <c r="D3141" s="13"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3141" s="13" t="inlineStr">
        <is>
          <t>{4}{R}</t>
        </is>
      </c>
      <c r="F3141" s="13" t="inlineStr">
        <is>
          <t>Vermelho</t>
        </is>
      </c>
      <c r="G3141" s="8" t="n">
        <v>0.2</v>
      </c>
      <c r="H3141" s="13" t="inlineStr">
        <is>
          <t>Modern Masters 2017 (MM3)</t>
        </is>
      </c>
      <c r="I3141" s="13" t="inlineStr">
        <is>
          <t>Não</t>
        </is>
      </c>
      <c r="J3141" s="13" t="n">
        <v>2017</v>
      </c>
      <c r="L3141" s="13" t="n">
        <v>4</v>
      </c>
      <c r="M3141" s="8">
        <f>L3141*G3141</f>
        <v/>
      </c>
      <c r="P3141" s="9" t="n"/>
    </row>
    <row r="3142">
      <c r="A3142" s="13" t="inlineStr">
        <is>
          <t>Tiamat's Fanatics / Fanáticos de Tiamat</t>
        </is>
      </c>
      <c r="B3142" s="13" t="inlineStr">
        <is>
          <t>Creature — Dragon Warrior / Criatura — Dragão Guerreiro</t>
        </is>
      </c>
      <c r="C3142" s="13" t="inlineStr">
        <is>
          <t>Common / Comum</t>
        </is>
      </c>
      <c r="D3142" s="13"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3142" s="13" t="inlineStr">
        <is>
          <t>{4}{R}</t>
        </is>
      </c>
      <c r="F3142" s="13" t="inlineStr">
        <is>
          <t>Vermelho</t>
        </is>
      </c>
      <c r="G3142" s="8" t="n">
        <v>0.09</v>
      </c>
      <c r="H3142" s="13" t="inlineStr">
        <is>
          <t>Commander Legends: Battle for Baldur's Gate (CLB)</t>
        </is>
      </c>
      <c r="I3142" s="13" t="inlineStr">
        <is>
          <t>Não</t>
        </is>
      </c>
      <c r="J3142" s="13" t="n">
        <v>2022</v>
      </c>
      <c r="K3142" s="10" t="n">
        <v>46085</v>
      </c>
      <c r="L3142" s="13" t="n">
        <v>1</v>
      </c>
      <c r="M3142" s="8">
        <f>L3142*G3142</f>
        <v/>
      </c>
      <c r="P3142" s="9" t="n"/>
    </row>
    <row r="3143">
      <c r="A3143" s="13" t="inlineStr">
        <is>
          <t>Ticked Off / Irritado</t>
        </is>
      </c>
      <c r="B3143" s="13" t="inlineStr">
        <is>
          <t>Feitiço</t>
        </is>
      </c>
      <c r="C3143" s="13" t="inlineStr">
        <is>
          <t>Comum</t>
        </is>
      </c>
      <c r="D3143" s="13" t="inlineStr">
        <is>
          <t>A criatura alvo ganha golpe duplo até o final do turno. (Ela causa tanto dano de iniciativa quanto dano de combate normal.)</t>
        </is>
      </c>
      <c r="E3143" s="13" t="inlineStr">
        <is>
          <t>1{R}</t>
        </is>
      </c>
      <c r="F3143" s="13" t="inlineStr">
        <is>
          <t>Vermelho</t>
        </is>
      </c>
      <c r="G3143" s="8" t="n">
        <v>0.21</v>
      </c>
      <c r="H3143" s="13" t="inlineStr">
        <is>
          <t>Teenage Mutant Ninja Turtles</t>
        </is>
      </c>
      <c r="I3143" s="13" t="inlineStr">
        <is>
          <t>Não</t>
        </is>
      </c>
      <c r="J3143" s="13" t="n">
        <v>2026</v>
      </c>
      <c r="L3143" s="13" t="n">
        <v>2</v>
      </c>
      <c r="M3143" s="8">
        <f>L3143*G3143</f>
        <v/>
      </c>
      <c r="P3143" s="9" t="n"/>
    </row>
    <row r="3144">
      <c r="A3144" s="13" t="inlineStr">
        <is>
          <t>Tidus, Blitzball Star / Tidus, Astro do Blitzball</t>
        </is>
      </c>
      <c r="B3144" s="13" t="inlineStr">
        <is>
          <t>Criatura Lendária — Humano Guerreiro</t>
        </is>
      </c>
      <c r="C3144" s="13" t="inlineStr">
        <is>
          <t>Incomum</t>
        </is>
      </c>
      <c r="D3144" s="13" t="inlineStr">
        <is>
          <t>Sempre que um artefato que você controla entrar, coloque um marcador +1/+1 em Tidus. Sempre que Tidus atacar, vire a criatura alvo que um oponente controla.</t>
        </is>
      </c>
      <c r="E3144" s="13" t="inlineStr">
        <is>
          <t>1{W}{U}</t>
        </is>
      </c>
      <c r="F3144" s="13" t="inlineStr">
        <is>
          <t>Multicolorido (Branco/Azul)</t>
        </is>
      </c>
      <c r="G3144" s="8" t="n">
        <v>0.13</v>
      </c>
      <c r="H3144" s="13" t="inlineStr">
        <is>
          <t>Final Fantasy</t>
        </is>
      </c>
      <c r="I3144" s="13" t="inlineStr">
        <is>
          <t>Não</t>
        </is>
      </c>
      <c r="J3144" s="13" t="n">
        <v>2025</v>
      </c>
      <c r="K3144" s="10" t="n">
        <v>46024</v>
      </c>
      <c r="L3144" s="13" t="n">
        <v>1</v>
      </c>
      <c r="M3144" s="8">
        <f>L3144*G3144</f>
        <v/>
      </c>
      <c r="P3144" s="9" t="n"/>
    </row>
    <row r="3145">
      <c r="A3145" s="13" t="inlineStr">
        <is>
          <t>Tifa's Limit Break / Limit Break da Tifa</t>
        </is>
      </c>
      <c r="B3145" s="13" t="inlineStr">
        <is>
          <t>Mágica Instantânea</t>
        </is>
      </c>
      <c r="C3145" s="13" t="inlineStr">
        <is>
          <t>Incomum</t>
        </is>
      </c>
      <c r="D3145" s="13"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145" s="13" t="inlineStr">
        <is>
          <t>{G}</t>
        </is>
      </c>
      <c r="F3145" s="13" t="inlineStr">
        <is>
          <t>Verde</t>
        </is>
      </c>
      <c r="G3145" s="8" t="n">
        <v>0.2</v>
      </c>
      <c r="H3145" s="13" t="inlineStr">
        <is>
          <t>Final Fantasy</t>
        </is>
      </c>
      <c r="I3145" s="13" t="inlineStr">
        <is>
          <t>Não</t>
        </is>
      </c>
      <c r="J3145" s="13" t="n">
        <v>2025</v>
      </c>
      <c r="L3145" s="13" t="n">
        <v>2</v>
      </c>
      <c r="M3145" s="8">
        <f>L3145*G3145</f>
        <v/>
      </c>
      <c r="P3145" s="9" t="n"/>
    </row>
    <row r="3146">
      <c r="A3146" s="13" t="inlineStr">
        <is>
          <t>Tifa's Limit Break / Limit Break da Tifa</t>
        </is>
      </c>
      <c r="B3146" s="13" t="inlineStr">
        <is>
          <t>Mágica Instantânea</t>
        </is>
      </c>
      <c r="C3146" s="13" t="inlineStr">
        <is>
          <t>Incomum</t>
        </is>
      </c>
      <c r="D3146" s="13"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146" s="13" t="inlineStr">
        <is>
          <t>{G}</t>
        </is>
      </c>
      <c r="F3146" s="13" t="inlineStr">
        <is>
          <t>Verde</t>
        </is>
      </c>
      <c r="G3146" s="8" t="n">
        <v>1.28</v>
      </c>
      <c r="H3146" s="13" t="inlineStr">
        <is>
          <t>Final Fantasy</t>
        </is>
      </c>
      <c r="I3146" s="13" t="inlineStr">
        <is>
          <t>Sim</t>
        </is>
      </c>
      <c r="J3146" s="13" t="n">
        <v>2025</v>
      </c>
      <c r="L3146" s="13" t="n">
        <v>1</v>
      </c>
      <c r="M3146" s="8">
        <f>L3146*G3146</f>
        <v/>
      </c>
      <c r="P3146" s="9" t="n"/>
    </row>
    <row r="3147">
      <c r="A3147" s="13" t="inlineStr">
        <is>
          <t>Tiger-Dillo</t>
        </is>
      </c>
      <c r="B3147" s="13" t="inlineStr">
        <is>
          <t>Creature — Cat Armadillo</t>
        </is>
      </c>
      <c r="C3147" s="13" t="inlineStr">
        <is>
          <t>Uncommon / Incomum</t>
        </is>
      </c>
      <c r="D3147" s="13" t="inlineStr">
        <is>
          <t>This creature can't attack or block unless you control another creature with power 4 or greater.</t>
        </is>
      </c>
      <c r="E3147" s="13" t="inlineStr">
        <is>
          <t>{1}{R}</t>
        </is>
      </c>
      <c r="F3147" s="13" t="inlineStr">
        <is>
          <t>Vermelho</t>
        </is>
      </c>
      <c r="G3147" s="8" t="n">
        <v>0.14</v>
      </c>
      <c r="H3147" s="13" t="inlineStr">
        <is>
          <t>Avatar: The Last Airbender (TLA)</t>
        </is>
      </c>
      <c r="I3147" s="13" t="inlineStr">
        <is>
          <t>Não</t>
        </is>
      </c>
      <c r="J3147" s="13" t="n">
        <v>2025</v>
      </c>
      <c r="K3147" s="10" t="n">
        <v>46085</v>
      </c>
      <c r="L3147" s="13" t="n">
        <v>1</v>
      </c>
      <c r="M3147" s="8">
        <f>L3147*G3147</f>
        <v/>
      </c>
      <c r="P3147" s="9" t="n"/>
    </row>
    <row r="3148">
      <c r="A3148" s="13" t="inlineStr">
        <is>
          <t>Tiger-Dillo</t>
        </is>
      </c>
      <c r="B3148" s="13" t="inlineStr">
        <is>
          <t>Creature — Cat Armadillo</t>
        </is>
      </c>
      <c r="C3148" s="13" t="inlineStr">
        <is>
          <t>Uncommon / Incomum</t>
        </is>
      </c>
      <c r="D3148" s="13" t="inlineStr">
        <is>
          <t>This creature can't attack or block unless you control another creature with power 4 or greater.</t>
        </is>
      </c>
      <c r="E3148" s="13" t="inlineStr">
        <is>
          <t>{1}{R}</t>
        </is>
      </c>
      <c r="F3148" s="13" t="inlineStr">
        <is>
          <t>Vermelho</t>
        </is>
      </c>
      <c r="G3148" s="8" t="n">
        <v>0.1</v>
      </c>
      <c r="H3148" s="13" t="inlineStr">
        <is>
          <t>Avatar: The Last Airbender (TLA)</t>
        </is>
      </c>
      <c r="I3148" s="13" t="inlineStr">
        <is>
          <t>Sim</t>
        </is>
      </c>
      <c r="J3148" s="13" t="n">
        <v>2025</v>
      </c>
      <c r="K3148" s="10" t="n">
        <v>46085</v>
      </c>
      <c r="L3148" s="13" t="n">
        <v>1</v>
      </c>
      <c r="M3148" s="8">
        <f>L3148*G3148</f>
        <v/>
      </c>
      <c r="P3148" s="9" t="n"/>
    </row>
    <row r="3149">
      <c r="A3149" s="13" t="inlineStr">
        <is>
          <t>Tiger-Tribe Hunter / Caçadora da Tribo do Tigre</t>
        </is>
      </c>
      <c r="B3149" s="13" t="inlineStr">
        <is>
          <t>Creature — Human Barbarian / Criatura — Humano Bárbaro</t>
        </is>
      </c>
      <c r="C3149" s="13" t="inlineStr">
        <is>
          <t>Uncommon / Incomum</t>
        </is>
      </c>
      <c r="D3149" s="13"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3149" s="13" t="inlineStr">
        <is>
          <t>{3}{R}{R}</t>
        </is>
      </c>
      <c r="F3149" s="13" t="inlineStr">
        <is>
          <t>Vermelho</t>
        </is>
      </c>
      <c r="G3149" s="8" t="n">
        <v>0.04</v>
      </c>
      <c r="H3149" s="13" t="inlineStr">
        <is>
          <t>Adventures in the Forgotten Realms (AFR)</t>
        </is>
      </c>
      <c r="I3149" s="13" t="inlineStr">
        <is>
          <t>Não</t>
        </is>
      </c>
      <c r="J3149" s="13" t="n">
        <v>2021</v>
      </c>
      <c r="K3149" s="10" t="n">
        <v>46116</v>
      </c>
      <c r="L3149" s="13" t="n">
        <v>1</v>
      </c>
      <c r="M3149" s="8">
        <f>L3149*G3149</f>
        <v/>
      </c>
      <c r="P3149" s="9" t="n"/>
    </row>
    <row r="3150">
      <c r="A3150" s="13" t="inlineStr">
        <is>
          <t>Tilling Treefolk / Ent Lavrador</t>
        </is>
      </c>
      <c r="B3150" s="13" t="inlineStr">
        <is>
          <t>Creature — Treefolk Druid / Criatura — Ent Druida</t>
        </is>
      </c>
      <c r="C3150" s="13" t="inlineStr">
        <is>
          <t>Common / Comum</t>
        </is>
      </c>
      <c r="D3150" s="13" t="inlineStr">
        <is>
          <t>When Tilling Treefolk enters the battlefield, you may return up to two target land cards from your graveyard to your hand. / Quando Ent Lavrador entra em jogo, você pode devolver para a sua mão até dois cards de terreno alvo de seu cemitério.</t>
        </is>
      </c>
      <c r="E3150" s="13" t="inlineStr">
        <is>
          <t>{2}{G}</t>
        </is>
      </c>
      <c r="F3150" s="13" t="inlineStr">
        <is>
          <t>Verde</t>
        </is>
      </c>
      <c r="G3150" s="8" t="n">
        <v>0.85</v>
      </c>
      <c r="H3150" s="13" t="inlineStr">
        <is>
          <t>Eventide (EVE)</t>
        </is>
      </c>
      <c r="I3150" s="13" t="inlineStr">
        <is>
          <t>Não</t>
        </is>
      </c>
      <c r="J3150" s="13" t="n">
        <v>2008</v>
      </c>
      <c r="K3150" s="10" t="n">
        <v>46082</v>
      </c>
      <c r="L3150" s="13" t="n">
        <v>2</v>
      </c>
      <c r="M3150" s="8">
        <f>L3150*G3150</f>
        <v/>
      </c>
      <c r="P3150" s="9" t="n"/>
    </row>
    <row r="3151">
      <c r="A3151" s="13" t="inlineStr">
        <is>
          <t>Tilonalli's Knight / Cavaleiro de Tilonalli</t>
        </is>
      </c>
      <c r="B3151" s="13" t="inlineStr">
        <is>
          <t>Creature — Human Knight / Criatura — Humano Cavaleiro</t>
        </is>
      </c>
      <c r="C3151" s="13" t="inlineStr">
        <is>
          <t>Common / Comum</t>
        </is>
      </c>
      <c r="D3151" s="13" t="inlineStr">
        <is>
          <t>Whenever this creature attacks, if you control a Dinosaur, this creature gets +1/+1 until end of turn. / Toda vez que Cavaleiro de Tilonalli ataca, se você controlar um Dinossauro, Cavaleiro de Tilonalli recebe +1/+1 até o final do turno.</t>
        </is>
      </c>
      <c r="E3151" s="13" t="inlineStr">
        <is>
          <t>{1}{R}</t>
        </is>
      </c>
      <c r="F3151" s="13" t="inlineStr">
        <is>
          <t>Vermelho</t>
        </is>
      </c>
      <c r="G3151" s="8" t="n">
        <v>0.03</v>
      </c>
      <c r="H3151" s="13" t="inlineStr">
        <is>
          <t>Ixalan (XLN)</t>
        </is>
      </c>
      <c r="I3151" s="13" t="inlineStr">
        <is>
          <t>Não</t>
        </is>
      </c>
      <c r="J3151" s="13" t="n">
        <v>2017</v>
      </c>
      <c r="K3151" s="10" t="n">
        <v>46055</v>
      </c>
      <c r="L3151" s="13" t="n">
        <v>1</v>
      </c>
      <c r="M3151" s="8">
        <f>L3151*G3151</f>
        <v/>
      </c>
      <c r="P3151" s="9" t="n"/>
    </row>
    <row r="3152">
      <c r="A3152" s="13" t="inlineStr">
        <is>
          <t>Timberland Guide / Guia das Matas</t>
        </is>
      </c>
      <c r="B3152" s="13" t="inlineStr">
        <is>
          <t>Creature — Human Scout / Criatura — Humano Batedor</t>
        </is>
      </c>
      <c r="C3152" s="13" t="inlineStr">
        <is>
          <t>Common / Comum</t>
        </is>
      </c>
      <c r="D3152" s="13" t="inlineStr">
        <is>
          <t>When Timberland Guide enters the battlefield, put a +1/+1 counter on target creature. / Quando Guia das Matas entrar no campo de batalha, coloque um marcador +1/+1 na criatura alvo.</t>
        </is>
      </c>
      <c r="E3152" s="13" t="inlineStr">
        <is>
          <t>{1}{G}</t>
        </is>
      </c>
      <c r="F3152" s="13" t="inlineStr">
        <is>
          <t>Verde</t>
        </is>
      </c>
      <c r="G3152" s="8" t="n">
        <v>0.05</v>
      </c>
      <c r="H3152" s="13" t="inlineStr">
        <is>
          <t>Innistrad: Midnight Hunt (MID)</t>
        </is>
      </c>
      <c r="I3152" s="13" t="inlineStr">
        <is>
          <t>Não</t>
        </is>
      </c>
      <c r="J3152" s="13" t="n">
        <v>2021</v>
      </c>
      <c r="K3152" s="10" t="n">
        <v>46023</v>
      </c>
      <c r="L3152" s="13" t="n">
        <v>5</v>
      </c>
      <c r="M3152" s="8">
        <f>L3152*G3152</f>
        <v/>
      </c>
      <c r="P3152" s="9" t="n"/>
    </row>
    <row r="3153">
      <c r="A3153" s="13" t="inlineStr">
        <is>
          <t>Time Stop / Parar o Tempo</t>
        </is>
      </c>
      <c r="B3153" s="13" t="inlineStr">
        <is>
          <t>Instant / Mágica Instantânea</t>
        </is>
      </c>
      <c r="C3153" s="13" t="inlineStr">
        <is>
          <t>Rare / Rara</t>
        </is>
      </c>
      <c r="D3153" s="13"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3153" s="13" t="inlineStr">
        <is>
          <t>{4}{U}{U}</t>
        </is>
      </c>
      <c r="F3153" s="13" t="inlineStr">
        <is>
          <t>Azul</t>
        </is>
      </c>
      <c r="G3153" s="8" t="n">
        <v>0.09</v>
      </c>
      <c r="H3153" s="13" t="inlineStr">
        <is>
          <t>Champions of Kamigawa (CHK)</t>
        </is>
      </c>
      <c r="I3153" s="13" t="inlineStr">
        <is>
          <t>Não</t>
        </is>
      </c>
      <c r="J3153" s="13" t="n">
        <v>2004</v>
      </c>
      <c r="L3153" s="13" t="n">
        <v>1</v>
      </c>
      <c r="M3153" s="8">
        <f>L3153*G3153</f>
        <v/>
      </c>
      <c r="P3153" s="9" t="n"/>
    </row>
    <row r="3154">
      <c r="A3154" s="13" t="inlineStr">
        <is>
          <t>Tithe Drinker / Sugador de Dízimo</t>
        </is>
      </c>
      <c r="B3154" s="13" t="inlineStr">
        <is>
          <t>Creature — Vampire / Criatura — Vampiro</t>
        </is>
      </c>
      <c r="C3154" s="13" t="inlineStr">
        <is>
          <t>Common / Comum</t>
        </is>
      </c>
      <c r="D3154" s="13"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3154" s="13" t="inlineStr">
        <is>
          <t>{W}{B}</t>
        </is>
      </c>
      <c r="F3154" s="13" t="inlineStr">
        <is>
          <t>Preto, Branco</t>
        </is>
      </c>
      <c r="G3154" s="8" t="n">
        <v>1</v>
      </c>
      <c r="H3154" s="13" t="inlineStr">
        <is>
          <t>Dragon's Maze (DGM)</t>
        </is>
      </c>
      <c r="I3154" s="13" t="inlineStr">
        <is>
          <t>Sim</t>
        </is>
      </c>
      <c r="J3154" s="13" t="n">
        <v>2013</v>
      </c>
      <c r="K3154" s="10" t="n">
        <v>46024</v>
      </c>
      <c r="L3154" s="13" t="n">
        <v>1</v>
      </c>
      <c r="M3154" s="8">
        <f>L3154*G3154</f>
        <v/>
      </c>
      <c r="P3154" s="9" t="n"/>
    </row>
    <row r="3155">
      <c r="A3155" s="13" t="inlineStr">
        <is>
          <t>Tithe Drinker / Sugador de Dízimo</t>
        </is>
      </c>
      <c r="B3155" s="13" t="inlineStr">
        <is>
          <t>Creature — Vampire / Criatura — Vampiro</t>
        </is>
      </c>
      <c r="C3155" s="13" t="inlineStr">
        <is>
          <t>Common / Comum</t>
        </is>
      </c>
      <c r="D3155" s="13"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3155" s="13" t="inlineStr">
        <is>
          <t>{W}{B}</t>
        </is>
      </c>
      <c r="F3155" s="13" t="inlineStr">
        <is>
          <t>Preto, Branco</t>
        </is>
      </c>
      <c r="G3155" s="8" t="n">
        <v>0.17</v>
      </c>
      <c r="H3155" s="13" t="inlineStr">
        <is>
          <t>Dragon's Maze (DGM)</t>
        </is>
      </c>
      <c r="I3155" s="13" t="inlineStr">
        <is>
          <t>Não</t>
        </is>
      </c>
      <c r="J3155" s="13" t="n">
        <v>2013</v>
      </c>
      <c r="K3155" s="10" t="n">
        <v>46024</v>
      </c>
      <c r="L3155" s="13" t="n">
        <v>3</v>
      </c>
      <c r="M3155" s="8">
        <f>L3155*G3155</f>
        <v/>
      </c>
      <c r="P3155" s="9" t="n"/>
    </row>
    <row r="3156">
      <c r="A3156" s="13" t="inlineStr">
        <is>
          <t>Tithebearer Giant / Gigante Porta-dízimos</t>
        </is>
      </c>
      <c r="B3156" s="13" t="inlineStr">
        <is>
          <t>Creature — Giant Warrior / Criatura — Gigante Guerreiro</t>
        </is>
      </c>
      <c r="C3156" s="13" t="inlineStr">
        <is>
          <t>Common / Comum</t>
        </is>
      </c>
      <c r="D3156" s="13" t="inlineStr">
        <is>
          <t>When this creature enters, you draw a card and you lose 1 life. / Quando Gigante Porta-dízimos entra no campo de batalha, você compra um card e perde 1 ponto de vida.</t>
        </is>
      </c>
      <c r="E3156" s="13" t="inlineStr">
        <is>
          <t>{5}{B}</t>
        </is>
      </c>
      <c r="F3156" s="13" t="inlineStr">
        <is>
          <t>Preto</t>
        </is>
      </c>
      <c r="G3156" s="8" t="n">
        <v>0.02</v>
      </c>
      <c r="H3156" s="13" t="inlineStr">
        <is>
          <t>War of the Spark (WAR)</t>
        </is>
      </c>
      <c r="I3156" s="13" t="inlineStr">
        <is>
          <t>Não</t>
        </is>
      </c>
      <c r="J3156" s="13" t="n">
        <v>2019</v>
      </c>
      <c r="K3156" s="10" t="n">
        <v>46146</v>
      </c>
      <c r="L3156" s="13" t="n">
        <v>1</v>
      </c>
      <c r="M3156" s="8">
        <f>L3156*G3156</f>
        <v/>
      </c>
      <c r="P3156" s="9" t="n"/>
    </row>
    <row r="3157">
      <c r="A3157" s="13" t="inlineStr">
        <is>
          <t>Tobias Andrion</t>
        </is>
      </c>
      <c r="B3157" s="13" t="inlineStr">
        <is>
          <t>Legendary Creature — Human Advisor</t>
        </is>
      </c>
      <c r="C3157" s="13" t="inlineStr">
        <is>
          <t>Uncommon / Incomum</t>
        </is>
      </c>
      <c r="E3157" s="13" t="inlineStr">
        <is>
          <t>{3}{W}{U}</t>
        </is>
      </c>
      <c r="F3157" s="13" t="inlineStr">
        <is>
          <t>Azul, Branco</t>
        </is>
      </c>
      <c r="G3157" s="8" t="n">
        <v>0.21</v>
      </c>
      <c r="H3157" s="13" t="inlineStr">
        <is>
          <t>Chronicles</t>
        </is>
      </c>
      <c r="I3157" s="13" t="inlineStr">
        <is>
          <t>Não</t>
        </is>
      </c>
      <c r="J3157" s="13" t="n">
        <v>1995</v>
      </c>
      <c r="K3157" s="10" t="n">
        <v>46116</v>
      </c>
      <c r="L3157" s="13" t="n">
        <v>1</v>
      </c>
      <c r="M3157" s="8">
        <f>L3157*G3157</f>
        <v/>
      </c>
      <c r="P3157" s="9" t="n"/>
    </row>
    <row r="3158">
      <c r="A3158" s="13" t="inlineStr">
        <is>
          <t>Tocasia's Dig Site / Sítio de Escavação de Tocasia</t>
        </is>
      </c>
      <c r="B3158" s="13" t="inlineStr">
        <is>
          <t>Land / Terreno</t>
        </is>
      </c>
      <c r="C3158" s="13" t="inlineStr">
        <is>
          <t>Common / Comum</t>
        </is>
      </c>
      <c r="D3158" s="13" t="inlineStr">
        <is>
          <t>{T}: Add {C}. {3}, {T}: Surveil 1. (Look at the top card of your library. You may put it into your graveyard.) / {T}: Adicione {C}. {3}, {T}: Use vigiar 1. (Olhe o card do topo de seu grimório. Você pode colocar aquele card em seu cemitério.)</t>
        </is>
      </c>
      <c r="F3158" s="13" t="inlineStr">
        <is>
          <t>Incolor</t>
        </is>
      </c>
      <c r="G3158" s="8" t="n">
        <v>0.14</v>
      </c>
      <c r="H3158" s="13" t="inlineStr">
        <is>
          <t>The Brothers' War (BRO)</t>
        </is>
      </c>
      <c r="I3158" s="13" t="inlineStr">
        <is>
          <t>Não</t>
        </is>
      </c>
      <c r="J3158" s="13" t="n">
        <v>2022</v>
      </c>
      <c r="L3158" s="13" t="n">
        <v>1</v>
      </c>
      <c r="M3158" s="8">
        <f>L3158*G3158</f>
        <v/>
      </c>
      <c r="P3158" s="9" t="n"/>
    </row>
    <row r="3159">
      <c r="A3159" s="13" t="inlineStr">
        <is>
          <t>Tolarian Scholar / Escolástico Tolariano</t>
        </is>
      </c>
      <c r="B3159" s="13" t="inlineStr">
        <is>
          <t>Creature — Human Wizard / Criatura — Humano Mago</t>
        </is>
      </c>
      <c r="C3159" s="13" t="inlineStr">
        <is>
          <t>Common / Comum</t>
        </is>
      </c>
      <c r="E3159" s="13" t="inlineStr">
        <is>
          <t>{2}{U}</t>
        </is>
      </c>
      <c r="F3159" s="13" t="inlineStr">
        <is>
          <t>Azul</t>
        </is>
      </c>
      <c r="G3159" s="8" t="n">
        <v>0.03</v>
      </c>
      <c r="H3159" s="13" t="inlineStr">
        <is>
          <t>Core Set 2019 (M19)</t>
        </is>
      </c>
      <c r="I3159" s="13" t="inlineStr">
        <is>
          <t>Não</t>
        </is>
      </c>
      <c r="J3159" s="13" t="n">
        <v>2018</v>
      </c>
      <c r="K3159" s="10" t="n">
        <v>46083</v>
      </c>
      <c r="L3159" s="13" t="n">
        <v>3</v>
      </c>
      <c r="M3159" s="8">
        <f>L3159*G3159</f>
        <v/>
      </c>
      <c r="P3159" s="9" t="n"/>
    </row>
    <row r="3160">
      <c r="A3160" s="13" t="inlineStr">
        <is>
          <t>Tolarian Sentinel / Sentinela Tolariana</t>
        </is>
      </c>
      <c r="B3160" s="13" t="inlineStr">
        <is>
          <t>Creature — Human Spellshaper / Criatura — Humano Magimodelador</t>
        </is>
      </c>
      <c r="C3160" s="13" t="inlineStr">
        <is>
          <t>Common / Comum</t>
        </is>
      </c>
      <c r="D3160" s="13" t="inlineStr">
        <is>
          <t>Flying {U}, {T}, Discard a card: Return target permanent you control to its owner's hand. / Voar {U}, {T}, descarte um card: Devolva a permanente alvo que você controla para a mão de seu dono.</t>
        </is>
      </c>
      <c r="E3160" s="13" t="inlineStr">
        <is>
          <t>{3}{U}</t>
        </is>
      </c>
      <c r="F3160" s="13" t="inlineStr">
        <is>
          <t>Azul</t>
        </is>
      </c>
      <c r="G3160" s="8" t="n">
        <v>0.1</v>
      </c>
      <c r="H3160" s="13" t="inlineStr">
        <is>
          <t>Time Spiral Remastered (TSR)</t>
        </is>
      </c>
      <c r="I3160" s="13" t="inlineStr">
        <is>
          <t>Não</t>
        </is>
      </c>
      <c r="J3160" s="13" t="n">
        <v>2021</v>
      </c>
      <c r="K3160" s="10" t="n">
        <v>46082</v>
      </c>
      <c r="L3160" s="13" t="n">
        <v>1</v>
      </c>
      <c r="M3160" s="8">
        <f>L3160*G3160</f>
        <v/>
      </c>
      <c r="N3160" s="13" t="inlineStr">
        <is>
          <t>Bulk Shopee</t>
        </is>
      </c>
      <c r="P3160" s="9" t="n"/>
    </row>
    <row r="3161">
      <c r="A3161" s="13" t="inlineStr">
        <is>
          <t>Tolarian Terror / Terror Tolariano</t>
        </is>
      </c>
      <c r="B3161" s="13" t="inlineStr">
        <is>
          <t>Creature — Serpent / Criatura — Serpente</t>
        </is>
      </c>
      <c r="C3161" s="13" t="inlineStr">
        <is>
          <t>Common / Comum</t>
        </is>
      </c>
      <c r="D3161" s="13"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3161" s="13" t="inlineStr">
        <is>
          <t>{6}{U}</t>
        </is>
      </c>
      <c r="F3161" s="13" t="inlineStr">
        <is>
          <t>Azul</t>
        </is>
      </c>
      <c r="G3161" s="8" t="n">
        <v>0.1</v>
      </c>
      <c r="H3161" s="13" t="inlineStr">
        <is>
          <t>Foundations (FDN)</t>
        </is>
      </c>
      <c r="I3161" s="13" t="inlineStr">
        <is>
          <t>Não</t>
        </is>
      </c>
      <c r="J3161" s="13" t="n">
        <v>2024</v>
      </c>
      <c r="K3161" s="10" t="n">
        <v>46147</v>
      </c>
      <c r="L3161" s="13" t="n">
        <v>1</v>
      </c>
      <c r="M3161" s="8">
        <f>L3161*G3161</f>
        <v/>
      </c>
      <c r="P3161" s="9" t="n"/>
    </row>
    <row r="3162">
      <c r="A3162" s="13" t="inlineStr">
        <is>
          <t>Tome Anima / Anima dos Tomos</t>
        </is>
      </c>
      <c r="B3162" s="13" t="inlineStr">
        <is>
          <t>Creature — Spirit / Criatura — Espírito</t>
        </is>
      </c>
      <c r="C3162" s="13" t="inlineStr">
        <is>
          <t>Common / Comum</t>
        </is>
      </c>
      <c r="D3162" s="13" t="inlineStr">
        <is>
          <t>This creature can't be blocked as long as you've drawn two or more cards this turn. / Anima dos Tomos não pode ser bloqueado desde que você tenha comprado dois ou mais cards neste turno.</t>
        </is>
      </c>
      <c r="E3162" s="13" t="inlineStr">
        <is>
          <t>{3}{U}</t>
        </is>
      </c>
      <c r="F3162" s="13" t="inlineStr">
        <is>
          <t>Azul</t>
        </is>
      </c>
      <c r="G3162" s="8" t="n">
        <v>0.05</v>
      </c>
      <c r="H3162" s="13" t="inlineStr">
        <is>
          <t>Core Set 2021 (M21)</t>
        </is>
      </c>
      <c r="I3162" s="13" t="inlineStr">
        <is>
          <t>Sim</t>
        </is>
      </c>
      <c r="J3162" s="13" t="n">
        <v>2020</v>
      </c>
      <c r="K3162" s="10" t="n">
        <v>46084</v>
      </c>
      <c r="L3162" s="13" t="n">
        <v>1</v>
      </c>
      <c r="M3162" s="8">
        <f>L3162*G3162</f>
        <v/>
      </c>
      <c r="P3162" s="9" t="n"/>
    </row>
    <row r="3163">
      <c r="A3163" s="13" t="inlineStr">
        <is>
          <t>Tome Blast / Explosão de Tomo</t>
        </is>
      </c>
      <c r="B3163" s="13" t="inlineStr">
        <is>
          <t>Sorcery / Feitiço</t>
        </is>
      </c>
      <c r="C3163" s="13" t="inlineStr">
        <is>
          <t>Common / Comum</t>
        </is>
      </c>
      <c r="D3163" s="13"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3163" s="13" t="inlineStr">
        <is>
          <t>{1}{R}</t>
        </is>
      </c>
      <c r="F3163" s="13" t="inlineStr">
        <is>
          <t>Vermelho</t>
        </is>
      </c>
      <c r="G3163" s="8" t="n">
        <v>0.31</v>
      </c>
      <c r="H3163" s="13" t="inlineStr">
        <is>
          <t>Shadows of Sothia (SOS)</t>
        </is>
      </c>
      <c r="I3163" s="13" t="inlineStr">
        <is>
          <t>Sim</t>
        </is>
      </c>
      <c r="J3163" s="13" t="n">
        <v>2026</v>
      </c>
      <c r="L3163" s="13" t="n">
        <v>1</v>
      </c>
      <c r="M3163" s="8">
        <f>L3163*G3163</f>
        <v/>
      </c>
      <c r="P3163" s="9" t="n"/>
    </row>
    <row r="3164">
      <c r="A3164" s="13" t="inlineStr">
        <is>
          <t>Tome Raider / Saqueadora de Tomos</t>
        </is>
      </c>
      <c r="B3164" s="13" t="inlineStr">
        <is>
          <t>Creature — Faerie / Criatura — Fada</t>
        </is>
      </c>
      <c r="C3164" s="13" t="inlineStr">
        <is>
          <t>Common / Comum</t>
        </is>
      </c>
      <c r="D3164" s="13" t="inlineStr">
        <is>
          <t>Flying When this creature enters, draw a card. / Voar Quando Saqueadora de Tomos entrar no campo de batalha, compre um card.</t>
        </is>
      </c>
      <c r="E3164" s="13" t="inlineStr">
        <is>
          <t>{2}{U}</t>
        </is>
      </c>
      <c r="F3164" s="13" t="inlineStr">
        <is>
          <t>Azul</t>
        </is>
      </c>
      <c r="G3164" s="8" t="n">
        <v>0.06</v>
      </c>
      <c r="H3164" s="13" t="inlineStr">
        <is>
          <t>Throne of Eldraine (ELD)</t>
        </is>
      </c>
      <c r="I3164" s="13" t="inlineStr">
        <is>
          <t>Não</t>
        </is>
      </c>
      <c r="J3164" s="13" t="n">
        <v>2019</v>
      </c>
      <c r="K3164" s="10" t="n">
        <v>46023</v>
      </c>
      <c r="L3164" s="13" t="n">
        <v>1</v>
      </c>
      <c r="M3164" s="8">
        <f>L3164*G3164</f>
        <v/>
      </c>
      <c r="P3164" s="9" t="n"/>
    </row>
    <row r="3165">
      <c r="A3165" s="13" t="inlineStr">
        <is>
          <t>Tonberry / Tonberry</t>
        </is>
      </c>
      <c r="B3165" s="13" t="inlineStr">
        <is>
          <t>Criatura — Salamandra Horror</t>
        </is>
      </c>
      <c r="C3165" s="13" t="inlineStr">
        <is>
          <t>Incomum</t>
        </is>
      </c>
      <c r="D3165" s="13" t="inlineStr">
        <is>
          <t>Esta criatura entra virada com um marcador de atordoamento nela. (Se ela fosse ser desvirada, em vez disso, remova um marcador de atordoamento dela.) Faca de Chef — Durante o seu turno, esta criatura tem iniciativa e toque mortífero.</t>
        </is>
      </c>
      <c r="E3165" s="13" t="inlineStr">
        <is>
          <t>{B}</t>
        </is>
      </c>
      <c r="F3165" s="13" t="inlineStr">
        <is>
          <t>Preto</t>
        </is>
      </c>
      <c r="G3165" s="8" t="n">
        <v>0.2</v>
      </c>
      <c r="H3165" s="13" t="inlineStr">
        <is>
          <t>Final Fantasy</t>
        </is>
      </c>
      <c r="I3165" s="13" t="inlineStr">
        <is>
          <t>Não</t>
        </is>
      </c>
      <c r="J3165" s="13" t="n">
        <v>2025</v>
      </c>
      <c r="K3165" s="10" t="n">
        <v>46024</v>
      </c>
      <c r="L3165" s="13" t="n">
        <v>1</v>
      </c>
      <c r="M3165" s="8">
        <f>L3165*G3165</f>
        <v/>
      </c>
      <c r="P3165" s="9" t="n"/>
    </row>
    <row r="3166">
      <c r="A3166" s="13" t="inlineStr">
        <is>
          <t>Tonel-mãe Phyrexiano / Phyrexian Vatmother</t>
        </is>
      </c>
      <c r="B3166" s="13" t="inlineStr">
        <is>
          <t>Criatura — Horror / Creature — Horror</t>
        </is>
      </c>
      <c r="C3166" s="13" t="inlineStr">
        <is>
          <t>Rara / Rare</t>
        </is>
      </c>
      <c r="D3166" s="13"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3166" s="13" t="inlineStr">
        <is>
          <t>{2}{B}{B}</t>
        </is>
      </c>
      <c r="F3166" s="13" t="inlineStr">
        <is>
          <t>Preto / Black</t>
        </is>
      </c>
      <c r="G3166" s="8" t="n">
        <v>0.8</v>
      </c>
      <c r="H3166" s="13" t="inlineStr">
        <is>
          <t>Mirrodin Besieged (MBS)</t>
        </is>
      </c>
      <c r="I3166" s="13" t="inlineStr">
        <is>
          <t>Não</t>
        </is>
      </c>
      <c r="J3166" s="13" t="n">
        <v>2011</v>
      </c>
      <c r="K3166" s="10" t="n">
        <v>46146</v>
      </c>
      <c r="L3166" s="13" t="n">
        <v>1</v>
      </c>
      <c r="M3166" s="8">
        <f>L3166*G3166</f>
        <v/>
      </c>
      <c r="P3166" s="9" t="n"/>
    </row>
    <row r="3167">
      <c r="A3167" s="13" t="inlineStr">
        <is>
          <t>Toph, Hardheaded Teacher</t>
        </is>
      </c>
      <c r="B3167" s="13" t="inlineStr">
        <is>
          <t>Legendary Creature — Human Warrior Ally</t>
        </is>
      </c>
      <c r="C3167" s="13" t="inlineStr">
        <is>
          <t>Rare / Rara</t>
        </is>
      </c>
      <c r="D3167" s="13"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3167" s="13" t="inlineStr">
        <is>
          <t>{2}{R}{G}</t>
        </is>
      </c>
      <c r="F3167" s="13" t="inlineStr">
        <is>
          <t>Verde, Vermelho</t>
        </is>
      </c>
      <c r="G3167" s="8" t="n">
        <v>0.99</v>
      </c>
      <c r="H3167" s="13" t="inlineStr">
        <is>
          <t>Avatar: The Last Airbender (TLA)</t>
        </is>
      </c>
      <c r="I3167" s="13" t="inlineStr">
        <is>
          <t>Não</t>
        </is>
      </c>
      <c r="J3167" s="13" t="n">
        <v>2025</v>
      </c>
      <c r="K3167" s="10" t="n">
        <v>46115</v>
      </c>
      <c r="L3167" s="13" t="n">
        <v>1</v>
      </c>
      <c r="M3167" s="8">
        <f>L3167*G3167</f>
        <v/>
      </c>
      <c r="P3167" s="9" t="n"/>
    </row>
    <row r="3168">
      <c r="A3168" s="13" t="inlineStr">
        <is>
          <t>Toph, the Blind Bandit</t>
        </is>
      </c>
      <c r="B3168" s="13" t="inlineStr">
        <is>
          <t>Legendary Creature — Human Warrior Ally</t>
        </is>
      </c>
      <c r="C3168" s="13" t="inlineStr">
        <is>
          <t>Uncommon / Incomum</t>
        </is>
      </c>
      <c r="D3168" s="13"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3168" s="13" t="inlineStr">
        <is>
          <t>{2}{G}</t>
        </is>
      </c>
      <c r="F3168" s="13" t="inlineStr">
        <is>
          <t>Verde</t>
        </is>
      </c>
      <c r="G3168" s="8" t="n">
        <v>0.2</v>
      </c>
      <c r="H3168" s="13" t="inlineStr">
        <is>
          <t>Avatar: The Last Airbender (TLA)</t>
        </is>
      </c>
      <c r="I3168" s="13" t="inlineStr">
        <is>
          <t>Não</t>
        </is>
      </c>
      <c r="J3168" s="13" t="n">
        <v>2025</v>
      </c>
      <c r="K3168" s="13" t="inlineStr">
        <is>
          <t>*/3</t>
        </is>
      </c>
      <c r="L3168" s="13" t="n">
        <v>2</v>
      </c>
      <c r="M3168" s="8">
        <f>L3168*G3168</f>
        <v/>
      </c>
      <c r="P3168" s="9" t="n"/>
    </row>
    <row r="3169">
      <c r="A3169" s="13" t="inlineStr">
        <is>
          <t>Topiary Lecturer / Conferencista de Topiaria</t>
        </is>
      </c>
      <c r="B3169" s="13" t="inlineStr">
        <is>
          <t>Creature — Elf Druid / Criatura — Elfo Druida</t>
        </is>
      </c>
      <c r="C3169" s="13" t="inlineStr">
        <is>
          <t>Uncommon / Incomum</t>
        </is>
      </c>
      <c r="D3169" s="13"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3169" s="13" t="inlineStr">
        <is>
          <t>{2}{G}</t>
        </is>
      </c>
      <c r="F3169" s="13" t="inlineStr">
        <is>
          <t>Verde</t>
        </is>
      </c>
      <c r="G3169" s="8" t="n">
        <v>0.3</v>
      </c>
      <c r="H3169" s="13" t="inlineStr">
        <is>
          <t>Shadows of Sothia (SOS)</t>
        </is>
      </c>
      <c r="I3169" s="13" t="inlineStr">
        <is>
          <t>No</t>
        </is>
      </c>
      <c r="J3169" s="13" t="n">
        <v>2026</v>
      </c>
      <c r="K3169" s="10" t="n">
        <v>46054</v>
      </c>
      <c r="L3169" s="13" t="n">
        <v>2</v>
      </c>
      <c r="M3169" s="8">
        <f>L3169*G3169</f>
        <v/>
      </c>
      <c r="P3169" s="9" t="n"/>
    </row>
    <row r="3170">
      <c r="A3170" s="13" t="inlineStr">
        <is>
          <t>Topiary Stomper / Pisoteador de Topiaria</t>
        </is>
      </c>
      <c r="B3170" s="13" t="inlineStr">
        <is>
          <t>Creature — Plant Dinosaur / Criatura — Planta Dinossauro</t>
        </is>
      </c>
      <c r="C3170" s="13" t="inlineStr">
        <is>
          <t>Rare / Raro</t>
        </is>
      </c>
      <c r="D3170" s="13"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3170" s="13" t="inlineStr">
        <is>
          <t>{1}{G}{G}</t>
        </is>
      </c>
      <c r="F3170" s="13" t="inlineStr">
        <is>
          <t>Verde</t>
        </is>
      </c>
      <c r="G3170" s="8" t="n">
        <v>4.9</v>
      </c>
      <c r="H3170" s="13" t="inlineStr">
        <is>
          <t>Streets of New Capenna (SNC)</t>
        </is>
      </c>
      <c r="I3170" s="13" t="inlineStr">
        <is>
          <t>Não</t>
        </is>
      </c>
      <c r="J3170" s="13" t="n">
        <v>2022</v>
      </c>
      <c r="K3170" s="10" t="n">
        <v>46116</v>
      </c>
      <c r="L3170" s="13" t="n">
        <v>1</v>
      </c>
      <c r="M3170" s="8">
        <f>L3170*G3170</f>
        <v/>
      </c>
      <c r="P3170" s="9" t="n"/>
    </row>
    <row r="3171">
      <c r="A3171" s="13" t="inlineStr">
        <is>
          <t>Topple the Statue / Derrubar a Estátua</t>
        </is>
      </c>
      <c r="B3171" s="13" t="inlineStr">
        <is>
          <t>Instant / Mágica Instantânea</t>
        </is>
      </c>
      <c r="C3171" s="13" t="inlineStr">
        <is>
          <t>Common / Comum</t>
        </is>
      </c>
      <c r="D3171" s="13" t="inlineStr">
        <is>
          <t>Tap target permanent. If it's an artifact, destroy it. Draw a card. / Vire a permanente alvo. Se ela for um artefato, destrua-a. Compre um card.</t>
        </is>
      </c>
      <c r="E3171" s="13" t="inlineStr">
        <is>
          <t>{2}{W}</t>
        </is>
      </c>
      <c r="F3171" s="13" t="inlineStr">
        <is>
          <t>Branco</t>
        </is>
      </c>
      <c r="G3171" s="8" t="n">
        <v>0.02</v>
      </c>
      <c r="H3171" s="13" t="inlineStr">
        <is>
          <t>War of the Spark (WAR)</t>
        </is>
      </c>
      <c r="I3171" s="13" t="inlineStr">
        <is>
          <t>Não</t>
        </is>
      </c>
      <c r="J3171" s="13" t="n">
        <v>2019</v>
      </c>
      <c r="L3171" s="13" t="n">
        <v>2</v>
      </c>
      <c r="M3171" s="8">
        <f>L3171*G3171</f>
        <v/>
      </c>
      <c r="P3171" s="9" t="n"/>
    </row>
    <row r="3172">
      <c r="A3172" s="13" t="inlineStr">
        <is>
          <t>Toque de Luvalua / Touch of Moonglove</t>
        </is>
      </c>
      <c r="B3172" s="13" t="inlineStr">
        <is>
          <t>Mágica Instantânea / Instant</t>
        </is>
      </c>
      <c r="C3172" s="13" t="inlineStr">
        <is>
          <t>Comum / Common</t>
        </is>
      </c>
      <c r="D3172" s="13"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3172" s="13" t="inlineStr">
        <is>
          <t>{B}</t>
        </is>
      </c>
      <c r="F3172" s="13" t="inlineStr">
        <is>
          <t>Preto / Black</t>
        </is>
      </c>
      <c r="G3172" s="8" t="n">
        <v>0.08</v>
      </c>
      <c r="H3172" s="13" t="inlineStr">
        <is>
          <t>Magic Origins (ORI)</t>
        </is>
      </c>
      <c r="I3172" s="13" t="inlineStr">
        <is>
          <t>Não</t>
        </is>
      </c>
      <c r="J3172" s="13" t="n">
        <v>2015</v>
      </c>
      <c r="L3172" s="13" t="n">
        <v>3</v>
      </c>
      <c r="M3172" s="8">
        <f>L3172*G3172</f>
        <v/>
      </c>
      <c r="P3172" s="9" t="n"/>
    </row>
    <row r="3173">
      <c r="A3173" s="13" t="inlineStr">
        <is>
          <t>Tor Giant / Gigante dos Picos Rochosos</t>
        </is>
      </c>
      <c r="B3173" s="13" t="inlineStr">
        <is>
          <t>Creature — Giant</t>
        </is>
      </c>
      <c r="C3173" s="13" t="inlineStr">
        <is>
          <t>Common / Comum</t>
        </is>
      </c>
      <c r="E3173" s="13" t="inlineStr">
        <is>
          <t>{3}{R}</t>
        </is>
      </c>
      <c r="F3173" s="13" t="inlineStr">
        <is>
          <t>Vermelho</t>
        </is>
      </c>
      <c r="G3173" s="8" t="n">
        <v>0.04</v>
      </c>
      <c r="H3173" s="13" t="inlineStr">
        <is>
          <t>Ice Age (ICE)</t>
        </is>
      </c>
      <c r="I3173" s="13" t="inlineStr">
        <is>
          <t>Não</t>
        </is>
      </c>
      <c r="J3173" s="13" t="n">
        <v>1995</v>
      </c>
      <c r="K3173" s="10" t="n">
        <v>46084</v>
      </c>
      <c r="L3173" s="13" t="n">
        <v>2</v>
      </c>
      <c r="M3173" s="8">
        <f>L3173*G3173</f>
        <v/>
      </c>
      <c r="P3173" s="9" t="n"/>
    </row>
    <row r="3174">
      <c r="A3174" s="13" t="inlineStr">
        <is>
          <t>Tor Wauki</t>
        </is>
      </c>
      <c r="B3174" s="13" t="inlineStr">
        <is>
          <t>Legendary Creature — Human Archer</t>
        </is>
      </c>
      <c r="C3174" s="13" t="inlineStr">
        <is>
          <t>Uncommon / Incomum</t>
        </is>
      </c>
      <c r="D3174" s="13" t="inlineStr">
        <is>
          <t>{T}: Tor Wauki deals 2 damage to target attacking or blocking creature.</t>
        </is>
      </c>
      <c r="E3174" s="13" t="inlineStr">
        <is>
          <t>{2}{B}{B}{R}</t>
        </is>
      </c>
      <c r="F3174" s="13" t="inlineStr">
        <is>
          <t>Preto, Vermelho</t>
        </is>
      </c>
      <c r="G3174" s="8" t="n">
        <v>0.21</v>
      </c>
      <c r="H3174" s="13" t="inlineStr">
        <is>
          <t>Chronicles</t>
        </is>
      </c>
      <c r="I3174" s="13" t="inlineStr">
        <is>
          <t>Não</t>
        </is>
      </c>
      <c r="J3174" s="13" t="n">
        <v>1995</v>
      </c>
      <c r="K3174" s="10" t="n">
        <v>46084</v>
      </c>
      <c r="L3174" s="13" t="n">
        <v>1</v>
      </c>
      <c r="M3174" s="8">
        <f>L3174*G3174</f>
        <v/>
      </c>
      <c r="P3174" s="9" t="n"/>
    </row>
    <row r="3175">
      <c r="A3175" s="13" t="inlineStr">
        <is>
          <t>Torgaar, Penúria Incarnada / Torgaar, Famine Incarnate</t>
        </is>
      </c>
      <c r="B3175" s="13" t="inlineStr">
        <is>
          <t>Criatura Lendária — Avatar / Legendary Creature — Avatar</t>
        </is>
      </c>
      <c r="C3175" s="13" t="inlineStr">
        <is>
          <t>Rara / Rare</t>
        </is>
      </c>
      <c r="D3175" s="13"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3175" s="13" t="inlineStr">
        <is>
          <t>{6}{B}{B}</t>
        </is>
      </c>
      <c r="F3175" s="13" t="inlineStr">
        <is>
          <t>Preto / Black</t>
        </is>
      </c>
      <c r="G3175" s="8" t="n">
        <v>0.39</v>
      </c>
      <c r="H3175" s="13" t="inlineStr">
        <is>
          <t>Dominaria (DOM)</t>
        </is>
      </c>
      <c r="I3175" s="13" t="inlineStr">
        <is>
          <t>Não</t>
        </is>
      </c>
      <c r="J3175" s="13" t="n">
        <v>2018</v>
      </c>
      <c r="K3175" s="10" t="n">
        <v>46180</v>
      </c>
      <c r="L3175" s="13" t="n">
        <v>1</v>
      </c>
      <c r="M3175" s="8">
        <f>L3175*G3175</f>
        <v/>
      </c>
      <c r="P3175" s="9" t="n"/>
    </row>
    <row r="3176">
      <c r="A3176" s="13" t="inlineStr">
        <is>
          <t>Torgal, A Fine Hound / Torgal, um Bom Cão</t>
        </is>
      </c>
      <c r="B3176" s="13" t="inlineStr">
        <is>
          <t>Criatura Lendária — Lobo</t>
        </is>
      </c>
      <c r="C3176" s="13" t="inlineStr">
        <is>
          <t>Incomum</t>
        </is>
      </c>
      <c r="D3176" s="13" t="inlineStr">
        <is>
          <t>Sempre que você conjurar sua primeira mágica de criatura Humano a cada turno, aquela criatura entrará no campo de batalha com um marcador +1/+1 adicional para cada Cão e/ou Lobo que você controla. {T}: Adicione um mana de qualquer cor.</t>
        </is>
      </c>
      <c r="E3176" s="13" t="inlineStr">
        <is>
          <t>1{G}</t>
        </is>
      </c>
      <c r="F3176" s="13" t="inlineStr">
        <is>
          <t>Verde</t>
        </is>
      </c>
      <c r="G3176" s="8" t="n">
        <v>0.24</v>
      </c>
      <c r="H3176" s="13" t="inlineStr">
        <is>
          <t>Final Fantasy</t>
        </is>
      </c>
      <c r="I3176" s="13" t="inlineStr">
        <is>
          <t>Não</t>
        </is>
      </c>
      <c r="J3176" s="13" t="n">
        <v>2025</v>
      </c>
      <c r="K3176" s="10" t="n">
        <v>46055</v>
      </c>
      <c r="L3176" s="13" t="n">
        <v>1</v>
      </c>
      <c r="M3176" s="8">
        <f>L3176*G3176</f>
        <v/>
      </c>
      <c r="P3176" s="9" t="n"/>
    </row>
    <row r="3177">
      <c r="A3177" s="13" t="inlineStr">
        <is>
          <t>Tori D'Avenant, Fury Rider / Tori D'Avenant, Ginete da Fúria</t>
        </is>
      </c>
      <c r="B3177" s="13" t="inlineStr">
        <is>
          <t>Legendary Creature — Human Knight / Criatura Lendária — Humano Cavaleiro</t>
        </is>
      </c>
      <c r="C3177" s="13" t="inlineStr">
        <is>
          <t>Uncommon / Incomum</t>
        </is>
      </c>
      <c r="D3177" s="13"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3177" s="13" t="inlineStr">
        <is>
          <t>{1}{R}{R}{W}</t>
        </is>
      </c>
      <c r="F3177" s="13" t="inlineStr">
        <is>
          <t>Vermelho, Branco</t>
        </is>
      </c>
      <c r="G3177" s="8" t="n">
        <v>0.15</v>
      </c>
      <c r="H3177" s="13" t="inlineStr">
        <is>
          <t>Dominaria United (DMU)</t>
        </is>
      </c>
      <c r="I3177" s="13" t="inlineStr">
        <is>
          <t>Não</t>
        </is>
      </c>
      <c r="J3177" s="13" t="n">
        <v>2022</v>
      </c>
      <c r="K3177" s="10" t="n">
        <v>46084</v>
      </c>
      <c r="L3177" s="13" t="n">
        <v>2</v>
      </c>
      <c r="M3177" s="8">
        <f>L3177*G3177</f>
        <v/>
      </c>
      <c r="P3177" s="9" t="n"/>
    </row>
    <row r="3178">
      <c r="A3178" s="13" t="inlineStr">
        <is>
          <t>Tormented Thoughts / Pensamentos Atormentados</t>
        </is>
      </c>
      <c r="B3178" s="13" t="inlineStr">
        <is>
          <t>Sorcery / Feitiço</t>
        </is>
      </c>
      <c r="C3178" s="13" t="inlineStr">
        <is>
          <t>Uncommon / Incomum</t>
        </is>
      </c>
      <c r="D3178" s="13"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3178" s="13" t="inlineStr">
        <is>
          <t>{2}{B}</t>
        </is>
      </c>
      <c r="F3178" s="13" t="inlineStr">
        <is>
          <t>Preto</t>
        </is>
      </c>
      <c r="G3178" s="8" t="n">
        <v>0.09</v>
      </c>
      <c r="H3178" s="13" t="inlineStr">
        <is>
          <t>Journey into Nyx (JOU)</t>
        </is>
      </c>
      <c r="I3178" s="13" t="inlineStr">
        <is>
          <t>Não</t>
        </is>
      </c>
      <c r="J3178" s="13" t="n">
        <v>2014</v>
      </c>
      <c r="L3178" s="13" t="n">
        <v>1</v>
      </c>
      <c r="M3178" s="8">
        <f>L3178*G3178</f>
        <v/>
      </c>
      <c r="P3178" s="9" t="n"/>
    </row>
    <row r="3179">
      <c r="A3179" s="13" t="inlineStr">
        <is>
          <t>Tormenting Voice / Voz Atormentadora</t>
        </is>
      </c>
      <c r="B3179" s="13" t="inlineStr">
        <is>
          <t>Sorcery / Feitiço</t>
        </is>
      </c>
      <c r="C3179" s="13" t="inlineStr">
        <is>
          <t>Common / Comum</t>
        </is>
      </c>
      <c r="D3179" s="13" t="inlineStr">
        <is>
          <t>As an additional cost to cast this spell, discard a card. Draw two cards. / Como custo adicional para conjurar esta mágica, descarte um card. Compre dois cards.</t>
        </is>
      </c>
      <c r="E3179" s="13" t="inlineStr">
        <is>
          <t>{1}{R}</t>
        </is>
      </c>
      <c r="F3179" s="13" t="inlineStr">
        <is>
          <t>Vermelho</t>
        </is>
      </c>
      <c r="G3179" s="8" t="n">
        <v>0.03</v>
      </c>
      <c r="H3179" s="13" t="inlineStr">
        <is>
          <t>Core Set 2019 (M19)</t>
        </is>
      </c>
      <c r="I3179" s="13" t="inlineStr">
        <is>
          <t>Não</t>
        </is>
      </c>
      <c r="J3179" s="13" t="n">
        <v>2018</v>
      </c>
      <c r="L3179" s="13" t="n">
        <v>3</v>
      </c>
      <c r="M3179" s="8">
        <f>L3179*G3179</f>
        <v/>
      </c>
      <c r="P3179" s="9" t="n"/>
    </row>
    <row r="3180">
      <c r="A3180" s="13" t="inlineStr">
        <is>
          <t>Tormenting Voice / Voz Atormentadora</t>
        </is>
      </c>
      <c r="B3180" s="13" t="inlineStr">
        <is>
          <t>Sorcery / Feitiço</t>
        </is>
      </c>
      <c r="C3180" s="13" t="inlineStr">
        <is>
          <t>Common / Comum</t>
        </is>
      </c>
      <c r="D3180" s="13" t="inlineStr">
        <is>
          <t>As an additional cost to cast this spell, discard a card. Draw two cards. / Como custo adicional para conjurar esta mágica, descarte um card. Compre dois cards.</t>
        </is>
      </c>
      <c r="E3180" s="13" t="inlineStr">
        <is>
          <t>{1}{R}</t>
        </is>
      </c>
      <c r="F3180" s="13" t="inlineStr">
        <is>
          <t>Vermelho</t>
        </is>
      </c>
      <c r="G3180" s="8" t="n">
        <v>0.33</v>
      </c>
      <c r="H3180" s="13" t="inlineStr">
        <is>
          <t>Core Set 2019 (M19)</t>
        </is>
      </c>
      <c r="I3180" s="13" t="inlineStr">
        <is>
          <t>Sim</t>
        </is>
      </c>
      <c r="J3180" s="13" t="n">
        <v>2018</v>
      </c>
      <c r="L3180" s="13" t="n">
        <v>1</v>
      </c>
      <c r="M3180" s="8">
        <f>L3180*G3180</f>
        <v/>
      </c>
      <c r="P3180" s="9" t="n"/>
    </row>
    <row r="3181">
      <c r="A3181" s="13" t="inlineStr">
        <is>
          <t>Tormenting Voice / Voz Atormentadora</t>
        </is>
      </c>
      <c r="B3181" s="13" t="inlineStr">
        <is>
          <t>Sorcery / Feitiço</t>
        </is>
      </c>
      <c r="C3181" s="13" t="inlineStr">
        <is>
          <t>Common / Comum</t>
        </is>
      </c>
      <c r="D3181" s="13" t="inlineStr">
        <is>
          <t>As an additional cost to cast this spell, discard a card. Draw two cards. / Como custo adicional para conjurar esta mágica, descarte um card. Compre dois cards.</t>
        </is>
      </c>
      <c r="E3181" s="13" t="inlineStr">
        <is>
          <t>{1}{R}</t>
        </is>
      </c>
      <c r="F3181" s="13" t="inlineStr">
        <is>
          <t>Vermelho</t>
        </is>
      </c>
      <c r="G3181" s="8" t="n">
        <v>0.05</v>
      </c>
      <c r="H3181" s="13" t="inlineStr">
        <is>
          <t xml:space="preserve">Renascer de Zendikar </t>
        </is>
      </c>
      <c r="I3181" s="13" t="inlineStr">
        <is>
          <t>Não</t>
        </is>
      </c>
      <c r="J3181" s="13" t="n">
        <v>2020</v>
      </c>
      <c r="L3181" s="13" t="n">
        <v>1</v>
      </c>
      <c r="M3181" s="8">
        <f>L3181*G3181</f>
        <v/>
      </c>
      <c r="P3181" s="9" t="n"/>
    </row>
    <row r="3182">
      <c r="A3182" s="13" t="inlineStr">
        <is>
          <t>Torpid Moloch / Moloch Tórpido</t>
        </is>
      </c>
      <c r="B3182" s="13" t="inlineStr">
        <is>
          <t>Creature — Lizard / Criatura - Lagarto</t>
        </is>
      </c>
      <c r="C3182" s="13" t="inlineStr">
        <is>
          <t>Common / Comum</t>
        </is>
      </c>
      <c r="D3182" s="13" t="inlineStr">
        <is>
          <t>Defender (This creature can't attack.) Sacrifice three lands: This creature loses defender until end of turn. / Defensor (Esta criatura não pode atacar.) Sacrifique três terrenos: Moloch Tórpido perde a habilidade de defensor até o final do turno.</t>
        </is>
      </c>
      <c r="E3182" s="13" t="inlineStr">
        <is>
          <t>{R}</t>
        </is>
      </c>
      <c r="F3182" s="13" t="inlineStr">
        <is>
          <t>Vermelho</t>
        </is>
      </c>
      <c r="G3182" s="8" t="n">
        <v>0.05</v>
      </c>
      <c r="H3182" s="13" t="inlineStr">
        <is>
          <t>Ravnica: City of Guilds (RAV)</t>
        </is>
      </c>
      <c r="I3182" s="13" t="inlineStr">
        <is>
          <t>Não</t>
        </is>
      </c>
      <c r="J3182" s="13" t="n">
        <v>2005</v>
      </c>
      <c r="K3182" s="10" t="n">
        <v>46056</v>
      </c>
      <c r="L3182" s="13" t="n">
        <v>1</v>
      </c>
      <c r="M3182" s="8">
        <f>L3182*G3182</f>
        <v/>
      </c>
      <c r="P3182" s="9" t="n"/>
    </row>
    <row r="3183">
      <c r="A3183" s="13" t="inlineStr">
        <is>
          <t>Torture / Tortura</t>
        </is>
      </c>
      <c r="B3183" s="13" t="inlineStr">
        <is>
          <t>Enchantment — Aura / Encantamento — Aura</t>
        </is>
      </c>
      <c r="C3183" s="13" t="inlineStr">
        <is>
          <t>Common / Comum</t>
        </is>
      </c>
      <c r="D3183" s="13" t="inlineStr">
        <is>
          <t>Enchant creature {1}{B}: Put a -1/-1 counter on enchanted creature. / Encantar criatura {1}{B}: Coloque um marcador -1/-1 na criatura encantada.</t>
        </is>
      </c>
      <c r="E3183" s="13" t="inlineStr">
        <is>
          <t>{B}</t>
        </is>
      </c>
      <c r="F3183" s="13" t="inlineStr">
        <is>
          <t>Preto</t>
        </is>
      </c>
      <c r="G3183" s="8" t="n">
        <v>0.06</v>
      </c>
      <c r="H3183" s="13" t="inlineStr">
        <is>
          <t>Homelands (HML)</t>
        </is>
      </c>
      <c r="I3183" s="13" t="inlineStr">
        <is>
          <t>Não</t>
        </is>
      </c>
      <c r="J3183" s="13" t="n">
        <v>1995</v>
      </c>
      <c r="L3183" s="13" t="n">
        <v>2</v>
      </c>
      <c r="M3183" s="8">
        <f>L3183*G3183</f>
        <v/>
      </c>
      <c r="P3183" s="9" t="n"/>
    </row>
    <row r="3184">
      <c r="A3184" s="13" t="inlineStr">
        <is>
          <t>Torture / Tortura</t>
        </is>
      </c>
      <c r="B3184" s="13" t="inlineStr">
        <is>
          <t>Enchantment — Aura / Encantamento — Aura</t>
        </is>
      </c>
      <c r="C3184" s="13" t="inlineStr">
        <is>
          <t>Common / Comum</t>
        </is>
      </c>
      <c r="D3184" s="13" t="inlineStr">
        <is>
          <t>Enchant creature {1}{B}: Put a -1/-1 counter on enchanted creature. / Encantar criatura {1}{B}: Coloque um marcador -1/-1 na criatura encantada.</t>
        </is>
      </c>
      <c r="E3184" s="13" t="inlineStr">
        <is>
          <t>{B}</t>
        </is>
      </c>
      <c r="F3184" s="13" t="inlineStr">
        <is>
          <t>Preto</t>
        </is>
      </c>
      <c r="G3184" s="8" t="n">
        <v>0.09</v>
      </c>
      <c r="H3184" s="13" t="inlineStr">
        <is>
          <t>Homelands (HML)</t>
        </is>
      </c>
      <c r="I3184" s="13" t="inlineStr">
        <is>
          <t>Não</t>
        </is>
      </c>
      <c r="J3184" s="13" t="n">
        <v>1995</v>
      </c>
      <c r="L3184" s="13" t="n">
        <v>1</v>
      </c>
      <c r="M3184" s="8">
        <f>L3184*G3184</f>
        <v/>
      </c>
      <c r="P3184" s="9" t="n"/>
    </row>
    <row r="3185">
      <c r="A3185" s="13" t="inlineStr">
        <is>
          <t>Touch of Death / Toque da Morte</t>
        </is>
      </c>
      <c r="B3185" s="13" t="inlineStr">
        <is>
          <t>Sorcery</t>
        </is>
      </c>
      <c r="C3185" s="13" t="inlineStr">
        <is>
          <t>Common / Comum</t>
        </is>
      </c>
      <c r="D3185" s="13" t="inlineStr">
        <is>
          <t>Touch of Death deals 1 damage to target player or planeswalker. You gain 1 life. Draw a card at the beginning of the next turn's upkeep.</t>
        </is>
      </c>
      <c r="E3185" s="13" t="inlineStr">
        <is>
          <t>{2}{B}</t>
        </is>
      </c>
      <c r="F3185" s="13" t="inlineStr">
        <is>
          <t>Preto</t>
        </is>
      </c>
      <c r="G3185" s="8" t="n">
        <v>0.05</v>
      </c>
      <c r="H3185" s="13" t="inlineStr">
        <is>
          <t>Ice Age (ICE)</t>
        </is>
      </c>
      <c r="I3185" s="13" t="inlineStr">
        <is>
          <t>Não</t>
        </is>
      </c>
      <c r="J3185" s="13" t="n">
        <v>1995</v>
      </c>
      <c r="L3185" s="13" t="n">
        <v>1</v>
      </c>
      <c r="M3185" s="8">
        <f>L3185*G3185</f>
        <v/>
      </c>
      <c r="P3185" s="9" t="n"/>
    </row>
    <row r="3186">
      <c r="A3186" s="13" t="inlineStr">
        <is>
          <t>Tough Cookie / Biscoito Durão</t>
        </is>
      </c>
      <c r="B3186" s="13" t="inlineStr">
        <is>
          <t>Artifact Creature — Food Golem / Criatura Artefato — Comida Golem</t>
        </is>
      </c>
      <c r="C3186" s="13" t="inlineStr">
        <is>
          <t>Uncommon / Incomum</t>
        </is>
      </c>
      <c r="D3186" s="13"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3186" s="13" t="inlineStr">
        <is>
          <t>{1}{G}</t>
        </is>
      </c>
      <c r="F3186" s="13" t="inlineStr">
        <is>
          <t>Verde</t>
        </is>
      </c>
      <c r="G3186" s="8" t="n">
        <v>0.2</v>
      </c>
      <c r="H3186" s="13" t="inlineStr">
        <is>
          <t>Wilds of Eldraine (WOE)</t>
        </is>
      </c>
      <c r="I3186" s="13" t="inlineStr">
        <is>
          <t>Não</t>
        </is>
      </c>
      <c r="J3186" s="13" t="n">
        <v>2023</v>
      </c>
      <c r="K3186" s="10" t="n">
        <v>46055</v>
      </c>
      <c r="L3186" s="13" t="n">
        <v>1</v>
      </c>
      <c r="M3186" s="8">
        <f>L3186*G3186</f>
        <v/>
      </c>
      <c r="P3186" s="9" t="n"/>
    </row>
    <row r="3187">
      <c r="A3187" s="13" t="inlineStr">
        <is>
          <t>Tourach's Chant</t>
        </is>
      </c>
      <c r="B3187" s="13" t="inlineStr">
        <is>
          <t>Enchantment</t>
        </is>
      </c>
      <c r="C3187" s="13" t="inlineStr">
        <is>
          <t>Uncommon / Incomum</t>
        </is>
      </c>
      <c r="D3187" s="13" t="inlineStr">
        <is>
          <t>At the beginning of your upkeep, sacrifice this enchantment unless you pay {B}. Whenever a player puts a Forest onto the battlefield, this enchantment deals 3 damage to that player unless they put a -1/-1 counter on a creature they control.</t>
        </is>
      </c>
      <c r="E3187" s="13" t="inlineStr">
        <is>
          <t>{1}{B}{B}</t>
        </is>
      </c>
      <c r="F3187" s="13" t="inlineStr">
        <is>
          <t>Preto</t>
        </is>
      </c>
      <c r="G3187" s="8" t="n">
        <v>0.3</v>
      </c>
      <c r="H3187" s="13" t="inlineStr">
        <is>
          <t>Fallen Empires (FEM)</t>
        </is>
      </c>
      <c r="I3187" s="13" t="inlineStr">
        <is>
          <t>Não</t>
        </is>
      </c>
      <c r="J3187" s="13" t="n">
        <v>1994</v>
      </c>
      <c r="L3187" s="13" t="n">
        <v>1</v>
      </c>
      <c r="M3187" s="8">
        <f>L3187*G3187</f>
        <v/>
      </c>
      <c r="P3187" s="9" t="n"/>
    </row>
    <row r="3188">
      <c r="A3188" s="13" t="inlineStr">
        <is>
          <t>Town Greeter / Anfitrião da Cidade</t>
        </is>
      </c>
      <c r="B3188" s="13" t="inlineStr">
        <is>
          <t>Criatura — Humano Cidadão</t>
        </is>
      </c>
      <c r="C3188" s="13" t="inlineStr">
        <is>
          <t>Comum</t>
        </is>
      </c>
      <c r="D3188" s="13"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8" s="13" t="inlineStr">
        <is>
          <t>1{G}</t>
        </is>
      </c>
      <c r="F3188" s="13" t="inlineStr">
        <is>
          <t>Verde</t>
        </is>
      </c>
      <c r="G3188" s="8" t="n">
        <v>0.18</v>
      </c>
      <c r="H3188" s="13" t="inlineStr">
        <is>
          <t>Final Fantasy</t>
        </is>
      </c>
      <c r="I3188" s="13" t="inlineStr">
        <is>
          <t>Não</t>
        </is>
      </c>
      <c r="J3188" s="13" t="n">
        <v>2025</v>
      </c>
      <c r="K3188" s="10" t="n">
        <v>46023</v>
      </c>
      <c r="L3188" s="13" t="n">
        <v>8</v>
      </c>
      <c r="M3188" s="8">
        <f>L3188*G3188</f>
        <v/>
      </c>
      <c r="P3188" s="9" t="n"/>
    </row>
    <row r="3189">
      <c r="A3189" s="13" t="inlineStr">
        <is>
          <t>Toxic Scorpion / Escorpião Tóxico</t>
        </is>
      </c>
      <c r="B3189" s="13" t="inlineStr">
        <is>
          <t>Creature — Scorpion / Criatura — Escorpião</t>
        </is>
      </c>
      <c r="C3189" s="13" t="inlineStr">
        <is>
          <t>Common / Comum</t>
        </is>
      </c>
      <c r="D3189" s="13"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3189" s="13" t="inlineStr">
        <is>
          <t>{1}{G}</t>
        </is>
      </c>
      <c r="F3189" s="13" t="inlineStr">
        <is>
          <t>Verde</t>
        </is>
      </c>
      <c r="G3189" s="8" t="n">
        <v>0.1</v>
      </c>
      <c r="H3189" s="13" t="inlineStr">
        <is>
          <t>Innistrad: Crimson Vow (VOW)</t>
        </is>
      </c>
      <c r="I3189" s="13" t="inlineStr">
        <is>
          <t>Não</t>
        </is>
      </c>
      <c r="J3189" s="13" t="n">
        <v>2021</v>
      </c>
      <c r="K3189" s="10" t="n">
        <v>46023</v>
      </c>
      <c r="L3189" s="13" t="n">
        <v>1</v>
      </c>
      <c r="M3189" s="8">
        <f>L3189*G3189</f>
        <v/>
      </c>
      <c r="P3189" s="9" t="n"/>
    </row>
    <row r="3190">
      <c r="A3190" s="13" t="inlineStr">
        <is>
          <t>Toxin Analysis</t>
        </is>
      </c>
      <c r="B3190" s="13" t="inlineStr">
        <is>
          <t>Instant</t>
        </is>
      </c>
      <c r="C3190" s="13" t="inlineStr">
        <is>
          <t>Common / Comum</t>
        </is>
      </c>
      <c r="D3190" s="13" t="inlineStr">
        <is>
          <t>Target creature gains deathtouch and lifelink until end of turn. Investigate. (Create a Clue token. It's an artifact with "{2}, Sacrifice this token: Draw a card.")</t>
        </is>
      </c>
      <c r="E3190" s="13" t="inlineStr">
        <is>
          <t>{B}</t>
        </is>
      </c>
      <c r="F3190" s="13" t="inlineStr">
        <is>
          <t>Preto</t>
        </is>
      </c>
      <c r="G3190" s="8" t="n">
        <v>0.39</v>
      </c>
      <c r="H3190" s="13" t="inlineStr">
        <is>
          <t>Murders at Karlov Manor (MKM)</t>
        </is>
      </c>
      <c r="I3190" s="13" t="inlineStr">
        <is>
          <t>Não</t>
        </is>
      </c>
      <c r="J3190" s="13" t="n">
        <v>2024</v>
      </c>
      <c r="L3190" s="13" t="n">
        <v>1</v>
      </c>
      <c r="M3190" s="8">
        <f>L3190*G3190</f>
        <v/>
      </c>
      <c r="P3190" s="9" t="n"/>
    </row>
    <row r="3191">
      <c r="A3191" s="13" t="inlineStr">
        <is>
          <t>Track Down / Atiradora do Céu Aberto</t>
        </is>
      </c>
      <c r="B3191" s="13" t="inlineStr">
        <is>
          <t>Creature — Elf Archer / Criatura — Elfo Arqueiro</t>
        </is>
      </c>
      <c r="C3191" s="13" t="inlineStr">
        <is>
          <t>Uncommon / Incomum</t>
        </is>
      </c>
      <c r="D3191" s="13" t="inlineStr">
        <is>
          <t>Reach. {2}{G}: Atiradora do Céu Aberto deals 1 damage to target creature with flying. / Alcance. {2}{G}: Atiradora do Céu Aberto causa 1 ponto de dano à criatura alvo com voar.</t>
        </is>
      </c>
      <c r="E3191" s="13" t="inlineStr">
        <is>
          <t>{G}</t>
        </is>
      </c>
      <c r="F3191" s="13" t="inlineStr">
        <is>
          <t>Verde</t>
        </is>
      </c>
      <c r="G3191" s="8" t="n">
        <v>0.05</v>
      </c>
      <c r="H3191" s="13" t="inlineStr">
        <is>
          <t>Core Set 2021 (M21)</t>
        </is>
      </c>
      <c r="I3191" s="13" t="inlineStr">
        <is>
          <t>Não</t>
        </is>
      </c>
      <c r="J3191" s="13" t="n">
        <v>2020</v>
      </c>
      <c r="K3191" s="10" t="n">
        <v>46054</v>
      </c>
      <c r="L3191" s="13" t="n">
        <v>4</v>
      </c>
      <c r="M3191" s="8">
        <f>L3191*G3191</f>
        <v/>
      </c>
      <c r="P3191" s="9" t="n"/>
    </row>
    <row r="3192">
      <c r="A3192" s="13" t="inlineStr">
        <is>
          <t>Tractor Beam / Raio Trator</t>
        </is>
      </c>
      <c r="B3192" s="13" t="inlineStr">
        <is>
          <t>Encantamento — Aura</t>
        </is>
      </c>
      <c r="C3192" s="13" t="inlineStr">
        <is>
          <t>Incomum</t>
        </is>
      </c>
      <c r="D3192" s="13" t="inlineStr">
        <is>
          <t>Encantar criatura ou Nave Espacial. Quando esta Aura entrar, vire a permanente encantada. Você controla a permanente encantada. A permanente encantada não é desvirada durante a etapa de desvirar de seu controlador.</t>
        </is>
      </c>
      <c r="E3192" s="13" t="inlineStr">
        <is>
          <t>2{U}{U}</t>
        </is>
      </c>
      <c r="F3192" s="13" t="inlineStr">
        <is>
          <t>Azul</t>
        </is>
      </c>
      <c r="G3192" s="8" t="n">
        <v>0.15</v>
      </c>
      <c r="H3192" s="13" t="inlineStr">
        <is>
          <t>Edge of Eternity</t>
        </is>
      </c>
      <c r="I3192" s="13" t="inlineStr">
        <is>
          <t>Não</t>
        </is>
      </c>
      <c r="J3192" s="13" t="n">
        <v>2025</v>
      </c>
      <c r="L3192" s="13" t="n">
        <v>2</v>
      </c>
      <c r="M3192" s="8">
        <f>L3192*G3192</f>
        <v/>
      </c>
      <c r="P3192" s="9" t="n"/>
    </row>
    <row r="3193">
      <c r="A3193" s="13" t="inlineStr">
        <is>
          <t>Trained Armodon / Armodonte Adestrado</t>
        </is>
      </c>
      <c r="B3193" s="13" t="inlineStr">
        <is>
          <t>Creature — Elephant / Criatura — Elefante</t>
        </is>
      </c>
      <c r="C3193" s="13" t="inlineStr">
        <is>
          <t>Common / Comum</t>
        </is>
      </c>
      <c r="E3193" s="13" t="inlineStr">
        <is>
          <t>{1}{G}{G}</t>
        </is>
      </c>
      <c r="F3193" s="13" t="inlineStr">
        <is>
          <t>Verde</t>
        </is>
      </c>
      <c r="G3193" s="8" t="n">
        <v>0.05</v>
      </c>
      <c r="H3193" s="13" t="inlineStr">
        <is>
          <t>Duels of the Planeswalkers (DPA)</t>
        </is>
      </c>
      <c r="I3193" s="13" t="inlineStr">
        <is>
          <t>Não</t>
        </is>
      </c>
      <c r="J3193" s="13" t="n">
        <v>2010</v>
      </c>
      <c r="K3193" s="10" t="n">
        <v>46084</v>
      </c>
      <c r="L3193" s="13" t="n">
        <v>1</v>
      </c>
      <c r="M3193" s="8">
        <f>L3193*G3193</f>
        <v/>
      </c>
      <c r="P3193" s="9" t="n"/>
    </row>
    <row r="3194">
      <c r="A3194" s="13" t="inlineStr">
        <is>
          <t>Trained Caracal / Caracal Treinado</t>
        </is>
      </c>
      <c r="B3194" s="13" t="inlineStr">
        <is>
          <t>Creature — Cat / Criatura — Felino</t>
        </is>
      </c>
      <c r="C3194" s="13" t="inlineStr">
        <is>
          <t>Common / Comum</t>
        </is>
      </c>
      <c r="D3194" s="13" t="inlineStr">
        <is>
          <t>Lifelink (Damage dealt by this creature also causes you to gain that much life.) / Vínculo com a vida (O dano causado por esta criatura faz com que você ganhe uma quantidade equivalente de pontos de vida.)</t>
        </is>
      </c>
      <c r="E3194" s="13" t="inlineStr">
        <is>
          <t>{W}</t>
        </is>
      </c>
      <c r="F3194" s="13" t="inlineStr">
        <is>
          <t>Branco</t>
        </is>
      </c>
      <c r="G3194" s="8" t="n">
        <v>0.06</v>
      </c>
      <c r="H3194" s="13" t="inlineStr">
        <is>
          <t>Return to Ravnica (RTR)</t>
        </is>
      </c>
      <c r="I3194" s="13" t="inlineStr">
        <is>
          <t>Não</t>
        </is>
      </c>
      <c r="J3194" s="13" t="n">
        <v>2012</v>
      </c>
      <c r="K3194" s="10" t="n">
        <v>46023</v>
      </c>
      <c r="L3194" s="13" t="n">
        <v>4</v>
      </c>
      <c r="M3194" s="8">
        <f>L3194*G3194</f>
        <v/>
      </c>
      <c r="P3194" s="9" t="n"/>
    </row>
    <row r="3195">
      <c r="A3195" s="13" t="inlineStr">
        <is>
          <t>Traje Bruto / Brute Suit</t>
        </is>
      </c>
      <c r="B3195" s="13" t="inlineStr">
        <is>
          <t>Artefato — Veículo</t>
        </is>
      </c>
      <c r="C3195" s="13" t="inlineStr">
        <is>
          <t>Comum</t>
        </is>
      </c>
      <c r="D3195" s="13" t="inlineStr">
        <is>
          <t>Vigilância, Tripular 1 (Vire qualquer número de criaturas que você controla com total de poder igual ou superior a 1: Este Veículo torna-se uma criatura artefato até o final do turno.)</t>
        </is>
      </c>
      <c r="E3195" s="13" t="inlineStr">
        <is>
          <t>{3}</t>
        </is>
      </c>
      <c r="F3195" s="13" t="inlineStr">
        <is>
          <t>Incolor</t>
        </is>
      </c>
      <c r="G3195" s="8" t="n">
        <v>0.05</v>
      </c>
      <c r="H3195" s="13" t="inlineStr">
        <is>
          <t>Kamigawa: Neon Dynasty (NEO)</t>
        </is>
      </c>
      <c r="I3195" s="13" t="inlineStr">
        <is>
          <t>Não</t>
        </is>
      </c>
      <c r="J3195" s="13" t="n">
        <v>2022</v>
      </c>
      <c r="K3195" s="10" t="n">
        <v>46085</v>
      </c>
      <c r="L3195" s="13" t="n">
        <v>2</v>
      </c>
      <c r="M3195" s="8">
        <f>L3195*G3195</f>
        <v/>
      </c>
      <c r="P3195" s="9" t="n"/>
    </row>
    <row r="3196">
      <c r="A3196" s="13" t="inlineStr">
        <is>
          <t>Tranquil Cove / Angra Tranquila</t>
        </is>
      </c>
      <c r="B3196" s="13" t="inlineStr">
        <is>
          <t>Land / Terreno</t>
        </is>
      </c>
      <c r="C3196" s="13" t="inlineStr">
        <is>
          <t>Common / Comum</t>
        </is>
      </c>
      <c r="D3196" s="13" t="inlineStr">
        <is>
          <t>This land enters tapped. When this land enters, you gain 1 life. {T}: Add {W} or {U}. / Angra Tranquila entra no campo de batalha virada. Quando Angra Tranquila entra no campo de batalha, você ganha 1 ponto de vida. {T}: Adicione {W} ou {U}.</t>
        </is>
      </c>
      <c r="F3196" s="13" t="inlineStr">
        <is>
          <t>Azul, Branco</t>
        </is>
      </c>
      <c r="G3196" s="8" t="n">
        <v>0.1</v>
      </c>
      <c r="H3196" s="13" t="inlineStr">
        <is>
          <t>Kamigawa: Neon Dynasty (NEO)</t>
        </is>
      </c>
      <c r="I3196" s="13" t="inlineStr">
        <is>
          <t>Não</t>
        </is>
      </c>
      <c r="J3196" s="13" t="n">
        <v>2022</v>
      </c>
      <c r="L3196" s="13" t="n">
        <v>4</v>
      </c>
      <c r="M3196" s="8">
        <f>L3196*G3196</f>
        <v/>
      </c>
      <c r="P3196" s="9" t="n"/>
    </row>
    <row r="3197">
      <c r="A3197" s="13" t="inlineStr">
        <is>
          <t>Transformação Divina / Divine Transformation</t>
        </is>
      </c>
      <c r="B3197" s="13" t="inlineStr">
        <is>
          <t>Encantar Criatura / Enchant Creature</t>
        </is>
      </c>
      <c r="C3197" s="13" t="inlineStr">
        <is>
          <t>Comum / Common</t>
        </is>
      </c>
      <c r="D3197" s="13" t="inlineStr">
        <is>
          <t>A criatura-alvo ganha +3/+3. / Target creature gets +3/+3.</t>
        </is>
      </c>
      <c r="E3197" s="13" t="inlineStr">
        <is>
          <t>{2}{W}{W}</t>
        </is>
      </c>
      <c r="F3197" s="13" t="inlineStr">
        <is>
          <t>Branco</t>
        </is>
      </c>
      <c r="G3197" s="8" t="n">
        <v>0.14</v>
      </c>
      <c r="H3197" s="13" t="inlineStr">
        <is>
          <t>Fourth Edition</t>
        </is>
      </c>
      <c r="I3197" s="13" t="inlineStr">
        <is>
          <t>Não</t>
        </is>
      </c>
      <c r="J3197" s="13" t="n">
        <v>1995</v>
      </c>
      <c r="L3197" s="13" t="n">
        <v>2</v>
      </c>
      <c r="M3197" s="8">
        <f>L3197*G3197</f>
        <v/>
      </c>
      <c r="P3197" s="9" t="n"/>
    </row>
    <row r="3198">
      <c r="A3198" s="13" t="inlineStr">
        <is>
          <t>Transformação Divina / Divine Transformation</t>
        </is>
      </c>
      <c r="B3198" s="13" t="inlineStr">
        <is>
          <t>Encantar Criatura / Enchant Creature</t>
        </is>
      </c>
      <c r="C3198" s="13" t="inlineStr">
        <is>
          <t>Comum / Common</t>
        </is>
      </c>
      <c r="D3198" s="13" t="inlineStr">
        <is>
          <t>A criatura-alvo ganha +3/+3. / Target creature gets +3/+3.</t>
        </is>
      </c>
      <c r="E3198" s="13" t="inlineStr">
        <is>
          <t>{2}{W}{W}</t>
        </is>
      </c>
      <c r="F3198" s="13" t="inlineStr">
        <is>
          <t>Branco</t>
        </is>
      </c>
      <c r="G3198" s="8" t="n">
        <v>0.4</v>
      </c>
      <c r="H3198" s="13" t="inlineStr">
        <is>
          <t>Fourth Edition (BB)</t>
        </is>
      </c>
      <c r="I3198" s="13" t="inlineStr">
        <is>
          <t>Não</t>
        </is>
      </c>
      <c r="J3198" s="13" t="n">
        <v>1995</v>
      </c>
      <c r="L3198" s="13" t="n">
        <v>2</v>
      </c>
      <c r="M3198" s="8">
        <f>L3198*G3198</f>
        <v/>
      </c>
      <c r="P3198" s="9" t="n"/>
    </row>
    <row r="3199">
      <c r="A3199" s="13" t="inlineStr">
        <is>
          <t>Transluminant / Transluminante</t>
        </is>
      </c>
      <c r="B3199" s="13" t="inlineStr">
        <is>
          <t>Creature — Dryad Shaman / Criatura - Dríade Xamã</t>
        </is>
      </c>
      <c r="C3199" s="13" t="inlineStr">
        <is>
          <t>Common / Comum</t>
        </is>
      </c>
      <c r="D3199" s="13"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3199" s="13" t="inlineStr">
        <is>
          <t>{1}{G}</t>
        </is>
      </c>
      <c r="F3199" s="13" t="inlineStr">
        <is>
          <t>Verde</t>
        </is>
      </c>
      <c r="G3199" s="8" t="n">
        <v>0.09</v>
      </c>
      <c r="H3199" s="13" t="inlineStr">
        <is>
          <t>Ravnica: City of Guilds (RAV)</t>
        </is>
      </c>
      <c r="I3199" s="13" t="inlineStr">
        <is>
          <t>Não</t>
        </is>
      </c>
      <c r="J3199" s="13" t="n">
        <v>2005</v>
      </c>
      <c r="K3199" s="10" t="n">
        <v>46055</v>
      </c>
      <c r="L3199" s="13" t="n">
        <v>1</v>
      </c>
      <c r="M3199" s="8">
        <f>L3199*G3199</f>
        <v/>
      </c>
      <c r="P3199" s="9" t="n"/>
    </row>
    <row r="3200">
      <c r="A3200" s="13" t="inlineStr">
        <is>
          <t>Transmutation</t>
        </is>
      </c>
      <c r="B3200" s="13" t="inlineStr">
        <is>
          <t>Instant</t>
        </is>
      </c>
      <c r="C3200" s="13" t="inlineStr">
        <is>
          <t>Common / Comum</t>
        </is>
      </c>
      <c r="D3200" s="13" t="inlineStr">
        <is>
          <t>Switch target creature's power and toughness until end of turn.</t>
        </is>
      </c>
      <c r="E3200" s="13" t="inlineStr">
        <is>
          <t>{1}{B}</t>
        </is>
      </c>
      <c r="F3200" s="13" t="inlineStr">
        <is>
          <t>Preto</t>
        </is>
      </c>
      <c r="G3200" s="8" t="n">
        <v>0.13</v>
      </c>
      <c r="H3200" s="13" t="inlineStr">
        <is>
          <t>Chronicles (CHR)</t>
        </is>
      </c>
      <c r="I3200" s="13" t="inlineStr">
        <is>
          <t>Não</t>
        </is>
      </c>
      <c r="J3200" s="13" t="n">
        <v>1995</v>
      </c>
      <c r="L3200" s="13" t="n">
        <v>2</v>
      </c>
      <c r="M3200" s="8">
        <f>L3200*G3200</f>
        <v/>
      </c>
      <c r="P3200" s="9" t="n"/>
    </row>
    <row r="3201">
      <c r="A3201" s="13" t="inlineStr">
        <is>
          <t>Traumatic Visions / Visões Traumáticas</t>
        </is>
      </c>
      <c r="B3201" s="13" t="inlineStr">
        <is>
          <t>Mágica Instantânea</t>
        </is>
      </c>
      <c r="C3201" s="13" t="inlineStr">
        <is>
          <t>Comum</t>
        </is>
      </c>
      <c r="D3201" s="13" t="inlineStr">
        <is>
          <t>Anule a mágica alvo. Reciclar terreno básico {1}{U} ({1}{U}, Descarte este card: Procure em seu grimório por um card de terreno básico, revele-o e coloque-o em sua mão. Depois, embaralhe seu grimório.)</t>
        </is>
      </c>
      <c r="E3201" s="13" t="inlineStr">
        <is>
          <t>3UU</t>
        </is>
      </c>
      <c r="F3201" s="13" t="inlineStr">
        <is>
          <t>Azul</t>
        </is>
      </c>
      <c r="G3201" s="8" t="n">
        <v>0.06</v>
      </c>
      <c r="H3201" s="13" t="inlineStr">
        <is>
          <t>Duel Decks: Speed vs. Cunning</t>
        </is>
      </c>
      <c r="I3201" s="13" t="inlineStr">
        <is>
          <t>Não</t>
        </is>
      </c>
      <c r="J3201" s="13" t="n">
        <v>2014</v>
      </c>
      <c r="L3201" s="13" t="n">
        <v>2</v>
      </c>
      <c r="M3201" s="8">
        <f>L3201*G3201</f>
        <v/>
      </c>
      <c r="P3201" s="9" t="n"/>
    </row>
    <row r="3202">
      <c r="A3202" s="13" t="inlineStr">
        <is>
          <t>Travel the Overworld / Viajar pelo Mundo Superior</t>
        </is>
      </c>
      <c r="B3202" s="13" t="inlineStr">
        <is>
          <t>Feitiço</t>
        </is>
      </c>
      <c r="C3202" s="13" t="inlineStr">
        <is>
          <t>Incomum</t>
        </is>
      </c>
      <c r="D3202" s="13" t="inlineStr">
        <is>
          <t>Afinidade com Cidades (Esta mágica custa {1} a menos para ser conjurada para cada Cidade que você controla.) Compre quatro cards.</t>
        </is>
      </c>
      <c r="E3202" s="13" t="inlineStr">
        <is>
          <t>5{U}{U}</t>
        </is>
      </c>
      <c r="F3202" s="13" t="inlineStr">
        <is>
          <t>Azul</t>
        </is>
      </c>
      <c r="G3202" s="8" t="n">
        <v>0.19</v>
      </c>
      <c r="H3202" s="13" t="inlineStr">
        <is>
          <t>Final Fantasy</t>
        </is>
      </c>
      <c r="I3202" s="13" t="inlineStr">
        <is>
          <t>Não</t>
        </is>
      </c>
      <c r="J3202" s="13" t="n">
        <v>2025</v>
      </c>
      <c r="L3202" s="13" t="n">
        <v>3</v>
      </c>
      <c r="M3202" s="8">
        <f>L3202*G3202</f>
        <v/>
      </c>
      <c r="P3202" s="9" t="n"/>
    </row>
    <row r="3203">
      <c r="A3203" s="13" t="inlineStr">
        <is>
          <t>Travel the Overworld / Viajar pelo Mundo Superior</t>
        </is>
      </c>
      <c r="B3203" s="13" t="inlineStr">
        <is>
          <t>Feitiço</t>
        </is>
      </c>
      <c r="C3203" s="13" t="inlineStr">
        <is>
          <t>Incomum</t>
        </is>
      </c>
      <c r="D3203" s="13" t="inlineStr">
        <is>
          <t>Afinidade com Cidades (Esta mágica custa {1} a menos para ser conjurada para cada Cidade que você controla.) Compre quatro cards.</t>
        </is>
      </c>
      <c r="E3203" s="13" t="inlineStr">
        <is>
          <t>5{U}{U}</t>
        </is>
      </c>
      <c r="F3203" s="13" t="inlineStr">
        <is>
          <t>Azul</t>
        </is>
      </c>
      <c r="G3203" s="8" t="n">
        <v>0.4</v>
      </c>
      <c r="H3203" s="13" t="inlineStr">
        <is>
          <t>Final Fantasy</t>
        </is>
      </c>
      <c r="I3203" s="13" t="inlineStr">
        <is>
          <t>Sim</t>
        </is>
      </c>
      <c r="J3203" s="13" t="n">
        <v>2025</v>
      </c>
      <c r="L3203" s="13" t="n">
        <v>1</v>
      </c>
      <c r="M3203" s="8">
        <f>L3203*G3203</f>
        <v/>
      </c>
      <c r="P3203" s="9" t="n"/>
    </row>
    <row r="3204">
      <c r="A3204" s="13" t="inlineStr">
        <is>
          <t>Traveling Minister / Ministro Itinerante</t>
        </is>
      </c>
      <c r="B3204" s="13" t="inlineStr">
        <is>
          <t>Creature — Human Cleric / Criatura — Humano Clérigo</t>
        </is>
      </c>
      <c r="C3204" s="13" t="inlineStr">
        <is>
          <t>Common / Comum</t>
        </is>
      </c>
      <c r="D3204" s="13" t="inlineStr">
        <is>
          <t>{T}: Target creature gets +1/+0 until end of turn. You gain 1 life. Activate only as a sorcery. / {T}: A criatura alvo recebe +1/+0 até o final do turno. Você ganha 1 ponto de vida. Ative somente como um feitiço.</t>
        </is>
      </c>
      <c r="E3204" s="13" t="inlineStr">
        <is>
          <t>{W}</t>
        </is>
      </c>
      <c r="F3204" s="13" t="inlineStr">
        <is>
          <t>Branco</t>
        </is>
      </c>
      <c r="G3204" s="8" t="n">
        <v>0.09</v>
      </c>
      <c r="H3204" s="13" t="inlineStr">
        <is>
          <t>Innistrad: Crimson Vow (VOW)</t>
        </is>
      </c>
      <c r="I3204" s="13" t="inlineStr">
        <is>
          <t>Não</t>
        </is>
      </c>
      <c r="J3204" s="13" t="n">
        <v>2021</v>
      </c>
      <c r="K3204" s="10" t="n">
        <v>46023</v>
      </c>
      <c r="L3204" s="13" t="n">
        <v>2</v>
      </c>
      <c r="M3204" s="8">
        <f>L3204*G3204</f>
        <v/>
      </c>
      <c r="P3204" s="9" t="n"/>
    </row>
    <row r="3205">
      <c r="A3205" s="13" t="inlineStr">
        <is>
          <t>Traveling Philosopher / Filósofo Viajante</t>
        </is>
      </c>
      <c r="B3205" s="13" t="inlineStr">
        <is>
          <t>Creature — Human Advisor / Criatura — Humano Conselheiro</t>
        </is>
      </c>
      <c r="C3205" s="13" t="inlineStr">
        <is>
          <t>Common / Comum</t>
        </is>
      </c>
      <c r="E3205" s="13" t="inlineStr">
        <is>
          <t>{1}{W}</t>
        </is>
      </c>
      <c r="F3205" s="13" t="inlineStr">
        <is>
          <t>Branco</t>
        </is>
      </c>
      <c r="G3205" s="8" t="n">
        <v>0.05</v>
      </c>
      <c r="H3205" s="13" t="inlineStr">
        <is>
          <t>Theros (THS)</t>
        </is>
      </c>
      <c r="I3205" s="13" t="inlineStr">
        <is>
          <t>Não</t>
        </is>
      </c>
      <c r="J3205" s="13" t="n">
        <v>2013</v>
      </c>
      <c r="K3205" s="10" t="n">
        <v>46055</v>
      </c>
      <c r="L3205" s="13" t="n">
        <v>3</v>
      </c>
      <c r="M3205" s="8">
        <f>L3205*G3205</f>
        <v/>
      </c>
      <c r="P3205" s="9" t="n"/>
    </row>
    <row r="3206">
      <c r="A3206" s="13" t="inlineStr">
        <is>
          <t>Treetop Freedom Fighters</t>
        </is>
      </c>
      <c r="B3206" s="13" t="inlineStr">
        <is>
          <t>Creature — Human Rebel Ally</t>
        </is>
      </c>
      <c r="C3206" s="13" t="inlineStr">
        <is>
          <t>Common / Comum</t>
        </is>
      </c>
      <c r="D3206" s="13" t="inlineStr">
        <is>
          <t>Haste When this creature enters, create a 1/1 white Ally creature token.</t>
        </is>
      </c>
      <c r="E3206" s="13" t="inlineStr">
        <is>
          <t>{2}{R}</t>
        </is>
      </c>
      <c r="F3206" s="13" t="inlineStr">
        <is>
          <t>Vermelho</t>
        </is>
      </c>
      <c r="G3206" s="8" t="n">
        <v>0.05</v>
      </c>
      <c r="H3206" s="13" t="inlineStr">
        <is>
          <t>Avatar: The Last Airbender (TLA)</t>
        </is>
      </c>
      <c r="I3206" s="13" t="inlineStr">
        <is>
          <t>Não</t>
        </is>
      </c>
      <c r="J3206" s="13" t="n">
        <v>2025</v>
      </c>
      <c r="K3206" s="10" t="n">
        <v>46024</v>
      </c>
      <c r="L3206" s="13" t="n">
        <v>2</v>
      </c>
      <c r="M3206" s="8">
        <f>L3206*G3206</f>
        <v/>
      </c>
      <c r="P3206" s="9" t="n"/>
    </row>
    <row r="3207">
      <c r="A3207" s="13" t="inlineStr">
        <is>
          <t>Trenching Steed / Corcel de Trincheira</t>
        </is>
      </c>
      <c r="B3207" s="13" t="inlineStr">
        <is>
          <t>Creature — Rebel / Criatura — Rebelde</t>
        </is>
      </c>
      <c r="C3207" s="13" t="inlineStr">
        <is>
          <t>Common / Comum</t>
        </is>
      </c>
      <c r="D3207" s="13" t="inlineStr">
        <is>
          <t>Sacrifice a land: Trenching Steed gets +0/+3 until end of turn. / Sacrifique um terreno: Corcel de Trincheira recebe +0/+3 até o final do turno.</t>
        </is>
      </c>
      <c r="E3207" s="13" t="inlineStr">
        <is>
          <t>{3}{W}</t>
        </is>
      </c>
      <c r="F3207" s="13" t="inlineStr">
        <is>
          <t>Branco</t>
        </is>
      </c>
      <c r="G3207" s="8" t="n">
        <v>0.09</v>
      </c>
      <c r="H3207" s="13" t="inlineStr">
        <is>
          <t>Nemesis (NMS)</t>
        </is>
      </c>
      <c r="I3207" s="13" t="inlineStr">
        <is>
          <t>No</t>
        </is>
      </c>
      <c r="J3207" s="13" t="n">
        <v>2000</v>
      </c>
      <c r="K3207" s="10" t="n">
        <v>46083</v>
      </c>
      <c r="L3207" s="13" t="n">
        <v>3</v>
      </c>
      <c r="M3207" s="8">
        <f>L3207*G3207</f>
        <v/>
      </c>
      <c r="P3207" s="9" t="n"/>
    </row>
    <row r="3208">
      <c r="A3208" s="13" t="inlineStr">
        <is>
          <t>Treno, Dark City / Treno, Cidade Sombria</t>
        </is>
      </c>
      <c r="B3208" s="13" t="inlineStr">
        <is>
          <t>Terreno — Vila</t>
        </is>
      </c>
      <c r="C3208" s="13" t="inlineStr">
        <is>
          <t>Rara</t>
        </is>
      </c>
      <c r="D3208" s="13" t="inlineStr">
        <is>
          <t>Este terreno entra virado. {T}: Adicione {U} ou {B}.</t>
        </is>
      </c>
      <c r="E3208" s="13" t="inlineStr">
        <is>
          <t>Não encontrado</t>
        </is>
      </c>
      <c r="F3208" s="13" t="inlineStr">
        <is>
          <t>Incolor</t>
        </is>
      </c>
      <c r="G3208" s="8" t="n">
        <v>0.15</v>
      </c>
      <c r="H3208" s="13" t="inlineStr">
        <is>
          <t>Final Fantasy</t>
        </is>
      </c>
      <c r="I3208" s="13" t="inlineStr">
        <is>
          <t>Não</t>
        </is>
      </c>
      <c r="J3208" s="13" t="n">
        <v>2025</v>
      </c>
      <c r="L3208" s="13" t="n">
        <v>2</v>
      </c>
      <c r="M3208" s="8">
        <f>L3208*G3208</f>
        <v/>
      </c>
      <c r="P3208" s="9" t="n"/>
    </row>
    <row r="3209">
      <c r="A3209" s="13" t="inlineStr">
        <is>
          <t>Trial of Agony</t>
        </is>
      </c>
      <c r="B3209" s="13" t="inlineStr">
        <is>
          <t>Sorcery</t>
        </is>
      </c>
      <c r="C3209" s="13" t="inlineStr">
        <is>
          <t>Uncommon / Incomum</t>
        </is>
      </c>
      <c r="D3209" s="13" t="inlineStr">
        <is>
          <t>Choose two target creatures controlled by the same opponent. That player chooses one of those creatures. Trial of Agony deals 5 damage to that creature, and the other can't block this turn.</t>
        </is>
      </c>
      <c r="E3209" s="13" t="inlineStr">
        <is>
          <t>{R}</t>
        </is>
      </c>
      <c r="F3209" s="13" t="inlineStr">
        <is>
          <t>Vermelho</t>
        </is>
      </c>
      <c r="G3209" s="8" t="n">
        <v>0.23</v>
      </c>
      <c r="H3209" s="13" t="inlineStr">
        <is>
          <t>Duskmourn: House of Horror (DSK)</t>
        </is>
      </c>
      <c r="I3209" s="13" t="inlineStr">
        <is>
          <t>Sim</t>
        </is>
      </c>
      <c r="J3209" s="13" t="n">
        <v>2024</v>
      </c>
      <c r="L3209" s="13" t="n">
        <v>1</v>
      </c>
      <c r="M3209" s="8">
        <f>L3209*G3209</f>
        <v/>
      </c>
      <c r="P3209" s="9" t="n"/>
    </row>
    <row r="3210">
      <c r="A3210" s="13" t="inlineStr">
        <is>
          <t>Trial of Zeal / Prova do Zelo</t>
        </is>
      </c>
      <c r="B3210" s="13" t="inlineStr">
        <is>
          <t>Enchantment / Encantamento</t>
        </is>
      </c>
      <c r="C3210" s="13" t="inlineStr">
        <is>
          <t>Uncommon / Incomum</t>
        </is>
      </c>
      <c r="D3210" s="13"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3210" s="13" t="inlineStr">
        <is>
          <t>{2}{R}</t>
        </is>
      </c>
      <c r="F3210" s="13" t="inlineStr">
        <is>
          <t>Vermelho</t>
        </is>
      </c>
      <c r="G3210" s="8" t="n">
        <v>0.06</v>
      </c>
      <c r="H3210" s="13" t="inlineStr">
        <is>
          <t>Amonkhet (AKH)</t>
        </is>
      </c>
      <c r="I3210" s="13" t="inlineStr">
        <is>
          <t>Não</t>
        </is>
      </c>
      <c r="J3210" s="13" t="n">
        <v>2017</v>
      </c>
      <c r="L3210" s="13" t="n">
        <v>1</v>
      </c>
      <c r="M3210" s="8">
        <f>L3210*G3210</f>
        <v/>
      </c>
      <c r="P3210" s="9" t="n"/>
    </row>
    <row r="3211">
      <c r="A3211" s="13" t="inlineStr">
        <is>
          <t>Tributary Vaulter</t>
        </is>
      </c>
      <c r="B3211" s="13" t="inlineStr">
        <is>
          <t>Creature — Merfolk Warrior</t>
        </is>
      </c>
      <c r="C3211" s="13" t="inlineStr">
        <is>
          <t>Common</t>
        </is>
      </c>
      <c r="D3211" s="13" t="inlineStr">
        <is>
          <t>Flying. Whenever this creature becomes tapped, another target Merfolk you control gets +2/+0 until end of turn.</t>
        </is>
      </c>
      <c r="E3211" s="13" t="inlineStr">
        <is>
          <t>{2}{W}</t>
        </is>
      </c>
      <c r="F3211" s="13" t="inlineStr">
        <is>
          <t>White</t>
        </is>
      </c>
      <c r="G3211" s="8" t="n">
        <v>0.2</v>
      </c>
      <c r="H3211" s="13" t="inlineStr">
        <is>
          <t>Lorwyn Eclipsed (ECL)</t>
        </is>
      </c>
      <c r="I3211" s="13" t="inlineStr">
        <is>
          <t>Sim</t>
        </is>
      </c>
      <c r="J3211" s="13" t="n">
        <v>2026</v>
      </c>
      <c r="K3211" s="10" t="n">
        <v>46082</v>
      </c>
      <c r="L3211" s="13" t="n">
        <v>1</v>
      </c>
      <c r="M3211" s="8">
        <f>L3211*G3211</f>
        <v/>
      </c>
      <c r="P3211" s="9" t="n"/>
    </row>
    <row r="3212">
      <c r="A3212" s="13" t="inlineStr">
        <is>
          <t>Triceraton Regenta / Regenta Triceráton</t>
        </is>
      </c>
      <c r="B3212" s="13" t="inlineStr">
        <is>
          <t>Criatura — Dinossauro Nobre</t>
        </is>
      </c>
      <c r="C3212" s="13" t="inlineStr">
        <is>
          <t>Comum</t>
        </is>
      </c>
      <c r="D3212" s="13" t="inlineStr">
        <is>
          <t>Vigilância (Atacar não faz esta criatura ser virada.) Sempre que esta criatura atacar, desvire até uma outra criatura alvo.</t>
        </is>
      </c>
      <c r="E3212" s="13" t="inlineStr">
        <is>
          <t>2{W}</t>
        </is>
      </c>
      <c r="F3212" s="13" t="inlineStr">
        <is>
          <t>Branco</t>
        </is>
      </c>
      <c r="G3212" s="8" t="n">
        <v>0.2</v>
      </c>
      <c r="H3212" s="13" t="inlineStr">
        <is>
          <t>Teenage Mutant Ninja Turtles</t>
        </is>
      </c>
      <c r="I3212" s="13" t="inlineStr">
        <is>
          <t>Não</t>
        </is>
      </c>
      <c r="J3212" s="13" t="n">
        <v>2026</v>
      </c>
      <c r="K3212" s="10" t="n">
        <v>46083</v>
      </c>
      <c r="L3212" s="13" t="n">
        <v>3</v>
      </c>
      <c r="M3212" s="8">
        <f>L3212*G3212</f>
        <v/>
      </c>
      <c r="P3212" s="9" t="n"/>
    </row>
    <row r="3213">
      <c r="A3213" s="13" t="inlineStr">
        <is>
          <t>Trilheira Wose / Wose Pathfinder</t>
        </is>
      </c>
      <c r="B3213" s="13" t="inlineStr">
        <is>
          <t>Criatura — Humano Xamã</t>
        </is>
      </c>
      <c r="C3213" s="13" t="inlineStr">
        <is>
          <t>Comum</t>
        </is>
      </c>
      <c r="D3213" s="13" t="inlineStr">
        <is>
          <t>{T}: Adicione um mana de qualquer cor. {6}{G}, {T}: Outra criatura alvo recebe +3/+3 e ganha atropelar até o final do turno.</t>
        </is>
      </c>
      <c r="E3213" s="13" t="inlineStr">
        <is>
          <t>1{G}</t>
        </is>
      </c>
      <c r="F3213" s="13" t="inlineStr">
        <is>
          <t>Verde</t>
        </is>
      </c>
      <c r="G3213" s="8" t="n">
        <v>0.08</v>
      </c>
      <c r="H3213" s="13" t="inlineStr">
        <is>
          <t>The Lord of the Rings: Tales of Middle-earth (LTR)</t>
        </is>
      </c>
      <c r="I3213" s="13" t="inlineStr">
        <is>
          <t>Não</t>
        </is>
      </c>
      <c r="J3213" s="13" t="n">
        <v>2023</v>
      </c>
      <c r="K3213" s="10" t="n">
        <v>46023</v>
      </c>
      <c r="L3213" s="13" t="n">
        <v>1</v>
      </c>
      <c r="M3213" s="8">
        <f>L3213*G3213</f>
        <v/>
      </c>
      <c r="P3213" s="9" t="n"/>
    </row>
    <row r="3214">
      <c r="A3214" s="13" t="inlineStr">
        <is>
          <t>Trip Noose / Nó de Viagem</t>
        </is>
      </c>
      <c r="B3214" s="13" t="inlineStr">
        <is>
          <t>Artifact / Artefato</t>
        </is>
      </c>
      <c r="C3214" s="13" t="inlineStr">
        <is>
          <t>Common / Comum</t>
        </is>
      </c>
      <c r="D3214" s="13" t="inlineStr">
        <is>
          <t>{2}, {T}: Tap target creature.</t>
        </is>
      </c>
      <c r="E3214" s="13" t="inlineStr">
        <is>
          <t>{2}</t>
        </is>
      </c>
      <c r="F3214" s="13" t="inlineStr">
        <is>
          <t>Incolor</t>
        </is>
      </c>
      <c r="G3214" s="8" t="n">
        <v>0.06</v>
      </c>
      <c r="H3214" s="13" t="inlineStr">
        <is>
          <t>Shadowmoor (SHM)</t>
        </is>
      </c>
      <c r="I3214" s="13" t="inlineStr">
        <is>
          <t>No</t>
        </is>
      </c>
      <c r="J3214" s="13" t="n">
        <v>2008</v>
      </c>
      <c r="L3214" s="13" t="n">
        <v>1</v>
      </c>
      <c r="M3214" s="8">
        <f>L3214*G3214</f>
        <v/>
      </c>
      <c r="P3214" s="9" t="n"/>
    </row>
    <row r="3215">
      <c r="A3215" s="13" t="inlineStr">
        <is>
          <t>Trip Up</t>
        </is>
      </c>
      <c r="B3215" s="13" t="inlineStr">
        <is>
          <t>Instant</t>
        </is>
      </c>
      <c r="C3215" s="13" t="inlineStr">
        <is>
          <t>Common / Comum</t>
        </is>
      </c>
      <c r="D3215" s="13" t="inlineStr">
        <is>
          <t>Target nonland permanent's owner puts it on their choice of the top or bottom of their library. Cycling {2} ({2}, Discard this card: Draw a card.)</t>
        </is>
      </c>
      <c r="E3215" s="13" t="inlineStr">
        <is>
          <t>{3}{U}</t>
        </is>
      </c>
      <c r="F3215" s="13" t="inlineStr">
        <is>
          <t>Azul</t>
        </is>
      </c>
      <c r="G3215" s="8" t="n">
        <v>0.05</v>
      </c>
      <c r="H3215" s="13" t="inlineStr">
        <is>
          <t>Aetherdrift (DFT)</t>
        </is>
      </c>
      <c r="I3215" s="13" t="inlineStr">
        <is>
          <t>Não</t>
        </is>
      </c>
      <c r="J3215" s="13" t="n">
        <v>2025</v>
      </c>
      <c r="L3215" s="13" t="n">
        <v>1</v>
      </c>
      <c r="M3215" s="8">
        <f>L3215*G3215</f>
        <v/>
      </c>
      <c r="P3215" s="9" t="n"/>
    </row>
    <row r="3216">
      <c r="A3216" s="13" t="inlineStr">
        <is>
          <t>Triple Triad / Tríade Tripla</t>
        </is>
      </c>
      <c r="B3216" s="13" t="inlineStr">
        <is>
          <t>Encantamento</t>
        </is>
      </c>
      <c r="C3216" s="13" t="inlineStr">
        <is>
          <t>Rara</t>
        </is>
      </c>
      <c r="D3216" s="13"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3216" s="13" t="inlineStr">
        <is>
          <t>3RRR</t>
        </is>
      </c>
      <c r="F3216" s="13" t="inlineStr">
        <is>
          <t>Vermelho</t>
        </is>
      </c>
      <c r="G3216" s="8" t="n">
        <v>2.66</v>
      </c>
      <c r="H3216" s="13" t="inlineStr">
        <is>
          <t>Final Fantasy</t>
        </is>
      </c>
      <c r="I3216" s="13" t="inlineStr">
        <is>
          <t>Não</t>
        </is>
      </c>
      <c r="J3216" s="13" t="n">
        <v>2025</v>
      </c>
      <c r="L3216" s="13" t="n">
        <v>1</v>
      </c>
      <c r="M3216" s="8">
        <f>L3216*G3216</f>
        <v/>
      </c>
      <c r="P3216" s="9" t="n"/>
    </row>
    <row r="3217">
      <c r="A3217" s="13" t="inlineStr">
        <is>
          <t>Triskaidekaphobia / Triscaidecafobia</t>
        </is>
      </c>
      <c r="B3217" s="13" t="inlineStr">
        <is>
          <t>Enchantment / Encantamento</t>
        </is>
      </c>
      <c r="C3217" s="13" t="inlineStr">
        <is>
          <t>Rare / Rara</t>
        </is>
      </c>
      <c r="D3217" s="13"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3217" s="13" t="inlineStr">
        <is>
          <t>{3}{B}</t>
        </is>
      </c>
      <c r="F3217" s="13" t="inlineStr">
        <is>
          <t>Preto</t>
        </is>
      </c>
      <c r="G3217" s="8" t="n">
        <v>0.15</v>
      </c>
      <c r="H3217" s="13" t="inlineStr">
        <is>
          <t>Masters 25 (A25)</t>
        </is>
      </c>
      <c r="I3217" s="13" t="inlineStr">
        <is>
          <t>Não</t>
        </is>
      </c>
      <c r="J3217" s="13" t="n">
        <v>2018</v>
      </c>
      <c r="L3217" s="13" t="n">
        <v>1</v>
      </c>
      <c r="M3217" s="8">
        <f>L3217*G3217</f>
        <v/>
      </c>
      <c r="P3217" s="9" t="n"/>
    </row>
    <row r="3218">
      <c r="A3218" s="13" t="inlineStr">
        <is>
          <t>Triton Cavalry / Cavalaria Talassida</t>
        </is>
      </c>
      <c r="B3218" s="13" t="inlineStr">
        <is>
          <t>Criatura — Tritão Soldado</t>
        </is>
      </c>
      <c r="C3218" s="13" t="inlineStr">
        <is>
          <t>Incomum</t>
        </is>
      </c>
      <c r="D3218" s="13" t="inlineStr">
        <is>
          <t>Heroico — Toda vez que você conjura uma mágica cujo alvo seja Cavalaria Talassida, você poderá devolver o encantamento alvo para a mão de seu dono.</t>
        </is>
      </c>
      <c r="E3218" s="13" t="inlineStr">
        <is>
          <t>3U</t>
        </is>
      </c>
      <c r="F3218" s="13" t="inlineStr">
        <is>
          <t>Azul</t>
        </is>
      </c>
      <c r="G3218" s="8" t="n">
        <v>0.05</v>
      </c>
      <c r="H3218" s="13" t="inlineStr">
        <is>
          <t>Journey into Nyx</t>
        </is>
      </c>
      <c r="I3218" s="13" t="inlineStr">
        <is>
          <t>Não</t>
        </is>
      </c>
      <c r="J3218" s="13" t="n">
        <v>2014</v>
      </c>
      <c r="K3218" s="10" t="n">
        <v>46114</v>
      </c>
      <c r="L3218" s="13" t="n">
        <v>1</v>
      </c>
      <c r="M3218" s="8">
        <f>L3218*G3218</f>
        <v/>
      </c>
      <c r="P3218" s="9" t="n"/>
    </row>
    <row r="3219">
      <c r="A3219" s="13" t="inlineStr">
        <is>
          <t>Triturador de Códices / Codex Shredder</t>
        </is>
      </c>
      <c r="B3219" s="13" t="inlineStr">
        <is>
          <t>Artefato</t>
        </is>
      </c>
      <c r="C3219" s="13" t="inlineStr">
        <is>
          <t>Incomum</t>
        </is>
      </c>
      <c r="D3219" s="13" t="inlineStr">
        <is>
          <t>{T}: O jogador alvo coloca o card do topo do grimório dele no próprio cemitério. {5}, {T}, Sacrifique Triturador de Códices: Devolva o card alvo de seu cemitério para sua mão.</t>
        </is>
      </c>
      <c r="E3219" s="13" t="inlineStr">
        <is>
          <t>{1}</t>
        </is>
      </c>
      <c r="F3219" s="13" t="inlineStr">
        <is>
          <t>Incolor</t>
        </is>
      </c>
      <c r="G3219" s="8" t="n">
        <v>0.25</v>
      </c>
      <c r="H3219" s="13" t="inlineStr">
        <is>
          <t>Return to Ravnica (RTR)</t>
        </is>
      </c>
      <c r="I3219" s="13" t="inlineStr">
        <is>
          <t>Não</t>
        </is>
      </c>
      <c r="J3219" s="13" t="n">
        <v>2012</v>
      </c>
      <c r="L3219" s="13" t="n">
        <v>3</v>
      </c>
      <c r="M3219" s="8">
        <f>L3219*G3219</f>
        <v/>
      </c>
      <c r="P3219" s="9" t="n"/>
    </row>
    <row r="3220">
      <c r="A3220" s="13" t="inlineStr">
        <is>
          <t>Tromokratis</t>
        </is>
      </c>
      <c r="B3220" s="13" t="inlineStr">
        <is>
          <t>Legendary Creature — Kraken / Criatura Lendária — Kraken</t>
        </is>
      </c>
      <c r="C3220" s="13" t="inlineStr">
        <is>
          <t>Uncommon / Incomum</t>
        </is>
      </c>
      <c r="D3220" s="13"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3220" s="13" t="inlineStr">
        <is>
          <t>{5}{U}{U}</t>
        </is>
      </c>
      <c r="F3220" s="13" t="inlineStr">
        <is>
          <t>Azul</t>
        </is>
      </c>
      <c r="G3220" s="8" t="n">
        <v>0.29</v>
      </c>
      <c r="H3220" s="13" t="inlineStr">
        <is>
          <t>Commander Masters (CMM)</t>
        </is>
      </c>
      <c r="I3220" s="13" t="inlineStr">
        <is>
          <t>Não</t>
        </is>
      </c>
      <c r="J3220" s="13" t="n">
        <v>2023</v>
      </c>
      <c r="K3220" s="10" t="n">
        <v>46242</v>
      </c>
      <c r="L3220" s="13" t="n">
        <v>1</v>
      </c>
      <c r="M3220" s="8">
        <f>L3220*G3220</f>
        <v/>
      </c>
      <c r="P3220" s="9" t="n"/>
    </row>
    <row r="3221">
      <c r="A3221" s="13" t="inlineStr">
        <is>
          <t>Tronquesperto, Jovem Ent / Quickbeam, Upstart Ent</t>
        </is>
      </c>
      <c r="B3221" s="13" t="inlineStr">
        <is>
          <t>Criatura Lendária — Ent</t>
        </is>
      </c>
      <c r="C3221" s="13" t="inlineStr">
        <is>
          <t>Incomum</t>
        </is>
      </c>
      <c r="D3221" s="13" t="inlineStr">
        <is>
          <t>Toda vez que Tronquesperto, Jovem Ent, ou outro Ent entrar no campo de batalha sob seu controle, cada uma de até duas criaturas alvo recebe +2/+2 e ganha atropelar até o final do turno.</t>
        </is>
      </c>
      <c r="E3221" s="13" t="inlineStr">
        <is>
          <t>4{G}{G}</t>
        </is>
      </c>
      <c r="F3221" s="13" t="inlineStr">
        <is>
          <t>Verde</t>
        </is>
      </c>
      <c r="G3221" s="8" t="n">
        <v>0.25</v>
      </c>
      <c r="H3221" s="13" t="inlineStr">
        <is>
          <t>The Lord of the Rings: Tales of Middle-earth (LTR)</t>
        </is>
      </c>
      <c r="I3221" s="13" t="inlineStr">
        <is>
          <t>Não</t>
        </is>
      </c>
      <c r="J3221" s="13" t="n">
        <v>2023</v>
      </c>
      <c r="K3221" s="10" t="n">
        <v>46178</v>
      </c>
      <c r="L3221" s="13" t="n">
        <v>2</v>
      </c>
      <c r="M3221" s="8">
        <f>L3221*G3221</f>
        <v/>
      </c>
      <c r="P3221" s="9" t="n"/>
    </row>
    <row r="3222">
      <c r="A3222" s="13" t="inlineStr">
        <is>
          <t>Trostani's Judgment / Julgamento de Trostani</t>
        </is>
      </c>
      <c r="B3222" s="13" t="inlineStr">
        <is>
          <t>Instant / Mágica Instantânea</t>
        </is>
      </c>
      <c r="C3222" s="13" t="inlineStr">
        <is>
          <t>Common / Comum</t>
        </is>
      </c>
      <c r="D3222" s="13" t="inlineStr">
        <is>
          <t>Exile target creature, then populate. (Create a token that's a copy of a creature token you control.) / Exile a criatura alvo e depois povoe. (Coloque no campo de batalha uma ficha que seja uma cópia de uma ficha de criatura que você controla.)</t>
        </is>
      </c>
      <c r="E3222" s="13" t="inlineStr">
        <is>
          <t>{5}{W}</t>
        </is>
      </c>
      <c r="F3222" s="13" t="inlineStr">
        <is>
          <t>Branco</t>
        </is>
      </c>
      <c r="G3222" s="8" t="n">
        <v>0.05</v>
      </c>
      <c r="H3222" s="13" t="inlineStr">
        <is>
          <t>Return to Ravnica (RTR)</t>
        </is>
      </c>
      <c r="I3222" s="13" t="inlineStr">
        <is>
          <t>Não</t>
        </is>
      </c>
      <c r="J3222" s="13" t="n">
        <v>2012</v>
      </c>
      <c r="L3222" s="13" t="n">
        <v>1</v>
      </c>
      <c r="M3222" s="8">
        <f>L3222*G3222</f>
        <v/>
      </c>
      <c r="P3222" s="9" t="n"/>
    </row>
    <row r="3223">
      <c r="A3223" s="13" t="inlineStr">
        <is>
          <t>Truck Toss / Arremesso de Caminhão</t>
        </is>
      </c>
      <c r="B3223" s="13" t="inlineStr">
        <is>
          <t>Mágica Instantânea</t>
        </is>
      </c>
      <c r="C3223" s="13" t="inlineStr">
        <is>
          <t>Incomum</t>
        </is>
      </c>
      <c r="D3223" s="13" t="inlineStr">
        <is>
          <t>Esta mágica custa {2} a menos para ser conjurada se você controlar um Veículo. Arremesso de Caminhão causa 4 de dano a qualquer alvo.</t>
        </is>
      </c>
      <c r="E3223" s="13" t="inlineStr">
        <is>
          <t>2{R}{R}</t>
        </is>
      </c>
      <c r="F3223" s="13" t="inlineStr">
        <is>
          <t>Vermelho</t>
        </is>
      </c>
      <c r="G3223" s="8" t="n">
        <v>0.44</v>
      </c>
      <c r="H3223" s="13" t="inlineStr">
        <is>
          <t>Marvel</t>
        </is>
      </c>
      <c r="I3223" s="13" t="inlineStr">
        <is>
          <t>Não</t>
        </is>
      </c>
      <c r="J3223" s="13" t="n">
        <v>2026</v>
      </c>
      <c r="L3223" s="13" t="n">
        <v>1</v>
      </c>
      <c r="M3223" s="8">
        <f>L3223*G3223</f>
        <v/>
      </c>
      <c r="P3223" s="9" t="n"/>
    </row>
    <row r="3224">
      <c r="A3224" s="13" t="inlineStr">
        <is>
          <t>Truefire Captain / Capitã do Fogo Genuíno</t>
        </is>
      </c>
      <c r="B3224" s="13" t="inlineStr">
        <is>
          <t>Creature — Human Knight / Criatura — Humano Cavaleiro</t>
        </is>
      </c>
      <c r="C3224" s="13" t="inlineStr">
        <is>
          <t>Uncommon / Incomum</t>
        </is>
      </c>
      <c r="D3224" s="13"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3224" s="13" t="inlineStr">
        <is>
          <t>{R}{R}{W}{W}</t>
        </is>
      </c>
      <c r="F3224" s="13" t="inlineStr">
        <is>
          <t>Vermelho, Branco</t>
        </is>
      </c>
      <c r="G3224" s="8" t="n">
        <v>0.17</v>
      </c>
      <c r="H3224" s="13" t="inlineStr">
        <is>
          <t>Ravnica Remastered (RVR)</t>
        </is>
      </c>
      <c r="I3224" s="13" t="inlineStr">
        <is>
          <t>Não</t>
        </is>
      </c>
      <c r="J3224" s="13" t="n">
        <v>2024</v>
      </c>
      <c r="K3224" s="10" t="n">
        <v>46085</v>
      </c>
      <c r="L3224" s="13" t="n">
        <v>1</v>
      </c>
      <c r="M3224" s="8">
        <f>L3224*G3224</f>
        <v/>
      </c>
      <c r="P3224" s="9" t="n"/>
    </row>
    <row r="3225">
      <c r="A3225" s="13" t="inlineStr">
        <is>
          <t>Trumpet Blast / Soar da Trombeta</t>
        </is>
      </c>
      <c r="B3225" s="13" t="inlineStr">
        <is>
          <t>Instant / Mágica Instantânea</t>
        </is>
      </c>
      <c r="C3225" s="13" t="inlineStr">
        <is>
          <t>Common / Comum</t>
        </is>
      </c>
      <c r="D3225" s="13" t="inlineStr">
        <is>
          <t>Attacking creatures get +2/+0 until end of turn. / As criaturas atacantes recebem +2/+0 até o final do turno.</t>
        </is>
      </c>
      <c r="E3225" s="13" t="inlineStr">
        <is>
          <t>{2}{R}</t>
        </is>
      </c>
      <c r="F3225" s="13" t="inlineStr">
        <is>
          <t>Vermelho</t>
        </is>
      </c>
      <c r="G3225" s="8" t="n">
        <v>0.03</v>
      </c>
      <c r="H3225" s="13" t="inlineStr">
        <is>
          <t>Magic 2010 (M10)</t>
        </is>
      </c>
      <c r="I3225" s="13" t="inlineStr">
        <is>
          <t>Não</t>
        </is>
      </c>
      <c r="J3225" s="13" t="n">
        <v>2009</v>
      </c>
      <c r="L3225" s="13" t="n">
        <v>1</v>
      </c>
      <c r="M3225" s="8">
        <f>L3225*G3225</f>
        <v/>
      </c>
      <c r="P3225" s="9" t="n"/>
    </row>
    <row r="3226">
      <c r="A3226" s="13" t="inlineStr">
        <is>
          <t>Trusted Pegasus / Pégaso Confiável</t>
        </is>
      </c>
      <c r="B3226" s="13" t="inlineStr">
        <is>
          <t>Creature — Pegasus / Criatura — Pégaso</t>
        </is>
      </c>
      <c r="C3226" s="13" t="inlineStr">
        <is>
          <t>Common / Comum</t>
        </is>
      </c>
      <c r="D3226" s="13"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3226" s="13" t="inlineStr">
        <is>
          <t>{2}{W}</t>
        </is>
      </c>
      <c r="F3226" s="13" t="inlineStr">
        <is>
          <t>Branco</t>
        </is>
      </c>
      <c r="G3226" s="8" t="n">
        <v>0.03</v>
      </c>
      <c r="H3226" s="13" t="inlineStr">
        <is>
          <t>War of the Spark (WAR)</t>
        </is>
      </c>
      <c r="I3226" s="13" t="inlineStr">
        <is>
          <t>Não</t>
        </is>
      </c>
      <c r="J3226" s="13" t="n">
        <v>2019</v>
      </c>
      <c r="K3226" s="10" t="n">
        <v>46055</v>
      </c>
      <c r="L3226" s="13" t="n">
        <v>1</v>
      </c>
      <c r="M3226" s="8">
        <f>L3226*G3226</f>
        <v/>
      </c>
      <c r="P3226" s="9" t="n"/>
    </row>
    <row r="3227">
      <c r="A3227" s="13" t="inlineStr">
        <is>
          <t>Trusty Boomerang</t>
        </is>
      </c>
      <c r="B3227" s="13" t="inlineStr">
        <is>
          <t>Artifact — Equipment</t>
        </is>
      </c>
      <c r="C3227" s="13" t="inlineStr">
        <is>
          <t>Uncommon / Incomum</t>
        </is>
      </c>
      <c r="D3227" s="13" t="inlineStr">
        <is>
          <t>Equipped creature has "{1}, {T}: Tap target creature. Return Trusty Boomerang to its owner's hand." Equip {1} ({1}: Attach to target creature you control. Equip only as a sorcery.)</t>
        </is>
      </c>
      <c r="E3227" s="13" t="inlineStr">
        <is>
          <t>{1}</t>
        </is>
      </c>
      <c r="F3227" s="13" t="inlineStr">
        <is>
          <t>Incolor</t>
        </is>
      </c>
      <c r="G3227" s="8" t="n">
        <v>0.1</v>
      </c>
      <c r="H3227" s="13" t="inlineStr">
        <is>
          <t>Avatar: The Last Airbender (TLA)</t>
        </is>
      </c>
      <c r="I3227" s="13" t="inlineStr">
        <is>
          <t>Não</t>
        </is>
      </c>
      <c r="J3227" s="13" t="n">
        <v>2025</v>
      </c>
      <c r="L3227" s="13" t="n">
        <v>1</v>
      </c>
      <c r="M3227" s="8">
        <f>L3227*G3227</f>
        <v/>
      </c>
      <c r="P3227" s="9" t="n"/>
    </row>
    <row r="3228">
      <c r="A3228" s="13" t="inlineStr">
        <is>
          <t>Tuktuk Rubblefort / Forte dos Escombros Tuktuk</t>
        </is>
      </c>
      <c r="B3228" s="13" t="inlineStr">
        <is>
          <t>Creature — Wall / Criatura — Barreira</t>
        </is>
      </c>
      <c r="C3228" s="13" t="inlineStr">
        <is>
          <t>Common / Comum</t>
        </is>
      </c>
      <c r="D3228" s="13" t="inlineStr">
        <is>
          <t>Defender, reach Creatures you control have haste. / Defensor, alcance As criaturas que você controla têm ímpeto.</t>
        </is>
      </c>
      <c r="E3228" s="13" t="inlineStr">
        <is>
          <t>{2}{R}</t>
        </is>
      </c>
      <c r="F3228" s="13" t="inlineStr">
        <is>
          <t>Vermelho</t>
        </is>
      </c>
      <c r="G3228" s="8" t="n">
        <v>0.25</v>
      </c>
      <c r="H3228" s="13" t="inlineStr">
        <is>
          <t>Zendikar Rising (ZNR)</t>
        </is>
      </c>
      <c r="I3228" s="13" t="inlineStr">
        <is>
          <t>Não</t>
        </is>
      </c>
      <c r="J3228" s="13" t="n">
        <v>2020</v>
      </c>
      <c r="K3228" s="13" t="inlineStr">
        <is>
          <t>0/3</t>
        </is>
      </c>
      <c r="L3228" s="13" t="n">
        <v>2</v>
      </c>
      <c r="M3228" s="8">
        <f>L3228*G3228</f>
        <v/>
      </c>
      <c r="P3228" s="9" t="n"/>
    </row>
    <row r="3229">
      <c r="A3229" s="13" t="inlineStr">
        <is>
          <t>Tuktuk Scrapper / Sucateiro Tuktuk</t>
        </is>
      </c>
      <c r="B3229" s="13" t="inlineStr">
        <is>
          <t>Creature — Goblin Artificer Ally / Criatura — Goblin Artesão Aliado</t>
        </is>
      </c>
      <c r="C3229" s="13" t="inlineStr">
        <is>
          <t>Uncommon / Incomum</t>
        </is>
      </c>
      <c r="D3229" s="13"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3229" s="13" t="inlineStr">
        <is>
          <t>{3}{R}</t>
        </is>
      </c>
      <c r="F3229" s="13" t="inlineStr">
        <is>
          <t>Vermelho</t>
        </is>
      </c>
      <c r="G3229" s="8" t="n">
        <v>0.2</v>
      </c>
      <c r="H3229" s="13" t="inlineStr">
        <is>
          <t>Worldwake (WWK)</t>
        </is>
      </c>
      <c r="I3229" s="13" t="inlineStr">
        <is>
          <t>Não</t>
        </is>
      </c>
      <c r="J3229" s="13" t="n">
        <v>2010</v>
      </c>
      <c r="K3229" s="10" t="n">
        <v>46055</v>
      </c>
      <c r="L3229" s="13" t="n">
        <v>1</v>
      </c>
      <c r="M3229" s="8">
        <f>L3229*G3229</f>
        <v/>
      </c>
      <c r="P3229" s="9" t="n"/>
    </row>
    <row r="3230">
      <c r="A3230" s="13" t="inlineStr">
        <is>
          <t>Tumble Magnet / Ímã de Tumulto</t>
        </is>
      </c>
      <c r="B3230" s="13" t="inlineStr">
        <is>
          <t>Artifact / Artefato</t>
        </is>
      </c>
      <c r="C3230" s="13" t="inlineStr">
        <is>
          <t>Uncommon / Incomum</t>
        </is>
      </c>
      <c r="D3230" s="13"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3230" s="13" t="inlineStr">
        <is>
          <t>{3}</t>
        </is>
      </c>
      <c r="F3230" s="13" t="inlineStr">
        <is>
          <t>Incolor</t>
        </is>
      </c>
      <c r="G3230" s="8" t="n">
        <v>0.03</v>
      </c>
      <c r="H3230" s="13" t="inlineStr">
        <is>
          <t>Modern Masters 2015 Edition (MM2)</t>
        </is>
      </c>
      <c r="I3230" s="13" t="inlineStr">
        <is>
          <t>No</t>
        </is>
      </c>
      <c r="J3230" s="13" t="n">
        <v>2015</v>
      </c>
      <c r="L3230" s="13" t="n">
        <v>1</v>
      </c>
      <c r="M3230" s="8">
        <f>L3230*G3230</f>
        <v/>
      </c>
      <c r="P3230" s="9" t="n"/>
    </row>
    <row r="3231">
      <c r="A3231" s="13" t="inlineStr">
        <is>
          <t>Tundra Tank</t>
        </is>
      </c>
      <c r="B3231" s="13" t="inlineStr">
        <is>
          <t>Artifact — Vehicle</t>
        </is>
      </c>
      <c r="C3231" s="13" t="inlineStr">
        <is>
          <t>Uncommon / Incomum</t>
        </is>
      </c>
      <c r="D3231" s="13"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3231" s="13" t="inlineStr">
        <is>
          <t>{2}{B}</t>
        </is>
      </c>
      <c r="F3231" s="13" t="inlineStr">
        <is>
          <t>Preto</t>
        </is>
      </c>
      <c r="G3231" s="8" t="n">
        <v>0.15</v>
      </c>
      <c r="H3231" s="13" t="inlineStr">
        <is>
          <t>Avatar: The Last Airbender (TLA)</t>
        </is>
      </c>
      <c r="I3231" s="13" t="inlineStr">
        <is>
          <t>Não</t>
        </is>
      </c>
      <c r="J3231" s="13" t="n">
        <v>2025</v>
      </c>
      <c r="K3231" s="10" t="n">
        <v>46116</v>
      </c>
      <c r="L3231" s="13" t="n">
        <v>1</v>
      </c>
      <c r="M3231" s="8">
        <f>L3231*G3231</f>
        <v/>
      </c>
      <c r="P3231" s="9" t="n"/>
    </row>
    <row r="3232">
      <c r="A3232" s="13" t="inlineStr">
        <is>
          <t>Tundra Wolves / Lobos da Tundra</t>
        </is>
      </c>
      <c r="B3232" s="13" t="inlineStr">
        <is>
          <t>Creature — Wolf</t>
        </is>
      </c>
      <c r="C3232" s="13" t="inlineStr">
        <is>
          <t>Common</t>
        </is>
      </c>
      <c r="D3232" s="13" t="inlineStr">
        <is>
          <t>First strike</t>
        </is>
      </c>
      <c r="E3232" s="13" t="inlineStr">
        <is>
          <t>{W}</t>
        </is>
      </c>
      <c r="F3232" s="13" t="inlineStr">
        <is>
          <t>White</t>
        </is>
      </c>
      <c r="G3232" s="8" t="n">
        <v>0.1</v>
      </c>
      <c r="H3232" s="13" t="inlineStr">
        <is>
          <t>Fourth Edition</t>
        </is>
      </c>
      <c r="I3232" s="13" t="inlineStr">
        <is>
          <t>No</t>
        </is>
      </c>
      <c r="J3232" s="13" t="n">
        <v>1999</v>
      </c>
      <c r="K3232" s="10" t="n">
        <v>46023</v>
      </c>
      <c r="L3232" s="13" t="n">
        <v>1</v>
      </c>
      <c r="M3232" s="8">
        <f>L3232*G3232</f>
        <v/>
      </c>
      <c r="P3232" s="9" t="n"/>
    </row>
    <row r="3233">
      <c r="A3233" s="13" t="inlineStr">
        <is>
          <t>Tundra Wolves / Lobos da Tundra</t>
        </is>
      </c>
      <c r="B3233" s="13" t="inlineStr">
        <is>
          <t>Creature — Wolf</t>
        </is>
      </c>
      <c r="C3233" s="13" t="inlineStr">
        <is>
          <t>Common</t>
        </is>
      </c>
      <c r="D3233" s="13" t="inlineStr">
        <is>
          <t>First strike</t>
        </is>
      </c>
      <c r="E3233" s="13" t="inlineStr">
        <is>
          <t>{W}</t>
        </is>
      </c>
      <c r="F3233" s="13" t="inlineStr">
        <is>
          <t>White</t>
        </is>
      </c>
      <c r="G3233" s="8" t="n">
        <v>0.28</v>
      </c>
      <c r="H3233" s="13" t="inlineStr">
        <is>
          <t>Fourth Edition (BB)</t>
        </is>
      </c>
      <c r="I3233" s="13" t="inlineStr">
        <is>
          <t>No</t>
        </is>
      </c>
      <c r="J3233" s="13" t="n">
        <v>1995</v>
      </c>
      <c r="K3233" s="10" t="n">
        <v>46023</v>
      </c>
      <c r="L3233" s="13" t="n">
        <v>6</v>
      </c>
      <c r="M3233" s="8">
        <f>L3233*G3233</f>
        <v/>
      </c>
      <c r="P3233" s="9" t="n"/>
    </row>
    <row r="3234">
      <c r="A3234" s="13" t="inlineStr">
        <is>
          <t>Tunnel / Túnel</t>
        </is>
      </c>
      <c r="B3234" s="13" t="inlineStr">
        <is>
          <t>Instant / Mágica Instantânea</t>
        </is>
      </c>
      <c r="C3234" s="13" t="inlineStr">
        <is>
          <t>Uncommon / Incomum</t>
        </is>
      </c>
      <c r="D3234" s="13" t="inlineStr">
        <is>
          <t>Destroy target Wall. It can't be regenerated. / Enterra a barreira-alvo.</t>
        </is>
      </c>
      <c r="E3234" s="13" t="inlineStr">
        <is>
          <t>{R}</t>
        </is>
      </c>
      <c r="F3234" s="13" t="inlineStr">
        <is>
          <t>Vermelho</t>
        </is>
      </c>
      <c r="G3234" s="8" t="n">
        <v>0.14</v>
      </c>
      <c r="H3234" s="13" t="inlineStr">
        <is>
          <t>Fourth Edition</t>
        </is>
      </c>
      <c r="I3234" s="13" t="inlineStr">
        <is>
          <t>Não</t>
        </is>
      </c>
      <c r="J3234" s="13" t="n">
        <v>1995</v>
      </c>
      <c r="L3234" s="13" t="n">
        <v>1</v>
      </c>
      <c r="M3234" s="8">
        <f>L3234*G3234</f>
        <v/>
      </c>
      <c r="P3234" s="9" t="n"/>
    </row>
    <row r="3235">
      <c r="A3235" s="13" t="inlineStr">
        <is>
          <t>Tunnel / Túnel</t>
        </is>
      </c>
      <c r="B3235" s="13" t="inlineStr">
        <is>
          <t>Instant / Mágica Instantânea</t>
        </is>
      </c>
      <c r="C3235" s="13" t="inlineStr">
        <is>
          <t>Uncommon / Incomum</t>
        </is>
      </c>
      <c r="D3235" s="13" t="inlineStr">
        <is>
          <t>Destroy target Wall. It can't be regenerated. / Enterra a barreira-alvo.</t>
        </is>
      </c>
      <c r="E3235" s="13" t="inlineStr">
        <is>
          <t>{R}</t>
        </is>
      </c>
      <c r="F3235" s="13" t="inlineStr">
        <is>
          <t>Vermelho</t>
        </is>
      </c>
      <c r="G3235" s="8" t="n">
        <v>0.44</v>
      </c>
      <c r="H3235" s="13" t="inlineStr">
        <is>
          <t>Fourth Edition (BB)</t>
        </is>
      </c>
      <c r="I3235" s="13" t="inlineStr">
        <is>
          <t>Não</t>
        </is>
      </c>
      <c r="J3235" s="13" t="n">
        <v>1995</v>
      </c>
      <c r="L3235" s="13" t="n">
        <v>1</v>
      </c>
      <c r="M3235" s="8">
        <f>L3235*G3235</f>
        <v/>
      </c>
      <c r="P3235" s="9" t="n"/>
    </row>
    <row r="3236">
      <c r="A3236" s="13" t="inlineStr">
        <is>
          <t>Tunnel Rats</t>
        </is>
      </c>
      <c r="B3236" s="13" t="inlineStr">
        <is>
          <t>Creature — Rat</t>
        </is>
      </c>
      <c r="C3236" s="13" t="inlineStr">
        <is>
          <t>Common / Comum</t>
        </is>
      </c>
      <c r="D3236" s="13" t="inlineStr">
        <is>
          <t>{4}{B}: Return this card from your graveyard to the battlefield tapped.</t>
        </is>
      </c>
      <c r="E3236" s="13" t="inlineStr">
        <is>
          <t>{1}{B}</t>
        </is>
      </c>
      <c r="F3236" s="13" t="inlineStr">
        <is>
          <t>Preto</t>
        </is>
      </c>
      <c r="G3236" s="8" t="n">
        <v>0.1</v>
      </c>
      <c r="H3236" s="13" t="inlineStr">
        <is>
          <t>Teenage Mutant Ninja Turtles (TMT)</t>
        </is>
      </c>
      <c r="I3236" s="13" t="inlineStr">
        <is>
          <t>Não</t>
        </is>
      </c>
      <c r="J3236" s="13" t="n">
        <v>2026</v>
      </c>
      <c r="K3236" s="10" t="n">
        <v>46055</v>
      </c>
      <c r="L3236" s="13" t="n">
        <v>1</v>
      </c>
      <c r="M3236" s="8">
        <f>L3236*G3236</f>
        <v/>
      </c>
      <c r="P3236" s="9" t="n"/>
    </row>
    <row r="3237">
      <c r="A3237" s="13" t="inlineStr">
        <is>
          <t>Tunnel Surveyor</t>
        </is>
      </c>
      <c r="B3237" s="13" t="inlineStr">
        <is>
          <t>Creature — Human Detective</t>
        </is>
      </c>
      <c r="C3237" s="13" t="inlineStr">
        <is>
          <t>Common / Comum</t>
        </is>
      </c>
      <c r="D3237" s="13" t="inlineStr">
        <is>
          <t>When this creature enters, create a 1/1 white Glimmer enchantment creature token.</t>
        </is>
      </c>
      <c r="E3237" s="13" t="inlineStr">
        <is>
          <t>{2}{U}</t>
        </is>
      </c>
      <c r="F3237" s="13" t="inlineStr">
        <is>
          <t>Azul</t>
        </is>
      </c>
      <c r="G3237" s="8" t="n">
        <v>0.05</v>
      </c>
      <c r="H3237" s="13" t="inlineStr">
        <is>
          <t>Duskmourn: House of Horror (DSK)</t>
        </is>
      </c>
      <c r="I3237" s="13" t="inlineStr">
        <is>
          <t>Não</t>
        </is>
      </c>
      <c r="J3237" s="13" t="n">
        <v>2024</v>
      </c>
      <c r="K3237" s="10" t="n">
        <v>46055</v>
      </c>
      <c r="L3237" s="13" t="n">
        <v>1</v>
      </c>
      <c r="M3237" s="8">
        <f>L3237*G3237</f>
        <v/>
      </c>
      <c r="P3237" s="9" t="n"/>
    </row>
    <row r="3238">
      <c r="A3238" s="13" t="inlineStr">
        <is>
          <t>Tunnel Tipster / Informante dos Túneis</t>
        </is>
      </c>
      <c r="B3238" s="13" t="inlineStr">
        <is>
          <t>Creature — Mole Scout / Criatura — Toupeira Batedor</t>
        </is>
      </c>
      <c r="C3238" s="13" t="inlineStr">
        <is>
          <t>Common / Comum</t>
        </is>
      </c>
      <c r="D3238" s="13"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3238" s="13" t="inlineStr">
        <is>
          <t>{1}{G}</t>
        </is>
      </c>
      <c r="F3238" s="13" t="inlineStr">
        <is>
          <t>Verde</t>
        </is>
      </c>
      <c r="G3238" s="8" t="n">
        <v>0.06</v>
      </c>
      <c r="H3238" s="13" t="inlineStr">
        <is>
          <t>Murders at Karlov Manor (MKM)</t>
        </is>
      </c>
      <c r="I3238" s="13" t="inlineStr">
        <is>
          <t>Não</t>
        </is>
      </c>
      <c r="J3238" s="13" t="n">
        <v>2024</v>
      </c>
      <c r="K3238" s="10" t="n">
        <v>46023</v>
      </c>
      <c r="L3238" s="13" t="n">
        <v>1</v>
      </c>
      <c r="M3238" s="8">
        <f>L3238*G3238</f>
        <v/>
      </c>
      <c r="P3238" s="9" t="n"/>
    </row>
    <row r="3239">
      <c r="A3239" s="13" t="inlineStr">
        <is>
          <t>Tunnel Tipster / Informante dos Túneis</t>
        </is>
      </c>
      <c r="B3239" s="13" t="inlineStr">
        <is>
          <t>Creature — Mole Scout / Criatura — Toupeira Batedor</t>
        </is>
      </c>
      <c r="C3239" s="13" t="inlineStr">
        <is>
          <t>Common / Comum</t>
        </is>
      </c>
      <c r="D3239" s="13"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3239" s="13" t="inlineStr">
        <is>
          <t>{1}{G}</t>
        </is>
      </c>
      <c r="F3239" s="13" t="inlineStr">
        <is>
          <t>Verde</t>
        </is>
      </c>
      <c r="G3239" s="8" t="n">
        <v>0.09</v>
      </c>
      <c r="H3239" s="13" t="inlineStr">
        <is>
          <t>Murders at Karlov Manor (MKM)</t>
        </is>
      </c>
      <c r="I3239" s="13" t="inlineStr">
        <is>
          <t>Não</t>
        </is>
      </c>
      <c r="J3239" s="13" t="n">
        <v>2024</v>
      </c>
      <c r="K3239" s="10" t="n">
        <v>46023</v>
      </c>
      <c r="L3239" s="13" t="n">
        <v>1</v>
      </c>
      <c r="M3239" s="8">
        <f>L3239*G3239</f>
        <v/>
      </c>
      <c r="P3239" s="9" t="n"/>
    </row>
    <row r="3240">
      <c r="A3240" s="13" t="inlineStr">
        <is>
          <t>Turn Aside / Desviar Olhar</t>
        </is>
      </c>
      <c r="B3240" s="13" t="inlineStr">
        <is>
          <t>Instant / Mágica Instantânea</t>
        </is>
      </c>
      <c r="C3240" s="13" t="inlineStr">
        <is>
          <t>Common / Comum</t>
        </is>
      </c>
      <c r="D3240" s="13" t="inlineStr">
        <is>
          <t>Counter target spell that targets a permanent you control. / Anule a mágica alvo que tenha como alvo uma permanente que você controla.</t>
        </is>
      </c>
      <c r="E3240" s="13" t="inlineStr">
        <is>
          <t>{U}</t>
        </is>
      </c>
      <c r="F3240" s="13" t="inlineStr">
        <is>
          <t>Azul</t>
        </is>
      </c>
      <c r="G3240" s="8" t="n">
        <v>0.25</v>
      </c>
      <c r="H3240" s="13" t="inlineStr">
        <is>
          <t>Scars of Mirrodin (SOM)</t>
        </is>
      </c>
      <c r="I3240" s="13" t="inlineStr">
        <is>
          <t>Não</t>
        </is>
      </c>
      <c r="J3240" s="13" t="n">
        <v>2010</v>
      </c>
      <c r="L3240" s="13" t="n">
        <v>4</v>
      </c>
      <c r="M3240" s="8">
        <f>L3240*G3240</f>
        <v/>
      </c>
      <c r="P3240" s="9" t="n"/>
    </row>
    <row r="3241">
      <c r="A3241" s="13" t="inlineStr">
        <is>
          <t>Turn Inside Out</t>
        </is>
      </c>
      <c r="B3241" s="13" t="inlineStr">
        <is>
          <t>Instant</t>
        </is>
      </c>
      <c r="C3241" s="13" t="inlineStr">
        <is>
          <t>Common / Comum</t>
        </is>
      </c>
      <c r="D3241" s="13"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3241" s="13" t="inlineStr">
        <is>
          <t>{R}</t>
        </is>
      </c>
      <c r="F3241" s="13" t="inlineStr">
        <is>
          <t>Vermelho</t>
        </is>
      </c>
      <c r="G3241" s="8" t="n">
        <v>0.1</v>
      </c>
      <c r="H3241" s="13" t="inlineStr">
        <is>
          <t>Duskmourn: House of Horror (DSK)</t>
        </is>
      </c>
      <c r="I3241" s="13" t="inlineStr">
        <is>
          <t>Não</t>
        </is>
      </c>
      <c r="J3241" s="13" t="n">
        <v>2024</v>
      </c>
      <c r="L3241" s="13" t="n">
        <v>1</v>
      </c>
      <c r="M3241" s="8">
        <f>L3241*G3241</f>
        <v/>
      </c>
      <c r="P3241" s="9" t="n"/>
    </row>
    <row r="3242">
      <c r="A3242" s="13" t="inlineStr">
        <is>
          <t>Turntimber Ranger / Patrulheiro de Virapau</t>
        </is>
      </c>
      <c r="B3242" s="13" t="inlineStr">
        <is>
          <t>Creature — Elf Scout Ally / Criatura — Elfo Batedor Aliado</t>
        </is>
      </c>
      <c r="C3242" s="13" t="inlineStr">
        <is>
          <t>Rare / Rara</t>
        </is>
      </c>
      <c r="D3242" s="13"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3242" s="13" t="inlineStr">
        <is>
          <t>{3}{G}{G}</t>
        </is>
      </c>
      <c r="F3242" s="13" t="inlineStr">
        <is>
          <t>Verde</t>
        </is>
      </c>
      <c r="G3242" s="8" t="n">
        <v>1.99</v>
      </c>
      <c r="H3242" s="13" t="inlineStr">
        <is>
          <t>Zendikar (ZEN)</t>
        </is>
      </c>
      <c r="I3242" s="13" t="inlineStr">
        <is>
          <t>Não</t>
        </is>
      </c>
      <c r="J3242" s="13" t="n">
        <v>2009</v>
      </c>
      <c r="K3242" s="10" t="n">
        <v>46055</v>
      </c>
      <c r="L3242" s="13" t="n">
        <v>3</v>
      </c>
      <c r="M3242" s="8">
        <f>L3242*G3242</f>
        <v/>
      </c>
      <c r="P3242" s="9" t="n"/>
    </row>
    <row r="3243">
      <c r="A3243" s="13" t="inlineStr">
        <is>
          <t>Turtle Blimp</t>
        </is>
      </c>
      <c r="B3243" s="13" t="inlineStr">
        <is>
          <t>Artifact — Vehicle</t>
        </is>
      </c>
      <c r="C3243" s="13" t="inlineStr">
        <is>
          <t>Uncommon / Incomum</t>
        </is>
      </c>
      <c r="D3243" s="13" t="inlineStr">
        <is>
          <t>Flying When this Vehicle enters, create a 2/2 red Mutant creature token. Crew 2 (Tap any number of creatures you control with total power 2 or more: This Vehicle becomes an artifact creature until end of turn.)</t>
        </is>
      </c>
      <c r="E3243" s="13" t="inlineStr">
        <is>
          <t>{5}</t>
        </is>
      </c>
      <c r="F3243" s="13" t="inlineStr">
        <is>
          <t>Incolor</t>
        </is>
      </c>
      <c r="G3243" s="8" t="n">
        <v>0.13</v>
      </c>
      <c r="H3243" s="13" t="inlineStr">
        <is>
          <t>Teenage Mutant Ninja Turtles (TMT)</t>
        </is>
      </c>
      <c r="I3243" s="13" t="inlineStr">
        <is>
          <t>Não</t>
        </is>
      </c>
      <c r="J3243" s="13" t="n">
        <v>2026</v>
      </c>
      <c r="K3243" s="10" t="n">
        <v>46115</v>
      </c>
      <c r="L3243" s="13" t="n">
        <v>1</v>
      </c>
      <c r="M3243" s="8">
        <f>L3243*G3243</f>
        <v/>
      </c>
      <c r="P3243" s="9" t="n"/>
    </row>
    <row r="3244">
      <c r="A3244" s="13" t="inlineStr">
        <is>
          <t>Turtle Lair</t>
        </is>
      </c>
      <c r="B3244" s="13" t="inlineStr">
        <is>
          <t>Land</t>
        </is>
      </c>
      <c r="C3244" s="13" t="inlineStr">
        <is>
          <t>Uncommon / Incomum</t>
        </is>
      </c>
      <c r="D3244" s="13" t="inlineStr">
        <is>
          <t>{T}: Add {C}. {T}: Add one mana of any color. Spend this mana only to cast a Ninja or Turtle spell. {3}, {T}: Target Ninja or Turtle can't be blocked this turn.</t>
        </is>
      </c>
      <c r="F3244" s="13" t="inlineStr">
        <is>
          <t>Incolor</t>
        </is>
      </c>
      <c r="G3244" s="8" t="n">
        <v>0.1</v>
      </c>
      <c r="H3244" s="13" t="inlineStr">
        <is>
          <t>Teenage Mutant Ninja Turtles (TMT)</t>
        </is>
      </c>
      <c r="I3244" s="13" t="inlineStr">
        <is>
          <t>Não</t>
        </is>
      </c>
      <c r="J3244" s="13" t="n">
        <v>2026</v>
      </c>
      <c r="L3244" s="13" t="n">
        <v>1</v>
      </c>
      <c r="M3244" s="8">
        <f>L3244*G3244</f>
        <v/>
      </c>
      <c r="P3244" s="9" t="n"/>
    </row>
    <row r="3245">
      <c r="A3245" s="13" t="inlineStr">
        <is>
          <t>Turtle Power!</t>
        </is>
      </c>
      <c r="B3245" s="13" t="inlineStr">
        <is>
          <t>Enchantment</t>
        </is>
      </c>
      <c r="C3245" s="13" t="inlineStr">
        <is>
          <t>Rare / Rara</t>
        </is>
      </c>
      <c r="D3245" s="13" t="inlineStr">
        <is>
          <t>Flash Turtles you control get +2/+2.</t>
        </is>
      </c>
      <c r="E3245" s="13" t="inlineStr">
        <is>
          <t>{2}{G}</t>
        </is>
      </c>
      <c r="F3245" s="13" t="inlineStr">
        <is>
          <t>Verde</t>
        </is>
      </c>
      <c r="G3245" s="8" t="n">
        <v>1</v>
      </c>
      <c r="H3245" s="13" t="inlineStr">
        <is>
          <t>Teenage Mutant Ninja Turtles (TMT)</t>
        </is>
      </c>
      <c r="I3245" s="13" t="inlineStr">
        <is>
          <t>Não</t>
        </is>
      </c>
      <c r="J3245" s="13" t="n">
        <v>2026</v>
      </c>
      <c r="L3245" s="13" t="n">
        <v>1</v>
      </c>
      <c r="M3245" s="8">
        <f>L3245*G3245</f>
        <v/>
      </c>
      <c r="P3245" s="9" t="n"/>
    </row>
    <row r="3246">
      <c r="A3246" s="13" t="inlineStr">
        <is>
          <t>Turtle Tracks / Rastros de Tartaruga</t>
        </is>
      </c>
      <c r="B3246" s="13" t="inlineStr">
        <is>
          <t>Feitiço</t>
        </is>
      </c>
      <c r="C3246" s="13" t="inlineStr">
        <is>
          <t>Incomum</t>
        </is>
      </c>
      <c r="D3246" s="13" t="inlineStr">
        <is>
          <t>Qualquer número de jogadores alvo pode, cada um, procurar em seu próprio grimório por um card de terreno básico, colocá-lo no campo de batalha sob o controle deles e depois embaralhar.</t>
        </is>
      </c>
      <c r="E3246" s="13" t="inlineStr">
        <is>
          <t>2{G}</t>
        </is>
      </c>
      <c r="F3246" s="13" t="inlineStr">
        <is>
          <t>Verde</t>
        </is>
      </c>
      <c r="G3246" s="8" t="n">
        <v>0.6899999999999999</v>
      </c>
      <c r="H3246" s="13" t="inlineStr">
        <is>
          <t>Teenage Mutant Ninja Turtles</t>
        </is>
      </c>
      <c r="I3246" s="13" t="inlineStr">
        <is>
          <t>Não</t>
        </is>
      </c>
      <c r="J3246" s="13" t="n">
        <v>2026</v>
      </c>
      <c r="L3246" s="13" t="n">
        <v>3</v>
      </c>
      <c r="M3246" s="8">
        <f>L3246*G3246</f>
        <v/>
      </c>
      <c r="P3246" s="9" t="n"/>
    </row>
    <row r="3247">
      <c r="A3247" s="13" t="inlineStr">
        <is>
          <t>Turtle Van</t>
        </is>
      </c>
      <c r="B3247" s="13" t="inlineStr">
        <is>
          <t>Artifact — Vehicle</t>
        </is>
      </c>
      <c r="C3247" s="13" t="inlineStr">
        <is>
          <t>Rare / Rara</t>
        </is>
      </c>
      <c r="D3247" s="13"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3247" s="13" t="inlineStr">
        <is>
          <t>{3}</t>
        </is>
      </c>
      <c r="F3247" s="13" t="inlineStr">
        <is>
          <t>Incolor</t>
        </is>
      </c>
      <c r="G3247" s="8" t="n">
        <v>5.75</v>
      </c>
      <c r="H3247" s="13" t="inlineStr">
        <is>
          <t>Teenage Mutant Ninja Turtles (TMT)</t>
        </is>
      </c>
      <c r="I3247" s="13" t="inlineStr">
        <is>
          <t>Sim</t>
        </is>
      </c>
      <c r="J3247" s="13" t="n">
        <v>2026</v>
      </c>
      <c r="K3247" s="10" t="n">
        <v>46116</v>
      </c>
      <c r="L3247" s="13" t="n">
        <v>1</v>
      </c>
      <c r="M3247" s="8">
        <f>L3247*G3247</f>
        <v/>
      </c>
      <c r="P3247" s="9" t="n"/>
    </row>
    <row r="3248">
      <c r="A3248" s="13" t="inlineStr">
        <is>
          <t>Turtle-Duck</t>
        </is>
      </c>
      <c r="B3248" s="13" t="inlineStr">
        <is>
          <t>Creature — Turtle Bird</t>
        </is>
      </c>
      <c r="C3248" s="13" t="inlineStr">
        <is>
          <t>Common / Comum</t>
        </is>
      </c>
      <c r="D3248" s="13" t="inlineStr">
        <is>
          <t>{3}: Until end of turn, this creature has base power 4 and gains trample.</t>
        </is>
      </c>
      <c r="E3248" s="13" t="inlineStr">
        <is>
          <t>{G}</t>
        </is>
      </c>
      <c r="F3248" s="13" t="inlineStr">
        <is>
          <t>Verde</t>
        </is>
      </c>
      <c r="G3248" s="8" t="n">
        <v>0.04</v>
      </c>
      <c r="H3248" s="13" t="inlineStr">
        <is>
          <t>Avatar: The Last Airbender (TLA)</t>
        </is>
      </c>
      <c r="I3248" s="13" t="inlineStr">
        <is>
          <t>Não</t>
        </is>
      </c>
      <c r="J3248" s="13" t="n">
        <v>2025</v>
      </c>
      <c r="K3248" s="13" t="inlineStr">
        <is>
          <t>0/4</t>
        </is>
      </c>
      <c r="L3248" s="13" t="n">
        <v>1</v>
      </c>
      <c r="M3248" s="8">
        <f>L3248*G3248</f>
        <v/>
      </c>
      <c r="P3248" s="9" t="n"/>
    </row>
    <row r="3249">
      <c r="A3249" s="13" t="inlineStr">
        <is>
          <t>Tuya Bearclaw / Tuya Garra de Urso</t>
        </is>
      </c>
      <c r="B3249" s="13" t="inlineStr">
        <is>
          <t>Legendary Creature — Human Warrior / Criatura Lendária — Humano Guerreiro</t>
        </is>
      </c>
      <c r="C3249" s="13" t="inlineStr">
        <is>
          <t>Uncommon / Incomum</t>
        </is>
      </c>
      <c r="D3249" s="13"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3249" s="13" t="inlineStr">
        <is>
          <t>{1}{R}{G}</t>
        </is>
      </c>
      <c r="F3249" s="13" t="inlineStr">
        <is>
          <t>Verde, Vermelho</t>
        </is>
      </c>
      <c r="G3249" s="8" t="n">
        <v>0.25</v>
      </c>
      <c r="H3249" s="13" t="inlineStr">
        <is>
          <t>Commander Masters (CMM)</t>
        </is>
      </c>
      <c r="I3249" s="13" t="inlineStr">
        <is>
          <t>Não</t>
        </is>
      </c>
      <c r="J3249" s="13" t="n">
        <v>2023</v>
      </c>
      <c r="K3249" s="10" t="n">
        <v>46055</v>
      </c>
      <c r="L3249" s="13" t="n">
        <v>1</v>
      </c>
      <c r="M3249" s="8">
        <f>L3249*G3249</f>
        <v/>
      </c>
      <c r="P3249" s="9" t="n"/>
    </row>
    <row r="3250">
      <c r="A3250" s="13" t="inlineStr">
        <is>
          <t>Tweeze</t>
        </is>
      </c>
      <c r="B3250" s="13" t="inlineStr">
        <is>
          <t>Instant</t>
        </is>
      </c>
      <c r="C3250" s="13" t="inlineStr">
        <is>
          <t>Common</t>
        </is>
      </c>
      <c r="D3250" s="13" t="inlineStr">
        <is>
          <t>Tweeze deals 3 damage to any target. You may discard a card. If you do, draw a card.</t>
        </is>
      </c>
      <c r="E3250" s="13" t="inlineStr">
        <is>
          <t>{2}{R}</t>
        </is>
      </c>
      <c r="F3250" s="13" t="inlineStr">
        <is>
          <t>Vermelho</t>
        </is>
      </c>
      <c r="G3250" s="8" t="n">
        <v>0.05</v>
      </c>
      <c r="H3250" s="13" t="inlineStr">
        <is>
          <t>Lorwyn Eclipsed (ECL)</t>
        </is>
      </c>
      <c r="I3250" s="13" t="inlineStr">
        <is>
          <t>Não</t>
        </is>
      </c>
      <c r="J3250" s="13" t="n">
        <v>2026</v>
      </c>
      <c r="L3250" s="13" t="n">
        <v>4</v>
      </c>
      <c r="M3250" s="8">
        <f>L3250*G3250</f>
        <v/>
      </c>
      <c r="P3250" s="9" t="n"/>
    </row>
    <row r="3251">
      <c r="A3251" s="13" t="inlineStr">
        <is>
          <t>Twist Reality</t>
        </is>
      </c>
      <c r="B3251" s="13" t="inlineStr">
        <is>
          <t>Instant</t>
        </is>
      </c>
      <c r="C3251" s="13" t="inlineStr">
        <is>
          <t>Common / Comum</t>
        </is>
      </c>
      <c r="D3251" s="13" t="inlineStr">
        <is>
          <t>Choose one — • Counter target spell. • Manifest dread. (Look at the top two cards of your library. Put one onto the battlefield face down as a 2/2 creature and the other into your graveyard. Turn it face up any time for its mana cost if it's a creature card.)</t>
        </is>
      </c>
      <c r="E3251" s="13" t="inlineStr">
        <is>
          <t>{1}{U}{U}</t>
        </is>
      </c>
      <c r="F3251" s="13" t="inlineStr">
        <is>
          <t>Azul</t>
        </is>
      </c>
      <c r="G3251" s="8" t="n">
        <v>0.05</v>
      </c>
      <c r="H3251" s="13" t="inlineStr">
        <is>
          <t>Duskmourn: House of Horror (DSK)</t>
        </is>
      </c>
      <c r="I3251" s="13" t="inlineStr">
        <is>
          <t>Não</t>
        </is>
      </c>
      <c r="J3251" s="13" t="n">
        <v>2024</v>
      </c>
      <c r="L3251" s="13" t="n">
        <v>2</v>
      </c>
      <c r="M3251" s="8">
        <f>L3251*G3251</f>
        <v/>
      </c>
      <c r="P3251" s="9" t="n"/>
    </row>
    <row r="3252">
      <c r="A3252" s="13" t="inlineStr">
        <is>
          <t>Twisted Abomination / Abominação Distorcida</t>
        </is>
      </c>
      <c r="B3252" s="13" t="inlineStr">
        <is>
          <t>Creature — Zombie Mutant / Criatura — Mutante Zumbi</t>
        </is>
      </c>
      <c r="C3252" s="13" t="inlineStr">
        <is>
          <t>Common / Comum</t>
        </is>
      </c>
      <c r="D3252" s="13"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3252" s="13" t="inlineStr">
        <is>
          <t>{5}{B}</t>
        </is>
      </c>
      <c r="F3252" s="13" t="inlineStr">
        <is>
          <t>Preto</t>
        </is>
      </c>
      <c r="G3252" s="8" t="n">
        <v>0.23</v>
      </c>
      <c r="H3252" s="13" t="inlineStr">
        <is>
          <t>Premium Deck Series: Graveborn</t>
        </is>
      </c>
      <c r="I3252" s="13" t="inlineStr">
        <is>
          <t>Sim</t>
        </is>
      </c>
      <c r="J3252" s="13" t="n">
        <v>2014</v>
      </c>
      <c r="K3252" s="10" t="n">
        <v>46086</v>
      </c>
      <c r="L3252" s="13" t="n">
        <v>2</v>
      </c>
      <c r="M3252" s="8">
        <f>L3252*G3252</f>
        <v/>
      </c>
      <c r="P3252" s="9" t="n"/>
    </row>
    <row r="3253">
      <c r="A3253" s="13" t="inlineStr">
        <is>
          <t>Ty Lee, Artful Acrobat</t>
        </is>
      </c>
      <c r="B3253" s="13" t="inlineStr">
        <is>
          <t>Legendary Creature — Human Performer</t>
        </is>
      </c>
      <c r="C3253" s="13" t="inlineStr">
        <is>
          <t>Uncommon / Incomum</t>
        </is>
      </c>
      <c r="D3253" s="13" t="inlineStr">
        <is>
          <t>Prowess (Whenever you cast a noncreature spell, this creature gets +1/+1 until end of turn.) Whenever Ty Lee attacks, you may pay {1}. When you do, target creature can't block this turn.</t>
        </is>
      </c>
      <c r="E3253" s="13" t="inlineStr">
        <is>
          <t>{2}{R}</t>
        </is>
      </c>
      <c r="F3253" s="13" t="inlineStr">
        <is>
          <t>Vermelho</t>
        </is>
      </c>
      <c r="G3253" s="8" t="n">
        <v>0.15</v>
      </c>
      <c r="H3253" s="13" t="inlineStr">
        <is>
          <t>Avatar: The Last Airbender (TLA)</t>
        </is>
      </c>
      <c r="I3253" s="13" t="inlineStr">
        <is>
          <t>Não</t>
        </is>
      </c>
      <c r="J3253" s="13" t="n">
        <v>2025</v>
      </c>
      <c r="K3253" s="10" t="n">
        <v>46056</v>
      </c>
      <c r="L3253" s="13" t="n">
        <v>1</v>
      </c>
      <c r="M3253" s="8">
        <f>L3253*G3253</f>
        <v/>
      </c>
      <c r="P3253" s="9" t="n"/>
    </row>
    <row r="3254">
      <c r="A3254" s="13" t="inlineStr">
        <is>
          <t>Ty Lee, Chi Blocker</t>
        </is>
      </c>
      <c r="B3254" s="13" t="inlineStr">
        <is>
          <t>Legendary Creature — Human Performer Ally</t>
        </is>
      </c>
      <c r="C3254" s="13" t="inlineStr">
        <is>
          <t>Rare / Rara</t>
        </is>
      </c>
      <c r="D3254" s="13" t="inlineStr">
        <is>
          <t>Flash Prowess (Whenever you cast a noncreature spell, this creature gets +1/+1 until end of turn.) When Ty Lee enters, tap up to one target creature. It doesn't untap during its controller's untap step for as long as you control Ty Lee.</t>
        </is>
      </c>
      <c r="E3254" s="13" t="inlineStr">
        <is>
          <t>{2}{U}</t>
        </is>
      </c>
      <c r="F3254" s="13" t="inlineStr">
        <is>
          <t>Azul</t>
        </is>
      </c>
      <c r="G3254" s="8" t="n">
        <v>1.2</v>
      </c>
      <c r="H3254" s="13" t="inlineStr">
        <is>
          <t>Avatar: The Last Airbender (TLA)</t>
        </is>
      </c>
      <c r="I3254" s="13" t="inlineStr">
        <is>
          <t>Não</t>
        </is>
      </c>
      <c r="J3254" s="13" t="n">
        <v>2025</v>
      </c>
      <c r="K3254" s="10" t="n">
        <v>46024</v>
      </c>
      <c r="L3254" s="13" t="n">
        <v>1</v>
      </c>
      <c r="M3254" s="8">
        <f>L3254*G3254</f>
        <v/>
      </c>
      <c r="P3254" s="9" t="n"/>
    </row>
    <row r="3255">
      <c r="A3255" s="13" t="inlineStr">
        <is>
          <t>Tyrox, Saurid Tyrant</t>
        </is>
      </c>
      <c r="B3255" s="13" t="inlineStr">
        <is>
          <t>Legendary Creature — Dinosaur Warrior</t>
        </is>
      </c>
      <c r="C3255" s="13" t="inlineStr">
        <is>
          <t>Uncommon / Incomum</t>
        </is>
      </c>
      <c r="E3255" s="13" t="inlineStr">
        <is>
          <t>{1}{R}</t>
        </is>
      </c>
      <c r="F3255" s="13" t="inlineStr">
        <is>
          <t>Vermelho</t>
        </is>
      </c>
      <c r="G3255" s="8" t="n">
        <v>0.4</v>
      </c>
      <c r="H3255" s="13" t="inlineStr">
        <is>
          <t>Aetherdrift (DFT)</t>
        </is>
      </c>
      <c r="I3255" s="13" t="inlineStr">
        <is>
          <t>Sim</t>
        </is>
      </c>
      <c r="J3255" s="13" t="n">
        <v>2025</v>
      </c>
      <c r="K3255" s="10" t="n">
        <v>46026</v>
      </c>
      <c r="L3255" s="13" t="n">
        <v>1</v>
      </c>
      <c r="M3255" s="8">
        <f>L3255*G3255</f>
        <v/>
      </c>
      <c r="P3255" s="9" t="n"/>
    </row>
    <row r="3256">
      <c r="A3256" s="13" t="inlineStr">
        <is>
          <t>U.S. Agent, John Walker / Agente Americano, John Walker</t>
        </is>
      </c>
      <c r="B3256" s="13" t="inlineStr">
        <is>
          <t>Criatura Lendária — Humano Soldado Herói</t>
        </is>
      </c>
      <c r="C3256" s="13" t="inlineStr">
        <is>
          <t>Incomum</t>
        </is>
      </c>
      <c r="D3256" s="13" t="inlineStr">
        <is>
          <t>Quando Agente Americano entrar, crie uma ficha de artefato do tipo Equipamento incolor chamada Escudo Resistente com "A criatura equipada recebe +1/+2" e equipar {2}. Anexe-a a Agente Americano.</t>
        </is>
      </c>
      <c r="E3256" s="13" t="inlineStr">
        <is>
          <t>3{W/B}</t>
        </is>
      </c>
      <c r="F3256" s="13" t="inlineStr">
        <is>
          <t>Multicolorido</t>
        </is>
      </c>
      <c r="G3256" s="8" t="n">
        <v>0.89</v>
      </c>
      <c r="H3256" s="13" t="inlineStr">
        <is>
          <t>Marvel</t>
        </is>
      </c>
      <c r="I3256" s="13" t="inlineStr">
        <is>
          <t>Sim</t>
        </is>
      </c>
      <c r="J3256" s="13" t="n">
        <v>2026</v>
      </c>
      <c r="K3256" s="10" t="n">
        <v>46056</v>
      </c>
      <c r="L3256" s="13" t="n">
        <v>1</v>
      </c>
      <c r="M3256" s="8">
        <f>L3256*G3256</f>
        <v/>
      </c>
      <c r="P3256" s="9" t="n"/>
    </row>
    <row r="3257">
      <c r="A3257" s="13" t="inlineStr">
        <is>
          <t>Uglúk da Mão Branca / Uglúk of the White Hand</t>
        </is>
      </c>
      <c r="B3257" s="13" t="inlineStr">
        <is>
          <t>Criatura Lendária — Orc Soldado</t>
        </is>
      </c>
      <c r="C3257" s="13" t="inlineStr">
        <is>
          <t>Incomum</t>
        </is>
      </c>
      <c r="D3257" s="13" t="inlineStr">
        <is>
          <t>Toda vez que outra criatura que você controla morrer, coloque um marcador +1/+1 em Uglúk da Mão Branca. Se aquela criatura for um Goblin ou Orc, em vez disso, coloque dois marcadores +1/+1 em Uglúk.</t>
        </is>
      </c>
      <c r="E3257" s="13" t="inlineStr">
        <is>
          <t>2{B}{R}</t>
        </is>
      </c>
      <c r="F3257" s="13" t="inlineStr">
        <is>
          <t>Multicolorido (Preto e Vermelho)</t>
        </is>
      </c>
      <c r="G3257" s="8" t="n">
        <v>0.2</v>
      </c>
      <c r="H3257" s="13" t="inlineStr">
        <is>
          <t>The Lord of the Rings: Tales of Middle-earth (LTR)</t>
        </is>
      </c>
      <c r="I3257" s="13" t="inlineStr">
        <is>
          <t>Não</t>
        </is>
      </c>
      <c r="J3257" s="13" t="n">
        <v>2023</v>
      </c>
      <c r="K3257" s="10" t="n">
        <v>46084</v>
      </c>
      <c r="L3257" s="13" t="n">
        <v>4</v>
      </c>
      <c r="M3257" s="8">
        <f>L3257*G3257</f>
        <v/>
      </c>
      <c r="P3257" s="9" t="n"/>
    </row>
    <row r="3258">
      <c r="A3258" s="13" t="inlineStr">
        <is>
          <t>Ulamog's Crusher / Esmagador de Ulamog</t>
        </is>
      </c>
      <c r="B3258" s="13" t="inlineStr">
        <is>
          <t>Creature — Eldrazi / Criatura — Eldrazi</t>
        </is>
      </c>
      <c r="C3258" s="13" t="inlineStr">
        <is>
          <t>Common / Comum</t>
        </is>
      </c>
      <c r="D3258" s="13" t="inlineStr">
        <is>
          <t>Annihilator 2. Ulamog's Crusher attacks each combat if able. / Aniquilador 2. Esmagador de Ulamog ataca a cada combate, se estiver apto.</t>
        </is>
      </c>
      <c r="E3258" s="13" t="inlineStr">
        <is>
          <t>{8}</t>
        </is>
      </c>
      <c r="F3258" s="13" t="inlineStr">
        <is>
          <t>Incolor</t>
        </is>
      </c>
      <c r="G3258" s="8" t="n">
        <v>0.9</v>
      </c>
      <c r="H3258" s="13" t="inlineStr">
        <is>
          <t>Ultimate Masters (UMA)</t>
        </is>
      </c>
      <c r="I3258" s="13" t="inlineStr">
        <is>
          <t>No</t>
        </is>
      </c>
      <c r="J3258" s="13" t="n">
        <v>2018</v>
      </c>
      <c r="K3258" s="10" t="n">
        <v>46242</v>
      </c>
      <c r="L3258" s="13" t="n">
        <v>1</v>
      </c>
      <c r="M3258" s="8">
        <f>L3258*G3258</f>
        <v/>
      </c>
      <c r="P3258" s="9" t="n"/>
    </row>
    <row r="3259">
      <c r="A3259" s="13" t="inlineStr">
        <is>
          <t>Ultima, Origin of Oblivion / Ultima, a Origem do Oblívio</t>
        </is>
      </c>
      <c r="B3259" s="13" t="inlineStr">
        <is>
          <t>Criatura Lendária — Deus</t>
        </is>
      </c>
      <c r="C3259" s="13" t="inlineStr">
        <is>
          <t>Rara</t>
        </is>
      </c>
      <c r="D3259" s="13"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3259" s="13" t="n">
        <v>5</v>
      </c>
      <c r="F3259" s="13" t="inlineStr">
        <is>
          <t>Incolor</t>
        </is>
      </c>
      <c r="G3259" s="8" t="n">
        <v>4.34</v>
      </c>
      <c r="H3259" s="13" t="inlineStr">
        <is>
          <t>Final Fantasy</t>
        </is>
      </c>
      <c r="I3259" s="13" t="inlineStr">
        <is>
          <t>Não</t>
        </is>
      </c>
      <c r="J3259" s="13" t="n">
        <v>2025</v>
      </c>
      <c r="K3259" s="10" t="n">
        <v>46116</v>
      </c>
      <c r="L3259" s="13" t="n">
        <v>1</v>
      </c>
      <c r="M3259" s="8">
        <f>L3259*G3259</f>
        <v/>
      </c>
      <c r="P3259" s="9" t="n"/>
    </row>
    <row r="3260">
      <c r="A3260" s="13" t="inlineStr">
        <is>
          <t>Ultimecia, Time Sorceress / Ultimecia, Feiticeira do Tempo</t>
        </is>
      </c>
      <c r="B3260" s="13" t="inlineStr">
        <is>
          <t>Criatura Lendária — Humano Bruxo</t>
        </is>
      </c>
      <c r="C3260" s="13" t="inlineStr">
        <is>
          <t>Incomum</t>
        </is>
      </c>
      <c r="D3260" s="13"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260" s="13" t="inlineStr">
        <is>
          <t>3{U}{B}</t>
        </is>
      </c>
      <c r="F3260" s="13" t="inlineStr">
        <is>
          <t>Multicolorido (Azul/Preto)</t>
        </is>
      </c>
      <c r="G3260" s="8" t="n">
        <v>0.26</v>
      </c>
      <c r="H3260" s="13" t="inlineStr">
        <is>
          <t>Final Fantasy</t>
        </is>
      </c>
      <c r="I3260" s="13" t="inlineStr">
        <is>
          <t>Não</t>
        </is>
      </c>
      <c r="J3260" s="13" t="n">
        <v>2025</v>
      </c>
      <c r="K3260" s="10" t="n">
        <v>46146</v>
      </c>
      <c r="L3260" s="13" t="n">
        <v>2</v>
      </c>
      <c r="M3260" s="8">
        <f>L3260*G3260</f>
        <v/>
      </c>
      <c r="P3260" s="9" t="n"/>
    </row>
    <row r="3261">
      <c r="A3261" s="13" t="inlineStr">
        <is>
          <t>Ultros, Obnoxious Octopus / Ultros, Polvo Inconveniente</t>
        </is>
      </c>
      <c r="B3261" s="13" t="inlineStr">
        <is>
          <t>Criatura Lendária — Polvo</t>
        </is>
      </c>
      <c r="C3261" s="13" t="inlineStr">
        <is>
          <t>Incomum</t>
        </is>
      </c>
      <c r="D3261" s="13"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261" s="13" t="inlineStr">
        <is>
          <t>1{U}</t>
        </is>
      </c>
      <c r="F3261" s="13" t="inlineStr">
        <is>
          <t>Azul</t>
        </is>
      </c>
      <c r="G3261" s="8" t="n">
        <v>0.05</v>
      </c>
      <c r="H3261" s="13" t="inlineStr">
        <is>
          <t>Final Fantasy</t>
        </is>
      </c>
      <c r="I3261" s="13" t="inlineStr">
        <is>
          <t>Não</t>
        </is>
      </c>
      <c r="J3261" s="13" t="n">
        <v>2025</v>
      </c>
      <c r="K3261" s="10" t="n">
        <v>46024</v>
      </c>
      <c r="L3261" s="13" t="n">
        <v>2</v>
      </c>
      <c r="M3261" s="8">
        <f>L3261*G3261</f>
        <v/>
      </c>
      <c r="P3261" s="9" t="n"/>
    </row>
    <row r="3262">
      <c r="A3262" s="13" t="inlineStr">
        <is>
          <t>Unable to Scream</t>
        </is>
      </c>
      <c r="B3262" s="13" t="inlineStr">
        <is>
          <t>Enchantment — Aura</t>
        </is>
      </c>
      <c r="C3262" s="13" t="inlineStr">
        <is>
          <t>Common / Comum</t>
        </is>
      </c>
      <c r="D3262" s="13" t="inlineStr">
        <is>
          <t>Enchant creature Enchanted creature loses all abilities and is a Toy artifact creature with base power and toughness 0/2 in addition to its other types. As long as enchanted creature is face down, it can't be turned face up.</t>
        </is>
      </c>
      <c r="E3262" s="13" t="inlineStr">
        <is>
          <t>{U}</t>
        </is>
      </c>
      <c r="F3262" s="13" t="inlineStr">
        <is>
          <t>Azul</t>
        </is>
      </c>
      <c r="G3262" s="8" t="n">
        <v>0.49</v>
      </c>
      <c r="H3262" s="13" t="inlineStr">
        <is>
          <t>Duskmourn: House of Horror (DSK)</t>
        </is>
      </c>
      <c r="I3262" s="13" t="inlineStr">
        <is>
          <t>Não</t>
        </is>
      </c>
      <c r="J3262" s="13" t="n">
        <v>2024</v>
      </c>
      <c r="L3262" s="13" t="n">
        <v>3</v>
      </c>
      <c r="M3262" s="8">
        <f>L3262*G3262</f>
        <v/>
      </c>
      <c r="P3262" s="9" t="n"/>
    </row>
    <row r="3263">
      <c r="A3263" s="13" t="inlineStr">
        <is>
          <t>Unbury</t>
        </is>
      </c>
      <c r="B3263" s="13" t="inlineStr">
        <is>
          <t>Instant</t>
        </is>
      </c>
      <c r="C3263" s="13" t="inlineStr">
        <is>
          <t>Uncommon</t>
        </is>
      </c>
      <c r="D3263" s="13" t="inlineStr">
        <is>
          <t>Choose one — Return target creature card from your graveyard to your hand. Return two target creature cards that share a creature type from your graveyard to your hand.</t>
        </is>
      </c>
      <c r="E3263" s="13" t="inlineStr">
        <is>
          <t>{1}{B}</t>
        </is>
      </c>
      <c r="F3263" s="13" t="inlineStr">
        <is>
          <t>Preto</t>
        </is>
      </c>
      <c r="G3263" s="8" t="n">
        <v>0.05</v>
      </c>
      <c r="H3263" s="13" t="inlineStr">
        <is>
          <t>Lorwyn Eclipsed (ECL)</t>
        </is>
      </c>
      <c r="I3263" s="13" t="inlineStr">
        <is>
          <t>Não</t>
        </is>
      </c>
      <c r="J3263" s="13" t="n">
        <v>2026</v>
      </c>
      <c r="L3263" s="13" t="n">
        <v>1</v>
      </c>
      <c r="M3263" s="8">
        <f>L3263*G3263</f>
        <v/>
      </c>
      <c r="P3263" s="9" t="n"/>
    </row>
    <row r="3264">
      <c r="A3264" s="13" t="inlineStr">
        <is>
          <t>Uncharted Voyage</t>
        </is>
      </c>
      <c r="B3264" s="13" t="inlineStr">
        <is>
          <t>Instant</t>
        </is>
      </c>
      <c r="C3264" s="13" t="inlineStr">
        <is>
          <t>Common / Comum</t>
        </is>
      </c>
      <c r="D3264" s="13" t="inlineStr">
        <is>
          <t>Target creature's owner puts it on their choice of the top or bottom of their library. Surveil 1. (Look at the top card of your library. You may put it into your graveyard.)</t>
        </is>
      </c>
      <c r="E3264" s="13" t="inlineStr">
        <is>
          <t>{3}{U}</t>
        </is>
      </c>
      <c r="F3264" s="13" t="inlineStr">
        <is>
          <t>Azul</t>
        </is>
      </c>
      <c r="G3264" s="8" t="n">
        <v>0.05</v>
      </c>
      <c r="H3264" s="13" t="inlineStr">
        <is>
          <t>Foundations (FDN)</t>
        </is>
      </c>
      <c r="I3264" s="13" t="inlineStr">
        <is>
          <t>Não</t>
        </is>
      </c>
      <c r="J3264" s="13" t="n">
        <v>2024</v>
      </c>
      <c r="L3264" s="13" t="n">
        <v>3</v>
      </c>
      <c r="M3264" s="8">
        <f>L3264*G3264</f>
        <v/>
      </c>
      <c r="P3264" s="9" t="n"/>
    </row>
    <row r="3265">
      <c r="A3265" s="13" t="inlineStr">
        <is>
          <t>Uncle Istvan / Tio Istvan</t>
        </is>
      </c>
      <c r="B3265" s="13" t="inlineStr">
        <is>
          <t>Creature — Human / Criatura — Humano</t>
        </is>
      </c>
      <c r="C3265" s="13" t="inlineStr">
        <is>
          <t>Uncommon / Incomum</t>
        </is>
      </c>
      <c r="D3265" s="13" t="inlineStr">
        <is>
          <t>Prevent all damage that would be dealt to this creature by creatures. / Previne todo o dano que seria causado por criaturas a Tio Istvan.</t>
        </is>
      </c>
      <c r="E3265" s="13" t="inlineStr">
        <is>
          <t>{1}{B}{B}{B}</t>
        </is>
      </c>
      <c r="F3265" s="13" t="inlineStr">
        <is>
          <t>Preto</t>
        </is>
      </c>
      <c r="G3265" s="8" t="n">
        <v>0.3</v>
      </c>
      <c r="H3265" s="13" t="inlineStr">
        <is>
          <t>Quarta Edição</t>
        </is>
      </c>
      <c r="I3265" s="13" t="inlineStr">
        <is>
          <t>Não</t>
        </is>
      </c>
      <c r="J3265" s="13" t="n">
        <v>1995</v>
      </c>
      <c r="K3265" s="10" t="n">
        <v>46082</v>
      </c>
      <c r="L3265" s="13" t="n">
        <v>1</v>
      </c>
      <c r="M3265" s="8">
        <f>L3265*G3265</f>
        <v/>
      </c>
      <c r="P3265" s="9" t="n"/>
    </row>
    <row r="3266">
      <c r="A3266" s="13" t="inlineStr">
        <is>
          <t>Undercity Dire Rat / Rato Atroz da Cidade Baixa</t>
        </is>
      </c>
      <c r="B3266" s="13" t="inlineStr">
        <is>
          <t>Criatura — Rato</t>
        </is>
      </c>
      <c r="C3266" s="13" t="inlineStr">
        <is>
          <t>Comum</t>
        </is>
      </c>
      <c r="D3266" s="13" t="inlineStr">
        <is>
          <t>Rabo de Rato — Quando esta criatura morrer, crie uma ficha de Tesouro. (Ela é um artefato com "{T}, Sacrifique esta ficha: Adicione um mana de qualquer cor.")</t>
        </is>
      </c>
      <c r="E3266" s="13" t="inlineStr">
        <is>
          <t>1{B}</t>
        </is>
      </c>
      <c r="F3266" s="13" t="inlineStr">
        <is>
          <t>Preto</t>
        </is>
      </c>
      <c r="G3266" s="8" t="n">
        <v>0.05</v>
      </c>
      <c r="H3266" s="13" t="inlineStr">
        <is>
          <t>Final Fantasy</t>
        </is>
      </c>
      <c r="I3266" s="13" t="inlineStr">
        <is>
          <t>Não</t>
        </is>
      </c>
      <c r="J3266" s="13" t="n">
        <v>2025</v>
      </c>
      <c r="K3266" s="10" t="n">
        <v>46055</v>
      </c>
      <c r="L3266" s="13" t="n">
        <v>16</v>
      </c>
      <c r="M3266" s="8">
        <f>L3266*G3266</f>
        <v/>
      </c>
      <c r="P3266" s="9" t="n"/>
    </row>
    <row r="3267">
      <c r="A3267" s="13" t="inlineStr">
        <is>
          <t>Undercity Scavenger / Necrófago do Submundo</t>
        </is>
      </c>
      <c r="B3267" s="13" t="inlineStr">
        <is>
          <t>Creature — Ogre Warrior / Criatura — Ogro Guerreiro</t>
        </is>
      </c>
      <c r="C3267" s="13" t="inlineStr">
        <is>
          <t>Common / Comum</t>
        </is>
      </c>
      <c r="D3267" s="13"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3267" s="13" t="inlineStr">
        <is>
          <t>{3}{B}</t>
        </is>
      </c>
      <c r="F3267" s="13" t="inlineStr">
        <is>
          <t>Preto</t>
        </is>
      </c>
      <c r="G3267" s="8" t="n">
        <v>0.03</v>
      </c>
      <c r="H3267" s="13" t="inlineStr">
        <is>
          <t>Ravnica Allegiance (RNA)</t>
        </is>
      </c>
      <c r="I3267" s="13" t="inlineStr">
        <is>
          <t>Não</t>
        </is>
      </c>
      <c r="J3267" s="13" t="n">
        <v>2019</v>
      </c>
      <c r="K3267" s="10" t="n">
        <v>46084</v>
      </c>
      <c r="L3267" s="13" t="n">
        <v>1</v>
      </c>
      <c r="M3267" s="8">
        <f>L3267*G3267</f>
        <v/>
      </c>
      <c r="P3267" s="9" t="n"/>
    </row>
    <row r="3268">
      <c r="A3268" s="13" t="inlineStr">
        <is>
          <t>Underworld Coinsmith / Moedeiro do Submundo</t>
        </is>
      </c>
      <c r="B3268" s="13" t="inlineStr">
        <is>
          <t>Enchantment Creature — Human Cleric / Criatura Encantamento — Humano Clérigo</t>
        </is>
      </c>
      <c r="C3268" s="13" t="inlineStr">
        <is>
          <t>Uncommon / Incomum</t>
        </is>
      </c>
      <c r="D3268" s="13"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3268" s="13" t="inlineStr">
        <is>
          <t>{W}{B}</t>
        </is>
      </c>
      <c r="F3268" s="13" t="inlineStr">
        <is>
          <t>Preto, Branco</t>
        </is>
      </c>
      <c r="G3268" s="8" t="n">
        <v>0.05</v>
      </c>
      <c r="H3268" s="13" t="inlineStr">
        <is>
          <t>Journey into Nyx (JOU)</t>
        </is>
      </c>
      <c r="I3268" s="13" t="inlineStr">
        <is>
          <t>Não</t>
        </is>
      </c>
      <c r="J3268" s="13" t="n">
        <v>2014</v>
      </c>
      <c r="K3268" s="10" t="n">
        <v>46055</v>
      </c>
      <c r="L3268" s="13" t="n">
        <v>1</v>
      </c>
      <c r="M3268" s="8">
        <f>L3268*G3268</f>
        <v/>
      </c>
      <c r="P3268" s="9" t="n"/>
    </row>
    <row r="3269">
      <c r="A3269" s="13" t="inlineStr">
        <is>
          <t>Uneasy Alliance</t>
        </is>
      </c>
      <c r="B3269" s="13" t="inlineStr">
        <is>
          <t>Enchantment — Aura</t>
        </is>
      </c>
      <c r="C3269" s="13" t="inlineStr">
        <is>
          <t>Common / Comum</t>
        </is>
      </c>
      <c r="D3269" s="13" t="inlineStr">
        <is>
          <t>Enchant creature Enchanted creature can't attack or block. {5}, Sacrifice this Aura: Exile enchanted creature. You create a 1/1 black Ninja creature token. Activate only as a sorcery.</t>
        </is>
      </c>
      <c r="E3269" s="13" t="inlineStr">
        <is>
          <t>{1}{W}</t>
        </is>
      </c>
      <c r="F3269" s="13" t="inlineStr">
        <is>
          <t>Branco</t>
        </is>
      </c>
      <c r="G3269" s="8" t="n">
        <v>0.1</v>
      </c>
      <c r="H3269" s="13" t="inlineStr">
        <is>
          <t>Teenage Mutant Ninja Turtles (TMT)</t>
        </is>
      </c>
      <c r="I3269" s="13" t="inlineStr">
        <is>
          <t>Não</t>
        </is>
      </c>
      <c r="J3269" s="13" t="n">
        <v>2026</v>
      </c>
      <c r="L3269" s="13" t="n">
        <v>1</v>
      </c>
      <c r="M3269" s="8">
        <f>L3269*G3269</f>
        <v/>
      </c>
      <c r="P3269" s="9" t="n"/>
    </row>
    <row r="3270">
      <c r="A3270" s="13" t="inlineStr">
        <is>
          <t>Uneasy Alliance</t>
        </is>
      </c>
      <c r="B3270" s="13" t="inlineStr">
        <is>
          <t>Enchantment — Aura</t>
        </is>
      </c>
      <c r="C3270" s="13" t="inlineStr">
        <is>
          <t>Common / Comum</t>
        </is>
      </c>
      <c r="D3270" s="13" t="inlineStr">
        <is>
          <t>Enchant creature Enchanted creature can't attack or block. {5}, Sacrifice this Aura: Exile enchanted creature. You create a 1/1 black Ninja creature token. Activate only as a sorcery.</t>
        </is>
      </c>
      <c r="E3270" s="13" t="inlineStr">
        <is>
          <t>{1}{W}</t>
        </is>
      </c>
      <c r="F3270" s="13" t="inlineStr">
        <is>
          <t>Branco</t>
        </is>
      </c>
      <c r="G3270" s="8" t="n">
        <v>0.23</v>
      </c>
      <c r="H3270" s="13" t="inlineStr">
        <is>
          <t>Teenage Mutant Ninja Turtles (TMT)</t>
        </is>
      </c>
      <c r="I3270" s="13" t="inlineStr">
        <is>
          <t>Sim</t>
        </is>
      </c>
      <c r="J3270" s="13" t="n">
        <v>2026</v>
      </c>
      <c r="L3270" s="13" t="n">
        <v>1</v>
      </c>
      <c r="M3270" s="8">
        <f>L3270*G3270</f>
        <v/>
      </c>
      <c r="P3270" s="9" t="n"/>
    </row>
    <row r="3271">
      <c r="A3271" s="13" t="inlineStr">
        <is>
          <t>Uneasy Alliance</t>
        </is>
      </c>
      <c r="B3271" s="13" t="inlineStr">
        <is>
          <t>Enchantment — Aura</t>
        </is>
      </c>
      <c r="C3271" s="13" t="inlineStr">
        <is>
          <t>Common / Comum</t>
        </is>
      </c>
      <c r="D3271" s="13" t="inlineStr">
        <is>
          <t>Enchant creature Enchanted creature can't attack or block. {5}, Sacrifice this Aura: Exile enchanted creature. You create a 1/1 black Ninja creature token. Activate only as a sorcery.</t>
        </is>
      </c>
      <c r="E3271" s="13" t="inlineStr">
        <is>
          <t>{1}{W}</t>
        </is>
      </c>
      <c r="F3271" s="13" t="inlineStr">
        <is>
          <t>Branco</t>
        </is>
      </c>
      <c r="G3271" s="8" t="n">
        <v>0.1</v>
      </c>
      <c r="H3271" s="13" t="inlineStr">
        <is>
          <t>Teenage Mutant Ninja Turtles (TMT)</t>
        </is>
      </c>
      <c r="I3271" s="13" t="inlineStr">
        <is>
          <t>Não</t>
        </is>
      </c>
      <c r="J3271" s="13" t="n">
        <v>2026</v>
      </c>
      <c r="L3271" s="13" t="n">
        <v>2</v>
      </c>
      <c r="M3271" s="8">
        <f>L3271*G3271</f>
        <v/>
      </c>
      <c r="P3271" s="9" t="n"/>
    </row>
    <row r="3272">
      <c r="A3272" s="13" t="inlineStr">
        <is>
          <t>Unesh, Criosphinx Sovereign / Unesh, Soberano Crioesfinge</t>
        </is>
      </c>
      <c r="B3272" s="13" t="inlineStr">
        <is>
          <t>Legendary Creature — Sphinx / Criatura Lendária — Esfinge</t>
        </is>
      </c>
      <c r="C3272" s="13" t="inlineStr">
        <is>
          <t>Mythic / Mítica</t>
        </is>
      </c>
      <c r="D3272" s="13"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3272" s="13" t="inlineStr">
        <is>
          <t>{4}{U}{U}</t>
        </is>
      </c>
      <c r="F3272" s="13" t="inlineStr">
        <is>
          <t>Azul</t>
        </is>
      </c>
      <c r="G3272" s="8" t="n">
        <v>0.5</v>
      </c>
      <c r="H3272" s="13" t="inlineStr">
        <is>
          <t>Hour of Devastation (HOU)</t>
        </is>
      </c>
      <c r="I3272" s="13" t="inlineStr">
        <is>
          <t>Não</t>
        </is>
      </c>
      <c r="J3272" s="13" t="n">
        <v>2017</v>
      </c>
      <c r="K3272" s="10" t="n">
        <v>46116</v>
      </c>
      <c r="L3272" s="13" t="n">
        <v>1</v>
      </c>
      <c r="M3272" s="8">
        <f>L3272*G3272</f>
        <v/>
      </c>
      <c r="N3272" s="13" t="inlineStr">
        <is>
          <t>Pasta</t>
        </is>
      </c>
      <c r="P3272" s="9" t="n"/>
    </row>
    <row r="3273">
      <c r="A3273" s="13" t="inlineStr">
        <is>
          <t>Unexpected Request / Pedido Inesperado</t>
        </is>
      </c>
      <c r="B3273" s="13" t="inlineStr">
        <is>
          <t>Feitiço</t>
        </is>
      </c>
      <c r="C3273" s="13" t="inlineStr">
        <is>
          <t>Incomum</t>
        </is>
      </c>
      <c r="D3273" s="13" t="inlineStr">
        <is>
          <t>Ganhe o controle da criatura alvo até o final do turno. Desvire aquela criatura. Ela ganha ímpeto até o final do turno. Você pode anexar um Equipamento que você controla àquela criatura. Se fizer isso, desanexe-o no início da próxima etapa final.</t>
        </is>
      </c>
      <c r="E3273" s="13" t="inlineStr">
        <is>
          <t>2R</t>
        </is>
      </c>
      <c r="F3273" s="13" t="inlineStr">
        <is>
          <t>Vermelho</t>
        </is>
      </c>
      <c r="G3273" s="8" t="n">
        <v>0.15</v>
      </c>
      <c r="H3273" s="13" t="inlineStr">
        <is>
          <t>Final Fantasy</t>
        </is>
      </c>
      <c r="I3273" s="13" t="inlineStr">
        <is>
          <t>Não</t>
        </is>
      </c>
      <c r="J3273" s="13" t="n">
        <v>2025</v>
      </c>
      <c r="L3273" s="13" t="n">
        <v>2</v>
      </c>
      <c r="M3273" s="8">
        <f>L3273*G3273</f>
        <v/>
      </c>
      <c r="P3273" s="9" t="n"/>
    </row>
    <row r="3274">
      <c r="A3274" s="13" t="inlineStr">
        <is>
          <t>Unexpected Request / Pedido Inesperado</t>
        </is>
      </c>
      <c r="B3274" s="13" t="inlineStr">
        <is>
          <t>Feitiço</t>
        </is>
      </c>
      <c r="C3274" s="13" t="inlineStr">
        <is>
          <t>Incomum</t>
        </is>
      </c>
      <c r="D3274" s="13" t="inlineStr">
        <is>
          <t>Ganhe o controle da criatura alvo até o final do turno. Desvire aquela criatura. Ela ganha ímpeto até o final do turno. Você pode anexar um Equipamento que você controla àquela criatura. Se fizer isso, desanexe-o no início da próxima etapa final.</t>
        </is>
      </c>
      <c r="E3274" s="13" t="inlineStr">
        <is>
          <t>2R</t>
        </is>
      </c>
      <c r="F3274" s="13" t="inlineStr">
        <is>
          <t>Vermelho</t>
        </is>
      </c>
      <c r="G3274" s="8" t="n">
        <v>0.25</v>
      </c>
      <c r="H3274" s="13" t="inlineStr">
        <is>
          <t>Final Fantasy</t>
        </is>
      </c>
      <c r="I3274" s="13" t="inlineStr">
        <is>
          <t>Sim</t>
        </is>
      </c>
      <c r="J3274" s="13" t="n">
        <v>2025</v>
      </c>
      <c r="L3274" s="13" t="n">
        <v>1</v>
      </c>
      <c r="M3274" s="8">
        <f>L3274*G3274</f>
        <v/>
      </c>
      <c r="P3274" s="9" t="n"/>
    </row>
    <row r="3275">
      <c r="A3275" s="13" t="inlineStr">
        <is>
          <t>Unforgiving Aim</t>
        </is>
      </c>
      <c r="B3275" s="13" t="inlineStr">
        <is>
          <t>Instant</t>
        </is>
      </c>
      <c r="C3275" s="13" t="inlineStr">
        <is>
          <t>Common / Comum</t>
        </is>
      </c>
      <c r="D3275" s="13" t="inlineStr">
        <is>
          <t>Choose one — • Destroy target creature with flying. • Destroy target enchantment. • Create a 2/2 black and green Elf creature token.</t>
        </is>
      </c>
      <c r="E3275" s="13" t="inlineStr">
        <is>
          <t>{2}{G}</t>
        </is>
      </c>
      <c r="F3275" s="13" t="inlineStr">
        <is>
          <t>Verde</t>
        </is>
      </c>
      <c r="G3275" s="8" t="n">
        <v>0.1</v>
      </c>
      <c r="H3275" s="13" t="inlineStr">
        <is>
          <t>Lorwyn Eclipsed (ECL)</t>
        </is>
      </c>
      <c r="I3275" s="13" t="inlineStr">
        <is>
          <t>Não</t>
        </is>
      </c>
      <c r="J3275" s="13" t="n">
        <v>2026</v>
      </c>
      <c r="L3275" s="13" t="n">
        <v>1</v>
      </c>
      <c r="M3275" s="8">
        <f>L3275*G3275</f>
        <v/>
      </c>
      <c r="P3275" s="9" t="n"/>
    </row>
    <row r="3276">
      <c r="A3276" s="13" t="inlineStr">
        <is>
          <t>Unholy Heat / Calor Profano</t>
        </is>
      </c>
      <c r="B3276" s="13" t="inlineStr">
        <is>
          <t>Instant / Mágica Instantânea</t>
        </is>
      </c>
      <c r="C3276" s="13" t="inlineStr">
        <is>
          <t>Rare / Rara</t>
        </is>
      </c>
      <c r="D3276" s="13"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3276" s="13" t="inlineStr">
        <is>
          <t>{R}</t>
        </is>
      </c>
      <c r="F3276" s="13" t="inlineStr">
        <is>
          <t>Vermelho</t>
        </is>
      </c>
      <c r="G3276" s="8" t="n">
        <v>1.24</v>
      </c>
      <c r="H3276" s="13" t="inlineStr">
        <is>
          <t>Secret Lair Promo (SLP)</t>
        </is>
      </c>
      <c r="I3276" s="13" t="inlineStr">
        <is>
          <t>Não</t>
        </is>
      </c>
      <c r="J3276" s="13" t="n">
        <v>2023</v>
      </c>
      <c r="L3276" s="13" t="n">
        <v>4</v>
      </c>
      <c r="M3276" s="8">
        <f>L3276*G3276</f>
        <v/>
      </c>
      <c r="P3276" s="9" t="n"/>
    </row>
    <row r="3277">
      <c r="A3277" s="13" t="inlineStr">
        <is>
          <t>Unholy Officiant / Celebrante Profano</t>
        </is>
      </c>
      <c r="B3277" s="13" t="inlineStr">
        <is>
          <t>Creature — Vampire Cleric / Criatura — Vampiro Clérigo</t>
        </is>
      </c>
      <c r="C3277" s="13" t="inlineStr">
        <is>
          <t>Common / Comum</t>
        </is>
      </c>
      <c r="D3277" s="13" t="inlineStr">
        <is>
          <t>Vigilance {4}{W}: Put a +1/+1 counter on this creature. / Vigilância {4}{W}: Coloque um marcador +1/+1 em Celebrante Profano.</t>
        </is>
      </c>
      <c r="E3277" s="13" t="inlineStr">
        <is>
          <t>{W}</t>
        </is>
      </c>
      <c r="F3277" s="13" t="inlineStr">
        <is>
          <t>Branco</t>
        </is>
      </c>
      <c r="G3277" s="8" t="n">
        <v>0.05</v>
      </c>
      <c r="H3277" s="13" t="inlineStr">
        <is>
          <t>Innistrad: Crimson Vow (VOW)</t>
        </is>
      </c>
      <c r="I3277" s="13" t="inlineStr">
        <is>
          <t>Não</t>
        </is>
      </c>
      <c r="J3277" s="13" t="n">
        <v>2021</v>
      </c>
      <c r="K3277" s="10" t="n">
        <v>46054</v>
      </c>
      <c r="L3277" s="13" t="n">
        <v>2</v>
      </c>
      <c r="M3277" s="8">
        <f>L3277*G3277</f>
        <v/>
      </c>
      <c r="P3277" s="9" t="n"/>
    </row>
    <row r="3278">
      <c r="A3278" s="13" t="inlineStr">
        <is>
          <t>Unholy Strength / Força Profana</t>
        </is>
      </c>
      <c r="B3278" s="13" t="inlineStr">
        <is>
          <t>Enchant Creature</t>
        </is>
      </c>
      <c r="C3278" s="13" t="inlineStr">
        <is>
          <t>Comum</t>
        </is>
      </c>
      <c r="D3278" s="13" t="inlineStr">
        <is>
          <t>Enchanted creature gets +2/+1.</t>
        </is>
      </c>
      <c r="E3278" s="13" t="inlineStr">
        <is>
          <t>{B}</t>
        </is>
      </c>
      <c r="F3278" s="13" t="inlineStr">
        <is>
          <t>Preto</t>
        </is>
      </c>
      <c r="G3278" s="8" t="n">
        <v>0.09</v>
      </c>
      <c r="H3278" s="13" t="inlineStr">
        <is>
          <t>Fifth Edition (5ED)</t>
        </is>
      </c>
      <c r="I3278" s="13" t="inlineStr">
        <is>
          <t>Não</t>
        </is>
      </c>
      <c r="J3278" s="13" t="n">
        <v>1997</v>
      </c>
      <c r="L3278" s="13" t="n">
        <v>1</v>
      </c>
      <c r="M3278" s="8">
        <f>L3278*G3278</f>
        <v/>
      </c>
      <c r="P3278" s="9" t="n"/>
    </row>
    <row r="3279">
      <c r="A3279" s="13" t="inlineStr">
        <is>
          <t>Unholy Strength / Força Profana</t>
        </is>
      </c>
      <c r="B3279" s="13" t="inlineStr">
        <is>
          <t>Enchantment — Aura / Encantamento — Aura</t>
        </is>
      </c>
      <c r="C3279" s="13" t="inlineStr">
        <is>
          <t>Common / Comum</t>
        </is>
      </c>
      <c r="D3279" s="13" t="inlineStr">
        <is>
          <t>Enchant creature Enchanted creature gets +2/+1. / Encantar criatura A criatura encantada recebe +2/+1.</t>
        </is>
      </c>
      <c r="E3279" s="13" t="inlineStr">
        <is>
          <t>{B}</t>
        </is>
      </c>
      <c r="F3279" s="13" t="inlineStr">
        <is>
          <t>Preto</t>
        </is>
      </c>
      <c r="G3279" s="8" t="n">
        <v>0.09</v>
      </c>
      <c r="H3279" s="13" t="inlineStr">
        <is>
          <t>Quarta Edição</t>
        </is>
      </c>
      <c r="I3279" s="13" t="inlineStr">
        <is>
          <t>Não</t>
        </is>
      </c>
      <c r="J3279" s="13" t="n">
        <v>1995</v>
      </c>
      <c r="L3279" s="13" t="n">
        <v>5</v>
      </c>
      <c r="M3279" s="8">
        <f>L3279*G3279</f>
        <v/>
      </c>
      <c r="P3279" s="9" t="n"/>
    </row>
    <row r="3280">
      <c r="A3280" s="13" t="inlineStr">
        <is>
          <t>Unholy Strength / Força Profana</t>
        </is>
      </c>
      <c r="B3280" s="13" t="inlineStr">
        <is>
          <t>Enchantment — Aura / Encantamento — Aura</t>
        </is>
      </c>
      <c r="C3280" s="13" t="inlineStr">
        <is>
          <t>Common / Comum</t>
        </is>
      </c>
      <c r="D3280" s="13" t="inlineStr">
        <is>
          <t>Enchant creature Enchanted creature gets +2/+1. / Encantar criatura A criatura encantada recebe +2/+1.</t>
        </is>
      </c>
      <c r="E3280" s="13" t="inlineStr">
        <is>
          <t>{B}</t>
        </is>
      </c>
      <c r="F3280" s="13" t="inlineStr">
        <is>
          <t>Preto</t>
        </is>
      </c>
      <c r="G3280" s="8" t="n">
        <v>0.2</v>
      </c>
      <c r="H3280" s="13" t="inlineStr">
        <is>
          <t>Quarta Edição (BB)</t>
        </is>
      </c>
      <c r="I3280" s="13" t="inlineStr">
        <is>
          <t>Não</t>
        </is>
      </c>
      <c r="J3280" s="13" t="n">
        <v>1995</v>
      </c>
      <c r="L3280" s="13" t="n">
        <v>4</v>
      </c>
      <c r="M3280" s="8">
        <f>L3280*G3280</f>
        <v/>
      </c>
      <c r="P3280" s="9" t="n"/>
    </row>
    <row r="3281">
      <c r="A3281" s="13" t="inlineStr">
        <is>
          <t>Unholy Strength / Força Profana</t>
        </is>
      </c>
      <c r="B3281" s="13" t="inlineStr">
        <is>
          <t>Enchantment — Aura / Encantamento — Aura</t>
        </is>
      </c>
      <c r="C3281" s="13" t="inlineStr">
        <is>
          <t>Common / Comum</t>
        </is>
      </c>
      <c r="D3281" s="13" t="inlineStr">
        <is>
          <t>Enchant creature Enchanted creature gets +2/+1. / Encantar criatura A criatura encantada recebe +2/+1.</t>
        </is>
      </c>
      <c r="E3281" s="13" t="inlineStr">
        <is>
          <t>{B}</t>
        </is>
      </c>
      <c r="F3281" s="13" t="inlineStr">
        <is>
          <t>Preto</t>
        </is>
      </c>
      <c r="G3281" s="8" t="n">
        <v>0.68</v>
      </c>
      <c r="H3281" s="13" t="inlineStr">
        <is>
          <t>Revised Edition</t>
        </is>
      </c>
      <c r="I3281" s="13" t="inlineStr">
        <is>
          <t>Não</t>
        </is>
      </c>
      <c r="J3281" s="13" t="n">
        <v>1994</v>
      </c>
      <c r="L3281" s="13" t="n">
        <v>1</v>
      </c>
      <c r="M3281" s="8">
        <f>L3281*G3281</f>
        <v/>
      </c>
      <c r="P3281" s="9" t="n"/>
    </row>
    <row r="3282">
      <c r="A3282" s="13" t="inlineStr">
        <is>
          <t>Universal Solvent / Solvente Universal</t>
        </is>
      </c>
      <c r="B3282" s="13" t="inlineStr">
        <is>
          <t>Artifact / Artefato</t>
        </is>
      </c>
      <c r="C3282" s="13" t="inlineStr">
        <is>
          <t>Common / Comum</t>
        </is>
      </c>
      <c r="D3282" s="13" t="inlineStr">
        <is>
          <t>{7}, {T}, Sacrifice this artifact: Destroy target permanent. / {7}, {T}, sacrifique Solvente Universal: Destrua a permanente alvo.</t>
        </is>
      </c>
      <c r="E3282" s="13" t="inlineStr">
        <is>
          <t>{1}</t>
        </is>
      </c>
      <c r="F3282" s="13" t="inlineStr">
        <is>
          <t>Incolor</t>
        </is>
      </c>
      <c r="G3282" s="8" t="n">
        <v>0.03</v>
      </c>
      <c r="H3282" s="13" t="inlineStr">
        <is>
          <t>Aether Revolt (AER)</t>
        </is>
      </c>
      <c r="I3282" s="13" t="inlineStr">
        <is>
          <t>Não</t>
        </is>
      </c>
      <c r="J3282" s="13" t="n">
        <v>2017</v>
      </c>
      <c r="L3282" s="13" t="n">
        <v>1</v>
      </c>
      <c r="M3282" s="8">
        <f>L3282*G3282</f>
        <v/>
      </c>
      <c r="N3282" s="13" t="inlineStr">
        <is>
          <t>Bulk Shopee</t>
        </is>
      </c>
      <c r="P3282" s="9" t="n"/>
    </row>
    <row r="3283">
      <c r="A3283" s="13" t="inlineStr">
        <is>
          <t>Universal Solvent / Solvente Universal</t>
        </is>
      </c>
      <c r="B3283" s="13" t="inlineStr">
        <is>
          <t>Artifact / Artefato</t>
        </is>
      </c>
      <c r="C3283" s="13" t="inlineStr">
        <is>
          <t>Common / Comum</t>
        </is>
      </c>
      <c r="D3283" s="13" t="inlineStr">
        <is>
          <t>{7}, {T}, Sacrifice Universal Solvent: Destroy target permanent.</t>
        </is>
      </c>
      <c r="E3283" s="13" t="inlineStr">
        <is>
          <t>{1}</t>
        </is>
      </c>
      <c r="F3283" s="13" t="inlineStr">
        <is>
          <t>Incolor</t>
        </is>
      </c>
      <c r="G3283" s="8" t="n">
        <v>0.05</v>
      </c>
      <c r="H3283" s="13" t="inlineStr">
        <is>
          <t>Commander Legends: Battle for Baldur's Gate (CLB)</t>
        </is>
      </c>
      <c r="I3283" s="13" t="inlineStr">
        <is>
          <t>No</t>
        </is>
      </c>
      <c r="J3283" s="13" t="n">
        <v>2022</v>
      </c>
      <c r="L3283" s="13" t="n">
        <v>1</v>
      </c>
      <c r="M3283" s="8">
        <f>L3283*G3283</f>
        <v/>
      </c>
      <c r="P3283" s="9" t="n"/>
    </row>
    <row r="3284">
      <c r="A3284" s="13" t="inlineStr">
        <is>
          <t>Unlucky Cabbage Merchant</t>
        </is>
      </c>
      <c r="B3284" s="13" t="inlineStr">
        <is>
          <t>Creature — Human Citizen</t>
        </is>
      </c>
      <c r="C3284" s="13" t="inlineStr">
        <is>
          <t>Uncommon / Incomum</t>
        </is>
      </c>
      <c r="D3284" s="13"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3284" s="13" t="inlineStr">
        <is>
          <t>{1}{G}</t>
        </is>
      </c>
      <c r="F3284" s="13" t="inlineStr">
        <is>
          <t>Verde</t>
        </is>
      </c>
      <c r="G3284" s="8" t="n">
        <v>0.24</v>
      </c>
      <c r="H3284" s="13" t="inlineStr">
        <is>
          <t>Avatar: The Last Airbender (TLA)</t>
        </is>
      </c>
      <c r="I3284" s="13" t="inlineStr">
        <is>
          <t>Não</t>
        </is>
      </c>
      <c r="J3284" s="13" t="n">
        <v>2025</v>
      </c>
      <c r="K3284" s="10" t="n">
        <v>46055</v>
      </c>
      <c r="L3284" s="13" t="n">
        <v>1</v>
      </c>
      <c r="M3284" s="8">
        <f>L3284*G3284</f>
        <v/>
      </c>
      <c r="P3284" s="9" t="n"/>
    </row>
    <row r="3285">
      <c r="A3285" s="13" t="inlineStr">
        <is>
          <t>Unmake / Inexistir</t>
        </is>
      </c>
      <c r="B3285" s="13" t="inlineStr">
        <is>
          <t>Instant / Mágica Instantânea</t>
        </is>
      </c>
      <c r="C3285" s="13" t="inlineStr">
        <is>
          <t>Common / Comum</t>
        </is>
      </c>
      <c r="D3285" s="13" t="inlineStr">
        <is>
          <t>Exile target creature. / Remova do jogo a criatura alvo.</t>
        </is>
      </c>
      <c r="E3285" s="13" t="inlineStr">
        <is>
          <t>{W/B}{W/B}{W/B}</t>
        </is>
      </c>
      <c r="F3285" s="13" t="inlineStr">
        <is>
          <t>Preto, Branco</t>
        </is>
      </c>
      <c r="G3285" s="8" t="n">
        <v>1</v>
      </c>
      <c r="H3285" s="13" t="inlineStr">
        <is>
          <t>Eventide (EVE)</t>
        </is>
      </c>
      <c r="I3285" s="13" t="inlineStr">
        <is>
          <t>Não</t>
        </is>
      </c>
      <c r="J3285" s="13" t="n">
        <v>2008</v>
      </c>
      <c r="L3285" s="13" t="n">
        <v>3</v>
      </c>
      <c r="M3285" s="8">
        <f>L3285*G3285</f>
        <v/>
      </c>
      <c r="P3285" s="9" t="n"/>
    </row>
    <row r="3286">
      <c r="A3286" s="13" t="inlineStr">
        <is>
          <t>Unnatural Moonrise / Nascer da Lua Antinatural</t>
        </is>
      </c>
      <c r="B3286" s="13" t="inlineStr">
        <is>
          <t>Sorcery / Feitiço</t>
        </is>
      </c>
      <c r="C3286" s="13" t="inlineStr">
        <is>
          <t>Uncommon / Incomum</t>
        </is>
      </c>
      <c r="D3286" s="13"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3286" s="13" t="inlineStr">
        <is>
          <t>{R}{G}</t>
        </is>
      </c>
      <c r="F3286" s="13" t="inlineStr">
        <is>
          <t>Verde, Vermelho</t>
        </is>
      </c>
      <c r="G3286" s="8" t="n">
        <v>0.18</v>
      </c>
      <c r="H3286" s="13" t="inlineStr">
        <is>
          <t>Innistrad: Midnight Hunt (MID)</t>
        </is>
      </c>
      <c r="I3286" s="13" t="inlineStr">
        <is>
          <t>Não</t>
        </is>
      </c>
      <c r="J3286" s="13" t="n">
        <v>2021</v>
      </c>
      <c r="L3286" s="13" t="n">
        <v>1</v>
      </c>
      <c r="M3286" s="8">
        <f>L3286*G3286</f>
        <v/>
      </c>
      <c r="P3286" s="9" t="n"/>
    </row>
    <row r="3287">
      <c r="A3287" s="13" t="inlineStr">
        <is>
          <t>Unraveling Mummy / Múmia Desenrolada</t>
        </is>
      </c>
      <c r="B3287" s="13" t="inlineStr">
        <is>
          <t>Creature — Zombie / Criatura — Zumbi</t>
        </is>
      </c>
      <c r="C3287" s="13" t="inlineStr">
        <is>
          <t>Uncommon / Incomum</t>
        </is>
      </c>
      <c r="D3287" s="13"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3287" s="13" t="inlineStr">
        <is>
          <t>{1}{W}{B}</t>
        </is>
      </c>
      <c r="F3287" s="13" t="inlineStr">
        <is>
          <t>Preto, Branco</t>
        </is>
      </c>
      <c r="G3287" s="8" t="n">
        <v>0.09</v>
      </c>
      <c r="H3287" s="13" t="inlineStr">
        <is>
          <t>Hour of Devastation (HOU)</t>
        </is>
      </c>
      <c r="I3287" s="13" t="inlineStr">
        <is>
          <t>Não</t>
        </is>
      </c>
      <c r="J3287" s="13" t="n">
        <v>2017</v>
      </c>
      <c r="K3287" s="10" t="n">
        <v>46083</v>
      </c>
      <c r="L3287" s="13" t="n">
        <v>1</v>
      </c>
      <c r="M3287" s="8">
        <f>L3287*G3287</f>
        <v/>
      </c>
      <c r="P3287" s="9" t="n"/>
    </row>
    <row r="3288">
      <c r="A3288" s="13" t="inlineStr">
        <is>
          <t>Unscrupulous Contractor / Mercenário Inescrupuloso</t>
        </is>
      </c>
      <c r="B3288" s="13" t="inlineStr">
        <is>
          <t>Creature — Human Assassin / Criatura — Humano Assassino</t>
        </is>
      </c>
      <c r="C3288" s="13" t="inlineStr">
        <is>
          <t>Uncommon / Incomum</t>
        </is>
      </c>
      <c r="D3288" s="13"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3288" s="13" t="inlineStr">
        <is>
          <t>{2}{B}</t>
        </is>
      </c>
      <c r="F3288" s="13" t="inlineStr">
        <is>
          <t>Preto</t>
        </is>
      </c>
      <c r="G3288" s="8" t="n">
        <v>0.1</v>
      </c>
      <c r="H3288" s="13" t="inlineStr">
        <is>
          <t>Outlaws of Thunder Junction (OTJ)</t>
        </is>
      </c>
      <c r="I3288" s="13" t="inlineStr">
        <is>
          <t>Não</t>
        </is>
      </c>
      <c r="J3288" s="13" t="n">
        <v>2024</v>
      </c>
      <c r="K3288" s="10" t="n">
        <v>46056</v>
      </c>
      <c r="L3288" s="13" t="n">
        <v>1</v>
      </c>
      <c r="M3288" s="8">
        <f>L3288*G3288</f>
        <v/>
      </c>
      <c r="P3288" s="9" t="n"/>
    </row>
    <row r="3289">
      <c r="A3289" s="13" t="inlineStr">
        <is>
          <t>Unsettling Twins</t>
        </is>
      </c>
      <c r="B3289" s="13" t="inlineStr">
        <is>
          <t>Creature — Human</t>
        </is>
      </c>
      <c r="C3289" s="13" t="inlineStr">
        <is>
          <t>Common / Comum</t>
        </is>
      </c>
      <c r="D3289" s="13" t="inlineStr">
        <is>
          <t>When this creature enters, manifest dread. (Look at the top two cards of your library. Put one onto the battlefield face down as a 2/2 creature and the other into your graveyard. Turn it face up any time for its mana cost if it's a creature card.)</t>
        </is>
      </c>
      <c r="E3289" s="13" t="inlineStr">
        <is>
          <t>{3}{W}</t>
        </is>
      </c>
      <c r="F3289" s="13" t="inlineStr">
        <is>
          <t>Branco</t>
        </is>
      </c>
      <c r="G3289" s="8" t="n">
        <v>0.04</v>
      </c>
      <c r="H3289" s="13" t="inlineStr">
        <is>
          <t>Duskmourn: House of Horror (DSK)</t>
        </is>
      </c>
      <c r="I3289" s="13" t="inlineStr">
        <is>
          <t>Não</t>
        </is>
      </c>
      <c r="J3289" s="13" t="n">
        <v>2024</v>
      </c>
      <c r="K3289" s="10" t="n">
        <v>46055</v>
      </c>
      <c r="L3289" s="13" t="n">
        <v>1</v>
      </c>
      <c r="M3289" s="8">
        <f>L3289*G3289</f>
        <v/>
      </c>
      <c r="P3289" s="9" t="n"/>
    </row>
    <row r="3290">
      <c r="A3290" s="13" t="inlineStr">
        <is>
          <t>Unstable Amulet / Amuleto Instável</t>
        </is>
      </c>
      <c r="B3290" s="13" t="inlineStr">
        <is>
          <t>Artifact / Artefato</t>
        </is>
      </c>
      <c r="C3290" s="13" t="inlineStr">
        <is>
          <t>Uncommon / Incomum</t>
        </is>
      </c>
      <c r="D3290" s="13"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3290" s="13" t="inlineStr">
        <is>
          <t>{1}{R}</t>
        </is>
      </c>
      <c r="F3290" s="13" t="inlineStr">
        <is>
          <t>Vermelho</t>
        </is>
      </c>
      <c r="G3290" s="8" t="n">
        <v>0.17</v>
      </c>
      <c r="H3290" s="13" t="inlineStr">
        <is>
          <t>Modern Horizons 3 (MH3)</t>
        </is>
      </c>
      <c r="I3290" s="13" t="inlineStr">
        <is>
          <t>Não</t>
        </is>
      </c>
      <c r="J3290" s="13" t="n">
        <v>2024</v>
      </c>
      <c r="L3290" s="13" t="n">
        <v>1</v>
      </c>
      <c r="M3290" s="8">
        <f>L3290*G3290</f>
        <v/>
      </c>
      <c r="P3290" s="9" t="n"/>
    </row>
    <row r="3291">
      <c r="A3291" s="13" t="inlineStr">
        <is>
          <t>Unstable Obelisk / Obelisco Instável</t>
        </is>
      </c>
      <c r="B3291" s="13" t="inlineStr">
        <is>
          <t>Artifact / Artefato</t>
        </is>
      </c>
      <c r="C3291" s="13" t="inlineStr">
        <is>
          <t>Common / Comum</t>
        </is>
      </c>
      <c r="D3291" s="13" t="inlineStr">
        <is>
          <t>{T}: Add {C}. {7}, {T}, Sacrifice this artifact: Destroy target permanent. / {T}: Adicione {C}. {7}, {T}, sacrifique Obelisco Instável: Destrua a permanente alvo.</t>
        </is>
      </c>
      <c r="E3291" s="13" t="inlineStr">
        <is>
          <t>{3}</t>
        </is>
      </c>
      <c r="F3291" s="13" t="inlineStr">
        <is>
          <t>Incolor</t>
        </is>
      </c>
      <c r="G3291" s="8" t="n">
        <v>0.19</v>
      </c>
      <c r="H3291" s="13" t="inlineStr">
        <is>
          <t>Commander Masters (CMM)</t>
        </is>
      </c>
      <c r="I3291" s="13" t="inlineStr">
        <is>
          <t>Não</t>
        </is>
      </c>
      <c r="J3291" s="13" t="n">
        <v>2023</v>
      </c>
      <c r="L3291" s="13" t="n">
        <v>1</v>
      </c>
      <c r="M3291" s="8">
        <f>L3291*G3291</f>
        <v/>
      </c>
      <c r="P3291" s="9" t="n"/>
    </row>
    <row r="3292">
      <c r="A3292" s="13" t="inlineStr">
        <is>
          <t>Unstoppable Ogre / Ogro Irrefreável</t>
        </is>
      </c>
      <c r="B3292" s="13" t="inlineStr">
        <is>
          <t>Artifact Creature — Ogre Warrior / Criatura Artefato — Ogro Guerreiro</t>
        </is>
      </c>
      <c r="C3292" s="13" t="inlineStr">
        <is>
          <t>Common / Comum</t>
        </is>
      </c>
      <c r="D3292" s="13" t="inlineStr">
        <is>
          <t>When this creature enters, target creature can't block this turn. / Quando Ogro Irrefreável entra no campo de batalha, a criatura alvo não pode bloquear neste turno.</t>
        </is>
      </c>
      <c r="E3292" s="13" t="inlineStr">
        <is>
          <t>{2}{R}</t>
        </is>
      </c>
      <c r="F3292" s="13" t="inlineStr">
        <is>
          <t>Vermelho</t>
        </is>
      </c>
      <c r="G3292" s="8" t="n">
        <v>0.05</v>
      </c>
      <c r="H3292" s="13" t="inlineStr">
        <is>
          <t>Kamigawa: Neon Dynasty (NEO)</t>
        </is>
      </c>
      <c r="I3292" s="13" t="inlineStr">
        <is>
          <t>Não</t>
        </is>
      </c>
      <c r="J3292" s="13" t="n">
        <v>2022</v>
      </c>
      <c r="K3292" s="10" t="n">
        <v>46026</v>
      </c>
      <c r="L3292" s="13" t="n">
        <v>1</v>
      </c>
      <c r="M3292" s="8">
        <f>L3292*G3292</f>
        <v/>
      </c>
      <c r="P3292" s="9" t="n"/>
    </row>
    <row r="3293">
      <c r="A3293" s="13" t="inlineStr">
        <is>
          <t>Unsubtle Mockery / Zombaria Pouco Sutil</t>
        </is>
      </c>
      <c r="B3293" s="13" t="inlineStr">
        <is>
          <t>Instant / Instantânea</t>
        </is>
      </c>
      <c r="C3293" s="13" t="inlineStr">
        <is>
          <t>Common / Comum</t>
        </is>
      </c>
      <c r="D3293" s="13"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3293" s="13" t="inlineStr">
        <is>
          <t>{2}{R}</t>
        </is>
      </c>
      <c r="F3293" s="13" t="inlineStr">
        <is>
          <t>Vermelho</t>
        </is>
      </c>
      <c r="G3293" s="8" t="n">
        <v>0.06</v>
      </c>
      <c r="H3293" s="13" t="inlineStr">
        <is>
          <t>Shadows of Sothia (SOS)</t>
        </is>
      </c>
      <c r="I3293" s="13" t="inlineStr">
        <is>
          <t>No</t>
        </is>
      </c>
      <c r="J3293" s="13" t="n">
        <v>2026</v>
      </c>
      <c r="L3293" s="13" t="n">
        <v>1</v>
      </c>
      <c r="M3293" s="8">
        <f>L3293*G3293</f>
        <v/>
      </c>
      <c r="P3293" s="9" t="n"/>
    </row>
    <row r="3294">
      <c r="A3294" s="13" t="inlineStr">
        <is>
          <t>Unsummon / Esconjurar</t>
        </is>
      </c>
      <c r="B3294" s="13" t="inlineStr">
        <is>
          <t>Instant / Mágica Instantânea</t>
        </is>
      </c>
      <c r="C3294" s="13" t="inlineStr">
        <is>
          <t>Common / Comum</t>
        </is>
      </c>
      <c r="D3294" s="13" t="inlineStr">
        <is>
          <t>Return target creature to its owner's hand. / Devolva a criatura alvo para a mão de seu dono.</t>
        </is>
      </c>
      <c r="E3294" s="13" t="inlineStr">
        <is>
          <t>{U}</t>
        </is>
      </c>
      <c r="F3294" s="13" t="inlineStr">
        <is>
          <t>Azul</t>
        </is>
      </c>
      <c r="G3294" s="8" t="n">
        <v>0.05</v>
      </c>
      <c r="H3294" s="13" t="inlineStr">
        <is>
          <t>Hour of Devastation (HOU)</t>
        </is>
      </c>
      <c r="I3294" s="13" t="inlineStr">
        <is>
          <t>Não</t>
        </is>
      </c>
      <c r="J3294" s="13" t="n">
        <v>2017</v>
      </c>
      <c r="L3294" s="13" t="n">
        <v>2</v>
      </c>
      <c r="M3294" s="8">
        <f>L3294*G3294</f>
        <v/>
      </c>
      <c r="P3294" s="9" t="n"/>
    </row>
    <row r="3295">
      <c r="A3295" s="13" t="inlineStr">
        <is>
          <t>Unwelcome Sprite</t>
        </is>
      </c>
      <c r="B3295" s="13" t="inlineStr">
        <is>
          <t>Creature — Faerie Rogue</t>
        </is>
      </c>
      <c r="C3295" s="13" t="inlineStr">
        <is>
          <t>Uncommon</t>
        </is>
      </c>
      <c r="D3295" s="13" t="inlineStr">
        <is>
          <t>Flying. Whenever you cast a spell during an opponent's turn, surveil 2. (Look at the top two cards of your library. You may put any number of them into your graveyard and the rest on top of your library in any order.)</t>
        </is>
      </c>
      <c r="E3295" s="13" t="inlineStr">
        <is>
          <t>{1}{U}</t>
        </is>
      </c>
      <c r="F3295" s="13" t="inlineStr">
        <is>
          <t>Azul</t>
        </is>
      </c>
      <c r="G3295" s="8" t="n">
        <v>0.09</v>
      </c>
      <c r="H3295" s="13" t="inlineStr">
        <is>
          <t>Lorwyn Eclipsed (ECL)</t>
        </is>
      </c>
      <c r="I3295" s="13" t="inlineStr">
        <is>
          <t>Não</t>
        </is>
      </c>
      <c r="J3295" s="13" t="n">
        <v>2026</v>
      </c>
      <c r="K3295" s="10" t="n">
        <v>46024</v>
      </c>
      <c r="L3295" s="13" t="n">
        <v>2</v>
      </c>
      <c r="M3295" s="8">
        <f>L3295*G3295</f>
        <v/>
      </c>
      <c r="P3295" s="9" t="n"/>
    </row>
    <row r="3296">
      <c r="A3296" s="13" t="inlineStr">
        <is>
          <t>Unyielding Krumar / Krumar Inexorável</t>
        </is>
      </c>
      <c r="B3296" s="13" t="inlineStr">
        <is>
          <t>Creature — Orc Warrior / Criatura — Orc Guerreiro</t>
        </is>
      </c>
      <c r="C3296" s="13" t="inlineStr">
        <is>
          <t>Common / Comum</t>
        </is>
      </c>
      <c r="D3296" s="13" t="inlineStr">
        <is>
          <t>{1}{W}: This creature gains first strike until end of turn. / {1}{W}: Krumar Inexorável ganha iniciativa até o final do turno.</t>
        </is>
      </c>
      <c r="E3296" s="13" t="inlineStr">
        <is>
          <t>{3}{B}</t>
        </is>
      </c>
      <c r="F3296" s="13" t="inlineStr">
        <is>
          <t>Preto</t>
        </is>
      </c>
      <c r="G3296" s="8" t="n">
        <v>0.05</v>
      </c>
      <c r="H3296" s="13" t="inlineStr">
        <is>
          <t>Khans of Tarkir (KTK)</t>
        </is>
      </c>
      <c r="I3296" s="13" t="inlineStr">
        <is>
          <t>Não</t>
        </is>
      </c>
      <c r="J3296" s="13" t="n">
        <v>2014</v>
      </c>
      <c r="K3296" s="10" t="n">
        <v>46084</v>
      </c>
      <c r="L3296" s="13" t="n">
        <v>1</v>
      </c>
      <c r="M3296" s="8">
        <f>L3296*G3296</f>
        <v/>
      </c>
      <c r="P3296" s="9" t="n"/>
    </row>
    <row r="3297">
      <c r="A3297" s="13" t="inlineStr">
        <is>
          <t>Uproot / Desenraizar</t>
        </is>
      </c>
      <c r="B3297" s="13" t="inlineStr">
        <is>
          <t>Sorcery — Arcane / Feitiço - Arcana</t>
        </is>
      </c>
      <c r="C3297" s="13" t="inlineStr">
        <is>
          <t>Common / Comum</t>
        </is>
      </c>
      <c r="D3297" s="13" t="inlineStr">
        <is>
          <t>Put target land on top of its owner's library. / Coloque o terreno alvo no topo do grimório de seu dono.</t>
        </is>
      </c>
      <c r="E3297" s="13" t="inlineStr">
        <is>
          <t>{3}{G}</t>
        </is>
      </c>
      <c r="F3297" s="13" t="inlineStr">
        <is>
          <t>Verde</t>
        </is>
      </c>
      <c r="G3297" s="8" t="n">
        <v>0.07000000000000001</v>
      </c>
      <c r="H3297" s="13" t="inlineStr">
        <is>
          <t>Betrayers of Kamigawa (BOK)</t>
        </is>
      </c>
      <c r="I3297" s="13" t="inlineStr">
        <is>
          <t>Não</t>
        </is>
      </c>
      <c r="J3297" s="13" t="n">
        <v>2005</v>
      </c>
      <c r="L3297" s="13" t="n">
        <v>1</v>
      </c>
      <c r="M3297" s="8">
        <f>L3297*G3297</f>
        <v/>
      </c>
      <c r="P3297" s="9" t="n"/>
    </row>
    <row r="3298">
      <c r="A3298" s="13" t="inlineStr">
        <is>
          <t>Urabrask's Anointer / Ungidor de Urabrask</t>
        </is>
      </c>
      <c r="B3298" s="13" t="inlineStr">
        <is>
          <t>Artifact Creature — Phyrexian Wizard / Criatura Artefato — Phyrexiano Mago</t>
        </is>
      </c>
      <c r="C3298" s="13" t="inlineStr">
        <is>
          <t>Uncommon / Incomum</t>
        </is>
      </c>
      <c r="D3298" s="13"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3298" s="13" t="inlineStr">
        <is>
          <t>{3}{R}</t>
        </is>
      </c>
      <c r="F3298" s="13" t="inlineStr">
        <is>
          <t>Vermelho</t>
        </is>
      </c>
      <c r="G3298" s="8" t="n">
        <v>0.07000000000000001</v>
      </c>
      <c r="H3298" s="13" t="inlineStr">
        <is>
          <t>Phyrexia: All Will Be One (ONE)</t>
        </is>
      </c>
      <c r="I3298" s="13" t="inlineStr">
        <is>
          <t>Sim</t>
        </is>
      </c>
      <c r="J3298" s="13" t="n">
        <v>2023</v>
      </c>
      <c r="K3298" s="10" t="n">
        <v>46057</v>
      </c>
      <c r="L3298" s="13" t="n">
        <v>1</v>
      </c>
      <c r="M3298" s="8">
        <f>L3298*G3298</f>
        <v/>
      </c>
      <c r="P3298" s="9" t="n"/>
    </row>
    <row r="3299">
      <c r="A3299" s="13" t="inlineStr">
        <is>
          <t>Urban Utopia / Utopia Urbana</t>
        </is>
      </c>
      <c r="B3299" s="13" t="inlineStr">
        <is>
          <t>Enchantment — Aura / Encantamento — Aura</t>
        </is>
      </c>
      <c r="C3299" s="13" t="inlineStr">
        <is>
          <t>Common / Comum</t>
        </is>
      </c>
      <c r="D3299" s="13" t="inlineStr">
        <is>
          <t>Enchant land When this Aura enters, draw a card. Enchanted land has "{T}: Add one mana of any color." / Encantar terreno Quando Utopia Urbana entrar no campo de batalha, compre um card. O terreno encantado tem "{T}: Adicione um mana de qualquer cor".</t>
        </is>
      </c>
      <c r="E3299" s="13" t="inlineStr">
        <is>
          <t>{1}{G}</t>
        </is>
      </c>
      <c r="F3299" s="13" t="inlineStr">
        <is>
          <t>Verde</t>
        </is>
      </c>
      <c r="G3299" s="8" t="n">
        <v>0.03</v>
      </c>
      <c r="H3299" s="13" t="inlineStr">
        <is>
          <t>Guilds of Ravnica (GRN)</t>
        </is>
      </c>
      <c r="I3299" s="13" t="inlineStr">
        <is>
          <t>Não</t>
        </is>
      </c>
      <c r="J3299" s="13" t="n">
        <v>2018</v>
      </c>
      <c r="L3299" s="13" t="n">
        <v>1</v>
      </c>
      <c r="M3299" s="8">
        <f>L3299*G3299</f>
        <v/>
      </c>
      <c r="N3299" s="13" t="inlineStr">
        <is>
          <t>Bulk Shopee</t>
        </is>
      </c>
      <c r="P3299" s="9" t="n"/>
    </row>
    <row r="3300">
      <c r="A3300" s="13" t="inlineStr">
        <is>
          <t>Urna de Fogo Divino / Divine Fire Urn</t>
        </is>
      </c>
      <c r="B3300" s="13" t="inlineStr">
        <is>
          <t>Artefato</t>
        </is>
      </c>
      <c r="C3300" s="13" t="inlineStr">
        <is>
          <t>Comum</t>
        </is>
      </c>
      <c r="D3300" s="13" t="inlineStr">
        <is>
          <t>{2}: Adicione um mana de qualquer cor. {6}, {T}, sacrifique Urna de Fogo Divino: Destrua a criatura ou o encantamento alvo.</t>
        </is>
      </c>
      <c r="E3300" s="13" t="inlineStr">
        <is>
          <t>{1}</t>
        </is>
      </c>
      <c r="F3300" s="13" t="inlineStr">
        <is>
          <t>Incolor</t>
        </is>
      </c>
      <c r="G3300" s="8" t="n">
        <v>0.27</v>
      </c>
      <c r="H3300" s="13" t="inlineStr">
        <is>
          <t>March of the Machine (MOM)</t>
        </is>
      </c>
      <c r="I3300" s="13" t="inlineStr">
        <is>
          <t>Sim</t>
        </is>
      </c>
      <c r="J3300" s="13" t="n">
        <v>2023</v>
      </c>
      <c r="L3300" s="13" t="n">
        <v>1</v>
      </c>
      <c r="M3300" s="8">
        <f>L3300*G3300</f>
        <v/>
      </c>
      <c r="P3300" s="9" t="n"/>
    </row>
    <row r="3301">
      <c r="A3301" s="13" t="inlineStr">
        <is>
          <t>Urza, Prince of Kroog / Urza, Príncipe de Kroog</t>
        </is>
      </c>
      <c r="B3301" s="13" t="inlineStr">
        <is>
          <t>Legendary Creature — Human Artificer / Criatura Lendária — Humano Artesão</t>
        </is>
      </c>
      <c r="C3301" s="13" t="inlineStr">
        <is>
          <t>Rare / Rara</t>
        </is>
      </c>
      <c r="D3301" s="13"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3301" s="13" t="inlineStr">
        <is>
          <t>{2}{W}{U}</t>
        </is>
      </c>
      <c r="F3301" s="13" t="inlineStr">
        <is>
          <t>Azul, Branco</t>
        </is>
      </c>
      <c r="G3301" s="8" t="n">
        <v>1.78</v>
      </c>
      <c r="H3301" s="13" t="inlineStr">
        <is>
          <t>The Brothers' War (BRO)</t>
        </is>
      </c>
      <c r="I3301" s="13" t="inlineStr">
        <is>
          <t>Não</t>
        </is>
      </c>
      <c r="J3301" s="13" t="n">
        <v>2022</v>
      </c>
      <c r="K3301" s="10" t="n">
        <v>46083</v>
      </c>
      <c r="L3301" s="13" t="n">
        <v>1</v>
      </c>
      <c r="M3301" s="8">
        <f>L3301*G3301</f>
        <v/>
      </c>
      <c r="P3301" s="9" t="n"/>
    </row>
    <row r="3302">
      <c r="A3302" s="13" t="inlineStr">
        <is>
          <t>Urza's Avenger / Vingador de Urza</t>
        </is>
      </c>
      <c r="B3302" s="13" t="inlineStr">
        <is>
          <t>Artifact Creature — Shapeshifter</t>
        </is>
      </c>
      <c r="C3302" s="13" t="inlineStr">
        <is>
          <t>Rare / Rara</t>
        </is>
      </c>
      <c r="D3302" s="13"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3302" s="13" t="inlineStr">
        <is>
          <t>{6}</t>
        </is>
      </c>
      <c r="F3302" s="13" t="inlineStr">
        <is>
          <t>Incolor</t>
        </is>
      </c>
      <c r="G3302" s="8" t="n">
        <v>1.6</v>
      </c>
      <c r="H3302" s="13" t="inlineStr">
        <is>
          <t>Fourth Edition (BB)</t>
        </is>
      </c>
      <c r="I3302" s="13" t="inlineStr">
        <is>
          <t>Não</t>
        </is>
      </c>
      <c r="J3302" s="13" t="n">
        <v>1995</v>
      </c>
      <c r="K3302" s="10" t="n">
        <v>46116</v>
      </c>
      <c r="L3302" s="13" t="n">
        <v>1</v>
      </c>
      <c r="M3302" s="8">
        <f>L3302*G3302</f>
        <v/>
      </c>
      <c r="N3302" s="13" t="inlineStr">
        <is>
          <t>Pasta</t>
        </is>
      </c>
      <c r="P3302" s="9" t="n"/>
    </row>
    <row r="3303">
      <c r="A3303" s="13" t="inlineStr">
        <is>
          <t>Urza's Mine / Miniera di Urza</t>
        </is>
      </c>
      <c r="B3303" s="13" t="inlineStr">
        <is>
          <t>Land / Terra</t>
        </is>
      </c>
      <c r="C3303" s="13" t="inlineStr">
        <is>
          <t>Common / Comum</t>
        </is>
      </c>
      <c r="D3303" s="13" t="inlineStr">
        <is>
          <t>{T}: Add {C} to your mana pool. If you control an Urza's Tower and an Urza's Power Plant, add {C}{C} to your mana pool instead.</t>
        </is>
      </c>
      <c r="E3303" s="13" t="inlineStr">
        <is>
          <t>None</t>
        </is>
      </c>
      <c r="F3303" s="13" t="inlineStr">
        <is>
          <t>Incolor</t>
        </is>
      </c>
      <c r="G3303" s="8" t="n">
        <v>3</v>
      </c>
      <c r="H3303" s="13" t="inlineStr">
        <is>
          <t>Chronicles (CHR)</t>
        </is>
      </c>
      <c r="I3303" s="13" t="inlineStr">
        <is>
          <t>No</t>
        </is>
      </c>
      <c r="J3303" s="13" t="n">
        <v>1995</v>
      </c>
      <c r="L3303" s="13" t="n">
        <v>1</v>
      </c>
      <c r="M3303" s="8">
        <f>L3303*G3303</f>
        <v/>
      </c>
      <c r="P3303" s="9" t="n"/>
    </row>
    <row r="3304">
      <c r="A3304" s="13" t="inlineStr">
        <is>
          <t>Uthden Troll / Trol de Uthden</t>
        </is>
      </c>
      <c r="B3304" s="13" t="inlineStr">
        <is>
          <t>Creature — Troll / Criatura — Trol</t>
        </is>
      </c>
      <c r="C3304" s="13" t="inlineStr">
        <is>
          <t>Uncommon / Incomum</t>
        </is>
      </c>
      <c r="D3304" s="13" t="inlineStr">
        <is>
          <t>{R}: Regenerate this creature. / {R}: Regenere Trol de Uthden.</t>
        </is>
      </c>
      <c r="E3304" s="13" t="inlineStr">
        <is>
          <t>{2}{R}</t>
        </is>
      </c>
      <c r="F3304" s="13" t="inlineStr">
        <is>
          <t>Vermelho</t>
        </is>
      </c>
      <c r="G3304" s="8" t="n">
        <v>0.2</v>
      </c>
      <c r="H3304" s="13" t="inlineStr">
        <is>
          <t xml:space="preserve">Fourth Edition </t>
        </is>
      </c>
      <c r="I3304" s="13" t="inlineStr">
        <is>
          <t>Não</t>
        </is>
      </c>
      <c r="J3304" s="13" t="n">
        <v>1995</v>
      </c>
      <c r="K3304" s="10" t="n">
        <v>46055</v>
      </c>
      <c r="L3304" s="13" t="n">
        <v>2</v>
      </c>
      <c r="M3304" s="8">
        <f>L3304*G3304</f>
        <v/>
      </c>
      <c r="P3304" s="9" t="n"/>
    </row>
    <row r="3305">
      <c r="A3305" s="13" t="inlineStr">
        <is>
          <t>Uthden Troll / Trol de Uthden</t>
        </is>
      </c>
      <c r="B3305" s="13" t="inlineStr">
        <is>
          <t>Creature — Troll / Criatura — Trol</t>
        </is>
      </c>
      <c r="C3305" s="13" t="inlineStr">
        <is>
          <t>Uncommon / Incomum</t>
        </is>
      </c>
      <c r="D3305" s="13" t="inlineStr">
        <is>
          <t>{R}: Regenerate this creature. / {R}: Regenere Trol de Uthden.</t>
        </is>
      </c>
      <c r="E3305" s="13" t="inlineStr">
        <is>
          <t>{2}{R}</t>
        </is>
      </c>
      <c r="F3305" s="13" t="inlineStr">
        <is>
          <t>Vermelho</t>
        </is>
      </c>
      <c r="G3305" s="8" t="n">
        <v>0.48</v>
      </c>
      <c r="H3305" s="13" t="inlineStr">
        <is>
          <t>Fourth Edition (BB)</t>
        </is>
      </c>
      <c r="I3305" s="13" t="inlineStr">
        <is>
          <t>Não</t>
        </is>
      </c>
      <c r="J3305" s="13" t="n">
        <v>1995</v>
      </c>
      <c r="K3305" s="10" t="n">
        <v>46055</v>
      </c>
      <c r="L3305" s="13" t="n">
        <v>1</v>
      </c>
      <c r="M3305" s="8">
        <f>L3305*G3305</f>
        <v/>
      </c>
      <c r="P3305" s="9" t="n"/>
    </row>
    <row r="3306">
      <c r="A3306" s="13" t="inlineStr">
        <is>
          <t>Utopia Vow / Promessa Utópica</t>
        </is>
      </c>
      <c r="B3306" s="13" t="inlineStr">
        <is>
          <t>Enchantment — Aura / Encantamento — Aura</t>
        </is>
      </c>
      <c r="C3306" s="13" t="inlineStr">
        <is>
          <t>Common / Comum</t>
        </is>
      </c>
      <c r="D3306" s="13" t="inlineStr">
        <is>
          <t>Enchant creature Enchanted creature can't attack or block. Enchanted creature has "{T}: Add one mana of any color." / Encantar criatura A criatura encantada não pode atacar nem bloquear. A criatura encantada tem "{T}: Adicione um mana de qualquer cor".</t>
        </is>
      </c>
      <c r="E3306" s="13" t="inlineStr">
        <is>
          <t>{1}{G}</t>
        </is>
      </c>
      <c r="F3306" s="13" t="inlineStr">
        <is>
          <t>Verde</t>
        </is>
      </c>
      <c r="G3306" s="8" t="n">
        <v>0.13</v>
      </c>
      <c r="H3306" s="13" t="inlineStr">
        <is>
          <t>Time Spiral Remastered (TSR)</t>
        </is>
      </c>
      <c r="I3306" s="13" t="inlineStr">
        <is>
          <t>Não</t>
        </is>
      </c>
      <c r="J3306" s="13" t="n">
        <v>2021</v>
      </c>
      <c r="L3306" s="13" t="n">
        <v>1</v>
      </c>
      <c r="M3306" s="8">
        <f>L3306*G3306</f>
        <v/>
      </c>
      <c r="N3306" s="13" t="inlineStr">
        <is>
          <t>Bulk Shopee</t>
        </is>
      </c>
      <c r="P3306" s="9" t="n"/>
    </row>
    <row r="3307">
      <c r="A3307" s="13" t="inlineStr">
        <is>
          <t>Utrom Scientists</t>
        </is>
      </c>
      <c r="B3307" s="13" t="inlineStr">
        <is>
          <t>Artifact Creature — Utrom Robot Scientist</t>
        </is>
      </c>
      <c r="C3307" s="13" t="inlineStr">
        <is>
          <t>Common / Comum</t>
        </is>
      </c>
      <c r="D3307" s="13" t="inlineStr">
        <is>
          <t>When this creature enters, tap up to one target creature and put a stun counter on it. (If a permanent with a stun counter would become untapped, remove one from it instead.)</t>
        </is>
      </c>
      <c r="E3307" s="13" t="inlineStr">
        <is>
          <t>{2}{U}</t>
        </is>
      </c>
      <c r="F3307" s="13" t="inlineStr">
        <is>
          <t>Azul</t>
        </is>
      </c>
      <c r="G3307" s="8" t="n">
        <v>0.05</v>
      </c>
      <c r="H3307" s="13" t="inlineStr">
        <is>
          <t>Teenage Mutant Ninja Turtles (TMT)</t>
        </is>
      </c>
      <c r="I3307" s="13" t="inlineStr">
        <is>
          <t>Não</t>
        </is>
      </c>
      <c r="J3307" s="13" t="n">
        <v>2026</v>
      </c>
      <c r="K3307" s="10" t="n">
        <v>46055</v>
      </c>
      <c r="L3307" s="13" t="n">
        <v>4</v>
      </c>
      <c r="M3307" s="8">
        <f>L3307*G3307</f>
        <v/>
      </c>
      <c r="P3307" s="9" t="n"/>
    </row>
    <row r="3308">
      <c r="A3308" s="13" t="inlineStr">
        <is>
          <t>Utter Insignificance / Insignificância Mor</t>
        </is>
      </c>
      <c r="B3308" s="13" t="inlineStr">
        <is>
          <t>Enchantment — Aura / Encantamento — Aura</t>
        </is>
      </c>
      <c r="C3308" s="13" t="inlineStr">
        <is>
          <t>Common / Comum</t>
        </is>
      </c>
      <c r="D3308" s="13"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3308" s="13" t="inlineStr">
        <is>
          <t>{1}{U}</t>
        </is>
      </c>
      <c r="F3308" s="13" t="inlineStr">
        <is>
          <t>Azul</t>
        </is>
      </c>
      <c r="G3308" s="8" t="n">
        <v>0.09</v>
      </c>
      <c r="H3308" s="13" t="inlineStr">
        <is>
          <t>Modern Horizons 3 (MH3)</t>
        </is>
      </c>
      <c r="I3308" s="13" t="inlineStr">
        <is>
          <t>Não</t>
        </is>
      </c>
      <c r="J3308" s="13" t="n">
        <v>2024</v>
      </c>
      <c r="L3308" s="13" t="n">
        <v>1</v>
      </c>
      <c r="M3308" s="8">
        <f>L3308*G3308</f>
        <v/>
      </c>
      <c r="P3308" s="9" t="n"/>
    </row>
    <row r="3309">
      <c r="A3309" s="13" t="inlineStr">
        <is>
          <t>Uurg, Prole de Turg / Uurg, Spawn of Turg</t>
        </is>
      </c>
      <c r="B3309" s="13" t="inlineStr">
        <is>
          <t>Criatura Lendária — Sapo Besta</t>
        </is>
      </c>
      <c r="C3309" s="13" t="inlineStr">
        <is>
          <t>Incomum</t>
        </is>
      </c>
      <c r="D3309" s="13"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3309" s="13" t="inlineStr">
        <is>
          <t>{B}{B}{G}</t>
        </is>
      </c>
      <c r="F3309" s="13" t="inlineStr">
        <is>
          <t>Preto, Verde</t>
        </is>
      </c>
      <c r="G3309" s="8" t="n">
        <v>0.09</v>
      </c>
      <c r="H3309" s="13" t="inlineStr">
        <is>
          <t>Dominaria United (DMU)</t>
        </is>
      </c>
      <c r="I3309" s="13" t="inlineStr">
        <is>
          <t>Não</t>
        </is>
      </c>
      <c r="J3309" s="13" t="n">
        <v>2022</v>
      </c>
      <c r="K3309" s="13" t="inlineStr">
        <is>
          <t>*/5</t>
        </is>
      </c>
      <c r="L3309" s="13" t="n">
        <v>2</v>
      </c>
      <c r="M3309" s="8">
        <f>L3309*G3309</f>
        <v/>
      </c>
      <c r="P3309" s="9" t="n"/>
    </row>
    <row r="3310">
      <c r="A3310" s="13" t="inlineStr">
        <is>
          <t>Valeron Outlander / Forasteiro de Valeron</t>
        </is>
      </c>
      <c r="B3310" s="13" t="inlineStr">
        <is>
          <t>Creature — Human Scout / Criatura — Humano Batedor</t>
        </is>
      </c>
      <c r="C3310" s="13" t="inlineStr">
        <is>
          <t>Common / Comum</t>
        </is>
      </c>
      <c r="D3310" s="13" t="inlineStr">
        <is>
          <t>Protection from black / Proteção contra o preto</t>
        </is>
      </c>
      <c r="E3310" s="13" t="inlineStr">
        <is>
          <t>{G}{W}</t>
        </is>
      </c>
      <c r="F3310" s="13" t="inlineStr">
        <is>
          <t>Verde, Branco</t>
        </is>
      </c>
      <c r="G3310" s="8" t="n">
        <v>0.06</v>
      </c>
      <c r="H3310" s="13" t="inlineStr">
        <is>
          <t>Conflux (CON)</t>
        </is>
      </c>
      <c r="I3310" s="13" t="inlineStr">
        <is>
          <t>Não</t>
        </is>
      </c>
      <c r="J3310" s="13" t="n">
        <v>2009</v>
      </c>
      <c r="K3310" s="10" t="n">
        <v>46055</v>
      </c>
      <c r="L3310" s="13" t="n">
        <v>2</v>
      </c>
      <c r="M3310" s="8">
        <f>L3310*G3310</f>
        <v/>
      </c>
      <c r="P3310" s="9" t="n"/>
    </row>
    <row r="3311">
      <c r="A3311" s="13" t="inlineStr">
        <is>
          <t>Valgavoth's Faithful</t>
        </is>
      </c>
      <c r="B3311" s="13" t="inlineStr">
        <is>
          <t>Creature — Human Cleric</t>
        </is>
      </c>
      <c r="C3311" s="13" t="inlineStr">
        <is>
          <t>Uncommon / Incomum</t>
        </is>
      </c>
      <c r="D3311" s="13" t="inlineStr">
        <is>
          <t>{3}{B}, Sacrifice this creature: Return target creature card from your graveyard to the battlefield. Activate only as a sorcery.</t>
        </is>
      </c>
      <c r="E3311" s="13" t="inlineStr">
        <is>
          <t>{B}</t>
        </is>
      </c>
      <c r="F3311" s="13" t="inlineStr">
        <is>
          <t>Preto</t>
        </is>
      </c>
      <c r="G3311" s="8" t="n">
        <v>0.1</v>
      </c>
      <c r="H3311" s="13" t="inlineStr">
        <is>
          <t>Duskmourn: House of Horror (DSK)</t>
        </is>
      </c>
      <c r="I3311" s="13" t="inlineStr">
        <is>
          <t>Não</t>
        </is>
      </c>
      <c r="J3311" s="13" t="n">
        <v>2024</v>
      </c>
      <c r="K3311" s="10" t="n">
        <v>46023</v>
      </c>
      <c r="L3311" s="13" t="n">
        <v>1</v>
      </c>
      <c r="M3311" s="8">
        <f>L3311*G3311</f>
        <v/>
      </c>
      <c r="P3311" s="9" t="n"/>
    </row>
    <row r="3312">
      <c r="A3312" s="13" t="inlineStr">
        <is>
          <t>Valiant Knight / Cavaleira Valente</t>
        </is>
      </c>
      <c r="B3312" s="13" t="inlineStr">
        <is>
          <t>Creature — Human Knight / Criatura — Humano Cavaleiro</t>
        </is>
      </c>
      <c r="C3312" s="13" t="inlineStr">
        <is>
          <t>Rare / Rara</t>
        </is>
      </c>
      <c r="D3312" s="13" t="inlineStr">
        <is>
          <t>Other Knights you control get +1/+1. {3}{W}{W}: Knights you control gain double strike until end of turn. / Os outros Cavaleiros que você controla recebem +1/+1. {3}{W}{W}: Os Cavaleiros que você controla ganham golpe duplo até o final do turno.</t>
        </is>
      </c>
      <c r="E3312" s="13" t="inlineStr">
        <is>
          <t>{3}{W}</t>
        </is>
      </c>
      <c r="F3312" s="13" t="inlineStr">
        <is>
          <t>Branco</t>
        </is>
      </c>
      <c r="G3312" s="8" t="n">
        <v>0.64</v>
      </c>
      <c r="H3312" s="13" t="inlineStr">
        <is>
          <t>Core Set 2019 (M19)</t>
        </is>
      </c>
      <c r="I3312" s="13" t="inlineStr">
        <is>
          <t>Não</t>
        </is>
      </c>
      <c r="J3312" s="13" t="n">
        <v>2018</v>
      </c>
      <c r="K3312" s="10" t="n">
        <v>46115</v>
      </c>
      <c r="L3312" s="13" t="n">
        <v>1</v>
      </c>
      <c r="M3312" s="8">
        <f>L3312*G3312</f>
        <v/>
      </c>
      <c r="P3312" s="9" t="n"/>
    </row>
    <row r="3313">
      <c r="A3313" s="13" t="inlineStr">
        <is>
          <t>Valkyrie Aerial Unit / Unidade Aérea Valquíria</t>
        </is>
      </c>
      <c r="B3313" s="13" t="inlineStr">
        <is>
          <t>Criatura Artefato — Construto</t>
        </is>
      </c>
      <c r="C3313" s="13" t="inlineStr">
        <is>
          <t>Incomum</t>
        </is>
      </c>
      <c r="D3313" s="13"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313" s="13" t="inlineStr">
        <is>
          <t>5{U}{U}</t>
        </is>
      </c>
      <c r="F3313" s="13" t="inlineStr">
        <is>
          <t>Azul</t>
        </is>
      </c>
      <c r="G3313" s="8" t="n">
        <v>0.21</v>
      </c>
      <c r="H3313" s="13" t="inlineStr">
        <is>
          <t>Final Fantasy</t>
        </is>
      </c>
      <c r="I3313" s="13" t="inlineStr">
        <is>
          <t>Não</t>
        </is>
      </c>
      <c r="J3313" s="13" t="n">
        <v>2025</v>
      </c>
      <c r="K3313" s="10" t="n">
        <v>46117</v>
      </c>
      <c r="L3313" s="13" t="n">
        <v>3</v>
      </c>
      <c r="M3313" s="8">
        <f>L3313*G3313</f>
        <v/>
      </c>
      <c r="P3313" s="9" t="n"/>
    </row>
    <row r="3314">
      <c r="A3314" s="13" t="inlineStr">
        <is>
          <t>Vampire Bats / Morcegos Vampiros</t>
        </is>
      </c>
      <c r="B3314" s="13" t="inlineStr">
        <is>
          <t>Creature — Bat / Criatura — Morcego</t>
        </is>
      </c>
      <c r="C3314" s="13" t="inlineStr">
        <is>
          <t>Common / Comum</t>
        </is>
      </c>
      <c r="D3314" s="13"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3314" s="13" t="inlineStr">
        <is>
          <t>{B}</t>
        </is>
      </c>
      <c r="F3314" s="13" t="inlineStr">
        <is>
          <t>Preto</t>
        </is>
      </c>
      <c r="G3314" s="8" t="n">
        <v>0.05</v>
      </c>
      <c r="H3314" s="13" t="inlineStr">
        <is>
          <t>Quarta Edição</t>
        </is>
      </c>
      <c r="I3314" s="13" t="inlineStr">
        <is>
          <t>Não</t>
        </is>
      </c>
      <c r="J3314" s="13" t="n">
        <v>1995</v>
      </c>
      <c r="K3314" s="13" t="inlineStr">
        <is>
          <t>0/1</t>
        </is>
      </c>
      <c r="L3314" s="13" t="n">
        <v>3</v>
      </c>
      <c r="M3314" s="8">
        <f>L3314*G3314</f>
        <v/>
      </c>
      <c r="P3314" s="9" t="n"/>
    </row>
    <row r="3315">
      <c r="A3315" s="13" t="inlineStr">
        <is>
          <t>Vampire Bats / Morcegos Vampiros</t>
        </is>
      </c>
      <c r="B3315" s="13" t="inlineStr">
        <is>
          <t>Creature — Bat / Criatura — Morcego</t>
        </is>
      </c>
      <c r="C3315" s="13" t="inlineStr">
        <is>
          <t>Common / Comum</t>
        </is>
      </c>
      <c r="D3315" s="13"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3315" s="13" t="inlineStr">
        <is>
          <t>{B}</t>
        </is>
      </c>
      <c r="F3315" s="13" t="inlineStr">
        <is>
          <t>Preto</t>
        </is>
      </c>
      <c r="G3315" s="8" t="n">
        <v>0.2</v>
      </c>
      <c r="H3315" s="13" t="inlineStr">
        <is>
          <t>Quarta Edição (BB)</t>
        </is>
      </c>
      <c r="I3315" s="13" t="inlineStr">
        <is>
          <t>Não</t>
        </is>
      </c>
      <c r="J3315" s="13" t="n">
        <v>1995</v>
      </c>
      <c r="K3315" s="13" t="inlineStr">
        <is>
          <t>0/1</t>
        </is>
      </c>
      <c r="L3315" s="13" t="n">
        <v>5</v>
      </c>
      <c r="M3315" s="8">
        <f>L3315*G3315</f>
        <v/>
      </c>
      <c r="P3315" s="9" t="n"/>
    </row>
    <row r="3316">
      <c r="A3316" s="13" t="inlineStr">
        <is>
          <t>Vampire Nighthawk / Vampiro Falcão-da-Noite</t>
        </is>
      </c>
      <c r="B3316" s="13" t="inlineStr">
        <is>
          <t>Creature — Vampire Shaman / Criatura — Vampiro Xamã</t>
        </is>
      </c>
      <c r="C3316" s="13" t="inlineStr">
        <is>
          <t>Uncommon / Incomum</t>
        </is>
      </c>
      <c r="D3316" s="13"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3316" s="13" t="inlineStr">
        <is>
          <t>{1}{B}{B}</t>
        </is>
      </c>
      <c r="F3316" s="13" t="inlineStr">
        <is>
          <t>Preto</t>
        </is>
      </c>
      <c r="G3316" s="8" t="n">
        <v>0.9</v>
      </c>
      <c r="H3316" s="13" t="inlineStr">
        <is>
          <t>Foundations (FDN)</t>
        </is>
      </c>
      <c r="I3316" s="13" t="inlineStr">
        <is>
          <t>Sim</t>
        </is>
      </c>
      <c r="J3316" s="13" t="n">
        <v>2024</v>
      </c>
      <c r="K3316" s="10" t="n">
        <v>46083</v>
      </c>
      <c r="L3316" s="13" t="n">
        <v>1</v>
      </c>
      <c r="M3316" s="8">
        <f>L3316*G3316</f>
        <v/>
      </c>
      <c r="P3316" s="9" t="n"/>
    </row>
    <row r="3317">
      <c r="A3317" s="13" t="inlineStr">
        <is>
          <t>Vampire Opportunist / Oportunista Vampira</t>
        </is>
      </c>
      <c r="B3317" s="13" t="inlineStr">
        <is>
          <t>Creature — Vampire / Criatura — Vampiro</t>
        </is>
      </c>
      <c r="C3317" s="13" t="inlineStr">
        <is>
          <t>Common / Comum</t>
        </is>
      </c>
      <c r="D3317" s="13" t="inlineStr">
        <is>
          <t>{6}{B}: Each opponent loses 2 life and you gain 2 life. / {6}{B}: Cada oponente perde 2 pontos de vida e você ganha 2 pontos de vida.</t>
        </is>
      </c>
      <c r="E3317" s="13" t="inlineStr">
        <is>
          <t>{1}{B}</t>
        </is>
      </c>
      <c r="F3317" s="13" t="inlineStr">
        <is>
          <t>Preto</t>
        </is>
      </c>
      <c r="G3317" s="8" t="n">
        <v>0.03</v>
      </c>
      <c r="H3317" s="13" t="inlineStr">
        <is>
          <t>War of the Spark (WAR)</t>
        </is>
      </c>
      <c r="I3317" s="13" t="inlineStr">
        <is>
          <t>Não</t>
        </is>
      </c>
      <c r="J3317" s="13" t="n">
        <v>2019</v>
      </c>
      <c r="K3317" s="10" t="n">
        <v>46024</v>
      </c>
      <c r="L3317" s="13" t="n">
        <v>1</v>
      </c>
      <c r="M3317" s="8">
        <f>L3317*G3317</f>
        <v/>
      </c>
      <c r="P3317" s="9" t="n"/>
    </row>
    <row r="3318">
      <c r="A3318" s="13" t="inlineStr">
        <is>
          <t>Vampire Slayer / Matadora de Vampiros</t>
        </is>
      </c>
      <c r="B3318" s="13" t="inlineStr">
        <is>
          <t>Creature — Human Soldier / Criatura — Humano Soldado</t>
        </is>
      </c>
      <c r="C3318" s="13" t="inlineStr">
        <is>
          <t>Common / Comum</t>
        </is>
      </c>
      <c r="D3318" s="13" t="inlineStr">
        <is>
          <t>Whenever this creature deals damage to a Vampire, destroy that creature. / Toda vez que Matadora de Vampiros causar dano a um Vampiro, destrua aquela criatura.</t>
        </is>
      </c>
      <c r="E3318" s="13" t="inlineStr">
        <is>
          <t>{1}{W}</t>
        </is>
      </c>
      <c r="F3318" s="13" t="inlineStr">
        <is>
          <t>Branco</t>
        </is>
      </c>
      <c r="G3318" s="8" t="n">
        <v>0.09</v>
      </c>
      <c r="H3318" s="13" t="inlineStr">
        <is>
          <t>Innistrad: Crimson Vow (VOW)</t>
        </is>
      </c>
      <c r="I3318" s="13" t="inlineStr">
        <is>
          <t>Não</t>
        </is>
      </c>
      <c r="J3318" s="13" t="n">
        <v>2021</v>
      </c>
      <c r="K3318" s="10" t="n">
        <v>46055</v>
      </c>
      <c r="L3318" s="13" t="n">
        <v>1</v>
      </c>
      <c r="M3318" s="8">
        <f>L3318*G3318</f>
        <v/>
      </c>
      <c r="P3318" s="9" t="n"/>
    </row>
    <row r="3319">
      <c r="A3319" s="13" t="inlineStr">
        <is>
          <t>Vampire Sovereign / Soberana Vampira</t>
        </is>
      </c>
      <c r="B3319" s="13" t="inlineStr">
        <is>
          <t>Creature — Vampire Noble / Criatura — Vampiro</t>
        </is>
      </c>
      <c r="C3319" s="13" t="inlineStr">
        <is>
          <t>Uncommon / Incomum</t>
        </is>
      </c>
      <c r="D3319" s="13" t="inlineStr">
        <is>
          <t>Flying When this creature enters, target opponent loses 3 life and you gain 3 life. / Voar Quando Soberana Vampira entra no campo de batalha, o oponente alvo perde 3 pontos de vida e você ganha 3 pontos de vida.</t>
        </is>
      </c>
      <c r="E3319" s="13" t="inlineStr">
        <is>
          <t>{3}{B}{B}</t>
        </is>
      </c>
      <c r="F3319" s="13" t="inlineStr">
        <is>
          <t>Preto</t>
        </is>
      </c>
      <c r="G3319" s="8" t="n">
        <v>0.24</v>
      </c>
      <c r="H3319" s="13" t="inlineStr">
        <is>
          <t>Core Set 2019 (M19)</t>
        </is>
      </c>
      <c r="I3319" s="13" t="inlineStr">
        <is>
          <t>Não</t>
        </is>
      </c>
      <c r="J3319" s="13" t="n">
        <v>2018</v>
      </c>
      <c r="K3319" s="10" t="n">
        <v>46115</v>
      </c>
      <c r="L3319" s="13" t="n">
        <v>1</v>
      </c>
      <c r="M3319" s="8">
        <f>L3319*G3319</f>
        <v/>
      </c>
      <c r="P3319" s="9" t="n"/>
    </row>
    <row r="3320">
      <c r="A3320" s="13" t="inlineStr">
        <is>
          <t>Vampiro de Guul Draz</t>
        </is>
      </c>
      <c r="B3320" s="13" t="inlineStr">
        <is>
          <t>Criatura — Vampiro Ladino</t>
        </is>
      </c>
      <c r="C3320" s="13" t="inlineStr">
        <is>
          <t>Comum</t>
        </is>
      </c>
      <c r="D3320" s="13" t="inlineStr">
        <is>
          <t>Enquanto um oponente tiver 10 ou menos pontos de vida, Vampiro de Guul Draz receberá +2/+1 e terá intimidar. (Ele só pode ser bloqueado por criaturas artefato e/ou criaturas que compartilhem uma cor com ele.)</t>
        </is>
      </c>
      <c r="E3320" s="13" t="inlineStr">
        <is>
          <t>{B}</t>
        </is>
      </c>
      <c r="F3320" s="13" t="inlineStr">
        <is>
          <t>Preto</t>
        </is>
      </c>
      <c r="G3320" s="8" t="n">
        <v>0.45</v>
      </c>
      <c r="H3320" s="13" t="inlineStr">
        <is>
          <t>WWK</t>
        </is>
      </c>
      <c r="I3320" s="13" t="inlineStr">
        <is>
          <t>Não</t>
        </is>
      </c>
      <c r="J3320" s="13" t="n">
        <v>2010</v>
      </c>
      <c r="K3320" s="10" t="n">
        <v>46023</v>
      </c>
      <c r="L3320" s="13" t="n">
        <v>3</v>
      </c>
      <c r="M3320" s="8">
        <f>L3320*G3320</f>
        <v/>
      </c>
      <c r="P3320" s="9" t="n"/>
    </row>
    <row r="3321">
      <c r="A3321" s="13" t="inlineStr">
        <is>
          <t>Vampiro de Guul Draz / Guul Draz Vampire</t>
        </is>
      </c>
      <c r="B3321" s="13" t="inlineStr">
        <is>
          <t>Criatura — Vampiro Ladino / Creature — Vampire Rogue</t>
        </is>
      </c>
      <c r="C3321" s="13" t="inlineStr">
        <is>
          <t>Comum / Common</t>
        </is>
      </c>
      <c r="D3321" s="13"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3321" s="13" t="inlineStr">
        <is>
          <t>{B}</t>
        </is>
      </c>
      <c r="F3321" s="13" t="inlineStr">
        <is>
          <t>Preto</t>
        </is>
      </c>
      <c r="G3321" s="8" t="n">
        <v>0.49</v>
      </c>
      <c r="H3321" s="13" t="inlineStr">
        <is>
          <t>Worldwake (WWK)</t>
        </is>
      </c>
      <c r="I3321" s="13" t="inlineStr">
        <is>
          <t>Não</t>
        </is>
      </c>
      <c r="J3321" s="13" t="n">
        <v>2010</v>
      </c>
      <c r="K3321" s="10" t="n">
        <v>46023</v>
      </c>
      <c r="L3321" s="13" t="n">
        <v>1</v>
      </c>
      <c r="M3321" s="8">
        <f>L3321*G3321</f>
        <v/>
      </c>
      <c r="P3321" s="9" t="n"/>
    </row>
    <row r="3322">
      <c r="A3322" s="13" t="inlineStr">
        <is>
          <t>Vampiro de Sengir / Sengir Vampire</t>
        </is>
      </c>
      <c r="B3322" s="13" t="inlineStr">
        <is>
          <t>Criatura — Vampiro / Creature — Vampire</t>
        </is>
      </c>
      <c r="C3322" s="13" t="inlineStr">
        <is>
          <t>Incomum / Uncommon</t>
        </is>
      </c>
      <c r="D3322" s="13"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3322" s="13" t="inlineStr">
        <is>
          <t>{3}{B}{B}</t>
        </is>
      </c>
      <c r="F3322" s="13" t="inlineStr">
        <is>
          <t>Preto / Black</t>
        </is>
      </c>
      <c r="G3322" s="8" t="n">
        <v>0.19</v>
      </c>
      <c r="H3322" s="13" t="inlineStr">
        <is>
          <t>Magic Origins (ORI)</t>
        </is>
      </c>
      <c r="I3322" s="13" t="inlineStr">
        <is>
          <t>Não</t>
        </is>
      </c>
      <c r="J3322" s="13" t="n">
        <v>2015</v>
      </c>
      <c r="K3322" s="10" t="n">
        <v>46116</v>
      </c>
      <c r="L3322" s="13" t="n">
        <v>3</v>
      </c>
      <c r="M3322" s="8">
        <f>L3322*G3322</f>
        <v/>
      </c>
      <c r="P3322" s="9" t="n"/>
    </row>
    <row r="3323">
      <c r="A3323" s="13" t="inlineStr">
        <is>
          <t>Vampiro de Sengir / Sengir Vampire</t>
        </is>
      </c>
      <c r="B3323" s="13" t="inlineStr">
        <is>
          <t>Criatura — Vampiro / Creature — Vampire</t>
        </is>
      </c>
      <c r="C3323" s="13" t="inlineStr">
        <is>
          <t>Incomum / Uncommon</t>
        </is>
      </c>
      <c r="D3323" s="13"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3323" s="13" t="inlineStr">
        <is>
          <t>{3}{B}{B}</t>
        </is>
      </c>
      <c r="F3323" s="13" t="inlineStr">
        <is>
          <t>Preto / Black</t>
        </is>
      </c>
      <c r="G3323" s="8" t="n">
        <v>0.1</v>
      </c>
      <c r="H3323" s="13" t="inlineStr">
        <is>
          <t xml:space="preserve">Welcome Deck 2016 </t>
        </is>
      </c>
      <c r="I3323" s="13" t="inlineStr">
        <is>
          <t>Não</t>
        </is>
      </c>
      <c r="J3323" s="13" t="n">
        <v>2011</v>
      </c>
      <c r="K3323" s="10" t="n">
        <v>46116</v>
      </c>
      <c r="L3323" s="13" t="n">
        <v>1</v>
      </c>
      <c r="M3323" s="8">
        <f>L3323*G3323</f>
        <v/>
      </c>
      <c r="P3323" s="9" t="n"/>
    </row>
    <row r="3324">
      <c r="A3324" s="13" t="inlineStr">
        <is>
          <t>Vanguard Seraph</t>
        </is>
      </c>
      <c r="B3324" s="13" t="inlineStr">
        <is>
          <t>Creature — Angel Warrior</t>
        </is>
      </c>
      <c r="C3324" s="13" t="inlineStr">
        <is>
          <t>Common / Comum</t>
        </is>
      </c>
      <c r="D3324" s="13" t="inlineStr">
        <is>
          <t>Flying Whenever you gain life for the first time each turn, surveil 1. (Look at the top card of your library. You may put it into your graveyard.)</t>
        </is>
      </c>
      <c r="E3324" s="13" t="inlineStr">
        <is>
          <t>{3}{W}</t>
        </is>
      </c>
      <c r="F3324" s="13" t="inlineStr">
        <is>
          <t>Branco</t>
        </is>
      </c>
      <c r="G3324" s="8" t="n">
        <v>0.08</v>
      </c>
      <c r="H3324" s="13" t="inlineStr">
        <is>
          <t>Foundations (FDN)</t>
        </is>
      </c>
      <c r="I3324" s="13" t="inlineStr">
        <is>
          <t>Não</t>
        </is>
      </c>
      <c r="J3324" s="13" t="n">
        <v>2024</v>
      </c>
      <c r="K3324" s="10" t="n">
        <v>46084</v>
      </c>
      <c r="L3324" s="13" t="n">
        <v>1</v>
      </c>
      <c r="M3324" s="8">
        <f>L3324*G3324</f>
        <v/>
      </c>
      <c r="P3324" s="9" t="n"/>
    </row>
    <row r="3325">
      <c r="A3325" s="13" t="inlineStr">
        <is>
          <t>Vanguard Seraph</t>
        </is>
      </c>
      <c r="B3325" s="13" t="inlineStr">
        <is>
          <t>Creature — Angel Warrior</t>
        </is>
      </c>
      <c r="C3325" s="13" t="inlineStr">
        <is>
          <t>Common / Comum</t>
        </is>
      </c>
      <c r="D3325" s="13" t="inlineStr">
        <is>
          <t>Flying Whenever you gain life for the first time each turn, surveil 1. (Look at the top card of your library. You may put it into your graveyard.)</t>
        </is>
      </c>
      <c r="E3325" s="13" t="inlineStr">
        <is>
          <t>{3}{W}</t>
        </is>
      </c>
      <c r="F3325" s="13" t="inlineStr">
        <is>
          <t>Branco</t>
        </is>
      </c>
      <c r="G3325" s="8" t="n">
        <v>0.08</v>
      </c>
      <c r="H3325" s="13" t="inlineStr">
        <is>
          <t>Foundations (FDN)</t>
        </is>
      </c>
      <c r="I3325" s="13" t="inlineStr">
        <is>
          <t>Não</t>
        </is>
      </c>
      <c r="J3325" s="13" t="n">
        <v>2024</v>
      </c>
      <c r="K3325" s="10" t="n">
        <v>46084</v>
      </c>
      <c r="L3325" s="13" t="n">
        <v>1</v>
      </c>
      <c r="M3325" s="8">
        <f>L3325*G3325</f>
        <v/>
      </c>
      <c r="P3325" s="9" t="n"/>
    </row>
    <row r="3326">
      <c r="A3326" s="13" t="inlineStr">
        <is>
          <t>Vanguarda dos Lestenses / Easterling Vanguard</t>
        </is>
      </c>
      <c r="B3326" s="13" t="inlineStr">
        <is>
          <t>Criatura — Humano Guerreiro</t>
        </is>
      </c>
      <c r="C3326" s="13" t="inlineStr">
        <is>
          <t>Comum</t>
        </is>
      </c>
      <c r="D3326" s="13" t="inlineStr">
        <is>
          <t>Quando Vanguarda dos Lestenses morrer, arregimente Orcs 1. (Coloque um marcador +1/+1 em um Exército que você controla. Ele também é um Orc. Se você não controlar um Exército, crie antes uma ficha de criatura Orc Exército preta 0/0.)</t>
        </is>
      </c>
      <c r="E3326" s="13" t="inlineStr">
        <is>
          <t>1{B}</t>
        </is>
      </c>
      <c r="F3326" s="13" t="inlineStr">
        <is>
          <t>Preto</t>
        </is>
      </c>
      <c r="G3326" s="8" t="n">
        <v>0.09</v>
      </c>
      <c r="H3326" s="13" t="inlineStr">
        <is>
          <t>The Lord of the Rings: Tales of Middle-earth (LTR)</t>
        </is>
      </c>
      <c r="I3326" s="13" t="inlineStr">
        <is>
          <t>Não</t>
        </is>
      </c>
      <c r="J3326" s="13" t="n">
        <v>2023</v>
      </c>
      <c r="K3326" s="10" t="n">
        <v>46024</v>
      </c>
      <c r="L3326" s="13" t="n">
        <v>1</v>
      </c>
      <c r="M3326" s="8">
        <f>L3326*G3326</f>
        <v/>
      </c>
      <c r="P3326" s="9" t="n"/>
    </row>
    <row r="3327">
      <c r="A3327" s="13" t="inlineStr">
        <is>
          <t>Vanille, Cheerful l'Cie / Vanille, l'Cie Animada</t>
        </is>
      </c>
      <c r="B3327" s="13" t="inlineStr">
        <is>
          <t>Criatura Lendária — Humano Clerigo</t>
        </is>
      </c>
      <c r="C3327" s="13" t="inlineStr">
        <is>
          <t>Incomum</t>
        </is>
      </c>
      <c r="D3327" s="13"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327" s="13" t="inlineStr">
        <is>
          <t>3{G}</t>
        </is>
      </c>
      <c r="F3327" s="13" t="inlineStr">
        <is>
          <t>Verde</t>
        </is>
      </c>
      <c r="G3327" s="8" t="n">
        <v>0.14</v>
      </c>
      <c r="H3327" s="13" t="inlineStr">
        <is>
          <t>Final Fantasy</t>
        </is>
      </c>
      <c r="I3327" s="13" t="inlineStr">
        <is>
          <t>Não</t>
        </is>
      </c>
      <c r="J3327" s="13" t="n">
        <v>2025</v>
      </c>
      <c r="K3327" s="10" t="n">
        <v>46056</v>
      </c>
      <c r="L3327" s="13" t="n">
        <v>1</v>
      </c>
      <c r="M3327" s="8">
        <f>L3327*G3327</f>
        <v/>
      </c>
      <c r="P3327" s="9" t="n"/>
    </row>
    <row r="3328">
      <c r="A3328" s="13" t="inlineStr">
        <is>
          <t>Vanish from Sight</t>
        </is>
      </c>
      <c r="B3328" s="13" t="inlineStr">
        <is>
          <t>Instant</t>
        </is>
      </c>
      <c r="C3328" s="13" t="inlineStr">
        <is>
          <t>Common / Comum</t>
        </is>
      </c>
      <c r="D3328" s="13" t="inlineStr">
        <is>
          <t>Target nonland permanent's owner puts it on their choice of the top or bottom of their library. Surveil 1. (Look at the top card of your library. You may put it into your graveyard.)</t>
        </is>
      </c>
      <c r="E3328" s="13" t="inlineStr">
        <is>
          <t>{3}{U}</t>
        </is>
      </c>
      <c r="F3328" s="13" t="inlineStr">
        <is>
          <t>Azul</t>
        </is>
      </c>
      <c r="G3328" s="8" t="n">
        <v>0.05</v>
      </c>
      <c r="H3328" s="13" t="inlineStr">
        <is>
          <t>Duskmourn: House of Horror (DSK)</t>
        </is>
      </c>
      <c r="I3328" s="13" t="inlineStr">
        <is>
          <t>Não</t>
        </is>
      </c>
      <c r="J3328" s="13" t="n">
        <v>2024</v>
      </c>
      <c r="L3328" s="13" t="n">
        <v>1</v>
      </c>
      <c r="M3328" s="8">
        <f>L3328*G3328</f>
        <v/>
      </c>
      <c r="P3328" s="9" t="n"/>
    </row>
    <row r="3329">
      <c r="A3329" s="13" t="inlineStr">
        <is>
          <t>Varchild's Crusader / Cruzado de Varchild</t>
        </is>
      </c>
      <c r="B3329" s="13" t="inlineStr">
        <is>
          <t>Creature — Human Knight</t>
        </is>
      </c>
      <c r="C3329" s="13" t="inlineStr">
        <is>
          <t>Common / Comum</t>
        </is>
      </c>
      <c r="D3329" s="13" t="inlineStr">
        <is>
          <t>{0}: This creature can't be blocked this turn except by Walls. Sacrifice this creature at the beginning of the next end step.</t>
        </is>
      </c>
      <c r="E3329" s="13" t="inlineStr">
        <is>
          <t>{3}{R}</t>
        </is>
      </c>
      <c r="F3329" s="13" t="inlineStr">
        <is>
          <t>Vermelho</t>
        </is>
      </c>
      <c r="G3329" s="8" t="n">
        <v>0.09</v>
      </c>
      <c r="H3329" s="13" t="inlineStr">
        <is>
          <t>Alliances (ALL)</t>
        </is>
      </c>
      <c r="I3329" s="13" t="inlineStr">
        <is>
          <t>Não</t>
        </is>
      </c>
      <c r="J3329" s="13" t="n">
        <v>1996</v>
      </c>
      <c r="K3329" s="10" t="n">
        <v>46056</v>
      </c>
      <c r="L3329" s="13" t="n">
        <v>1</v>
      </c>
      <c r="M3329" s="8">
        <f>L3329*G3329</f>
        <v/>
      </c>
      <c r="P3329" s="9" t="n"/>
    </row>
    <row r="3330">
      <c r="A3330" s="13" t="inlineStr">
        <is>
          <t>Vastwood Zendikon / Zendikon de Matavasta</t>
        </is>
      </c>
      <c r="B3330" s="13" t="inlineStr">
        <is>
          <t>Enchantment — Aura / Encantamento — Aura</t>
        </is>
      </c>
      <c r="C3330" s="13" t="inlineStr">
        <is>
          <t>Common / Comum</t>
        </is>
      </c>
      <c r="D3330" s="13"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3330" s="13" t="inlineStr">
        <is>
          <t>{4}{G}</t>
        </is>
      </c>
      <c r="F3330" s="13" t="inlineStr">
        <is>
          <t>Verde</t>
        </is>
      </c>
      <c r="G3330" s="8" t="n">
        <v>0.06</v>
      </c>
      <c r="H3330" s="13" t="inlineStr">
        <is>
          <t>Worldwake (WWK)</t>
        </is>
      </c>
      <c r="I3330" s="13" t="inlineStr">
        <is>
          <t>Não</t>
        </is>
      </c>
      <c r="J3330" s="13" t="n">
        <v>2010</v>
      </c>
      <c r="L3330" s="13" t="n">
        <v>1</v>
      </c>
      <c r="M3330" s="8">
        <f>L3330*G3330</f>
        <v/>
      </c>
      <c r="P3330" s="9" t="n"/>
    </row>
    <row r="3331">
      <c r="A3331" s="13" t="inlineStr">
        <is>
          <t>Vat of Rebirth / Tanque de Renascimento</t>
        </is>
      </c>
      <c r="B3331" s="13" t="inlineStr">
        <is>
          <t>Artifact / Artefato</t>
        </is>
      </c>
      <c r="C3331" s="13" t="inlineStr">
        <is>
          <t>Uncommon / Incomum</t>
        </is>
      </c>
      <c r="D3331" s="13"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3331" s="13" t="inlineStr">
        <is>
          <t>{B}</t>
        </is>
      </c>
      <c r="F3331" s="13" t="inlineStr">
        <is>
          <t>Preto</t>
        </is>
      </c>
      <c r="G3331" s="8" t="n">
        <v>0.5</v>
      </c>
      <c r="H3331" s="13" t="inlineStr">
        <is>
          <t>Phyrexia: All Will Be One (ONE)</t>
        </is>
      </c>
      <c r="I3331" s="13" t="inlineStr">
        <is>
          <t>Não</t>
        </is>
      </c>
      <c r="J3331" s="13" t="n">
        <v>2023</v>
      </c>
      <c r="L3331" s="13" t="n">
        <v>1</v>
      </c>
      <c r="M3331" s="8">
        <f>L3331*G3331</f>
        <v/>
      </c>
      <c r="P3331" s="9" t="n"/>
    </row>
    <row r="3332">
      <c r="A3332" s="13" t="inlineStr">
        <is>
          <t>Vault Robber / Ladrão de Catacumba</t>
        </is>
      </c>
      <c r="B3332" s="13" t="inlineStr">
        <is>
          <t>Creature — Dwarf Rogue / Criatura — Anão Ladino</t>
        </is>
      </c>
      <c r="C3332" s="13" t="inlineStr">
        <is>
          <t>Common / Comum</t>
        </is>
      </c>
      <c r="D3332" s="13"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3332" s="13" t="inlineStr">
        <is>
          <t>{1}{R}</t>
        </is>
      </c>
      <c r="F3332" s="13" t="inlineStr">
        <is>
          <t>Vermelho</t>
        </is>
      </c>
      <c r="G3332" s="8" t="n">
        <v>0.06</v>
      </c>
      <c r="H3332" s="13" t="inlineStr">
        <is>
          <t>Kaldheim (KHM)</t>
        </is>
      </c>
      <c r="I3332" s="13" t="inlineStr">
        <is>
          <t>Não</t>
        </is>
      </c>
      <c r="J3332" s="13" t="n">
        <v>2021</v>
      </c>
      <c r="K3332" s="10" t="n">
        <v>46082</v>
      </c>
      <c r="L3332" s="13" t="n">
        <v>1</v>
      </c>
      <c r="M3332" s="8">
        <f>L3332*G3332</f>
        <v/>
      </c>
      <c r="P3332" s="9" t="n"/>
    </row>
    <row r="3333">
      <c r="A3333" s="13" t="inlineStr">
        <is>
          <t>Vayne's Treachery / Traição de Vayne</t>
        </is>
      </c>
      <c r="B3333" s="13" t="inlineStr">
        <is>
          <t>Mágica Instantânea</t>
        </is>
      </c>
      <c r="C3333" s="13" t="inlineStr">
        <is>
          <t>Comum</t>
        </is>
      </c>
      <c r="D3333" s="13"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3333" s="13" t="inlineStr">
        <is>
          <t>1{B}</t>
        </is>
      </c>
      <c r="F3333" s="13" t="inlineStr">
        <is>
          <t>Preto</t>
        </is>
      </c>
      <c r="G3333" s="8" t="n">
        <v>0.1</v>
      </c>
      <c r="H3333" s="13" t="inlineStr">
        <is>
          <t>Final Fantasy</t>
        </is>
      </c>
      <c r="I3333" s="13" t="inlineStr">
        <is>
          <t>Não</t>
        </is>
      </c>
      <c r="J3333" s="13" t="n">
        <v>2025</v>
      </c>
      <c r="L3333" s="13" t="n">
        <v>10</v>
      </c>
      <c r="M3333" s="8">
        <f>L3333*G3333</f>
        <v/>
      </c>
      <c r="P3333" s="9" t="n"/>
    </row>
    <row r="3334">
      <c r="A3334" s="13" t="inlineStr">
        <is>
          <t>Vayne's Treachery / Traição de Vayne</t>
        </is>
      </c>
      <c r="B3334" s="13" t="inlineStr">
        <is>
          <t>Mágica Instantânea</t>
        </is>
      </c>
      <c r="C3334" s="13" t="inlineStr">
        <is>
          <t>Comum</t>
        </is>
      </c>
      <c r="D3334" s="13"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3334" s="13" t="inlineStr">
        <is>
          <t>1{B}</t>
        </is>
      </c>
      <c r="F3334" s="13" t="inlineStr">
        <is>
          <t>Preto</t>
        </is>
      </c>
      <c r="G3334" s="8" t="n">
        <v>0.3</v>
      </c>
      <c r="H3334" s="13" t="inlineStr">
        <is>
          <t>Final Fantasy</t>
        </is>
      </c>
      <c r="I3334" s="13" t="inlineStr">
        <is>
          <t>Sim</t>
        </is>
      </c>
      <c r="J3334" s="13" t="n">
        <v>2025</v>
      </c>
      <c r="L3334" s="13" t="n">
        <v>1</v>
      </c>
      <c r="M3334" s="8">
        <f>L3334*G3334</f>
        <v/>
      </c>
      <c r="P3334" s="9" t="n"/>
    </row>
    <row r="3335">
      <c r="A3335" s="13" t="inlineStr">
        <is>
          <t>Vector, Imperial Capital / Vector, Capital Imperial</t>
        </is>
      </c>
      <c r="B3335" s="13" t="inlineStr">
        <is>
          <t>Terreno — Vila</t>
        </is>
      </c>
      <c r="C3335" s="13" t="inlineStr">
        <is>
          <t>Rara</t>
        </is>
      </c>
      <c r="D3335" s="13" t="inlineStr">
        <is>
          <t>Este terreno entra virado. {T}: Adicione {B} ou {R}.</t>
        </is>
      </c>
      <c r="E3335" s="13" t="inlineStr">
        <is>
          <t>Não encontrado</t>
        </is>
      </c>
      <c r="F3335" s="13" t="inlineStr">
        <is>
          <t>Incolor</t>
        </is>
      </c>
      <c r="G3335" s="8" t="n">
        <v>0.15</v>
      </c>
      <c r="H3335" s="13" t="inlineStr">
        <is>
          <t>Final Fantasy</t>
        </is>
      </c>
      <c r="I3335" s="13" t="inlineStr">
        <is>
          <t>Não</t>
        </is>
      </c>
      <c r="J3335" s="13" t="n">
        <v>2025</v>
      </c>
      <c r="L3335" s="13" t="n">
        <v>2</v>
      </c>
      <c r="M3335" s="8">
        <f>L3335*G3335</f>
        <v/>
      </c>
      <c r="P3335" s="9" t="n"/>
    </row>
    <row r="3336">
      <c r="A3336" s="13" t="inlineStr">
        <is>
          <t>Vedalken Mesmerist / Mesmerista Vedalkeano</t>
        </is>
      </c>
      <c r="B3336" s="13" t="inlineStr">
        <is>
          <t>Creature — Vedalken Wizard / Criatura — Vedalkeano Mago</t>
        </is>
      </c>
      <c r="C3336" s="13" t="inlineStr">
        <is>
          <t>Common / Comum</t>
        </is>
      </c>
      <c r="D3336" s="13" t="inlineStr">
        <is>
          <t>Whenever this creature attacks, target creature an opponent controls gets -2/-0 until end of turn. / Toda vez que Mesmerista Vedalkeano ataca, a criatura alvo que um oponente controla recebe -2/-0 até o final do turno.</t>
        </is>
      </c>
      <c r="E3336" s="13" t="inlineStr">
        <is>
          <t>{1}{U}</t>
        </is>
      </c>
      <c r="F3336" s="13" t="inlineStr">
        <is>
          <t>Azul</t>
        </is>
      </c>
      <c r="G3336" s="8" t="n">
        <v>0.1</v>
      </c>
      <c r="H3336" s="13" t="inlineStr">
        <is>
          <t>Ravnica Remastered (RVR)</t>
        </is>
      </c>
      <c r="I3336" s="13" t="inlineStr">
        <is>
          <t>Não</t>
        </is>
      </c>
      <c r="J3336" s="13" t="n">
        <v>2024</v>
      </c>
      <c r="K3336" s="10" t="n">
        <v>46024</v>
      </c>
      <c r="L3336" s="13" t="n">
        <v>1</v>
      </c>
      <c r="M3336" s="8">
        <f>L3336*G3336</f>
        <v/>
      </c>
      <c r="P3336" s="9" t="n"/>
    </row>
    <row r="3337">
      <c r="A3337" s="13" t="inlineStr">
        <is>
          <t>Venat, Heart of Hydaelyn / Venat, Coração de Hydaelyn</t>
        </is>
      </c>
      <c r="B3337" s="13" t="inlineStr">
        <is>
          <t>Criatura Lendária — Ancião Mago</t>
        </is>
      </c>
      <c r="C3337" s="13" t="inlineStr">
        <is>
          <t>Rara</t>
        </is>
      </c>
      <c r="D3337" s="13" t="inlineStr">
        <is>
          <t>Sempre que você conjurar uma mágica lendária, compre um card. Esta habilidade é despoletada apenas uma vez a cada turno. Ruína do Herói — {7}, {T}: Exile a permanente alvo que não seja um terreno. Transforme Venat. Ative somente como um feitiço.</t>
        </is>
      </c>
      <c r="E3337" s="13" t="inlineStr">
        <is>
          <t>1{W}{W}</t>
        </is>
      </c>
      <c r="F3337" s="13" t="inlineStr">
        <is>
          <t>Branco</t>
        </is>
      </c>
      <c r="G3337" s="8" t="n">
        <v>4</v>
      </c>
      <c r="H3337" s="13" t="inlineStr">
        <is>
          <t>Final Fantasy</t>
        </is>
      </c>
      <c r="I3337" s="13" t="inlineStr">
        <is>
          <t>Não</t>
        </is>
      </c>
      <c r="J3337" s="13" t="n">
        <v>2025</v>
      </c>
      <c r="K3337" s="10" t="n">
        <v>46084</v>
      </c>
      <c r="L3337" s="13" t="n">
        <v>1</v>
      </c>
      <c r="M3337" s="8">
        <f>L3337*G3337</f>
        <v/>
      </c>
      <c r="P3337" s="9" t="n"/>
    </row>
    <row r="3338">
      <c r="A3338" s="13" t="inlineStr">
        <is>
          <t>Vengeful Tracker / Rastreador Vingativo</t>
        </is>
      </c>
      <c r="B3338" s="13" t="inlineStr">
        <is>
          <t>Creature — Human Detective / Criatura — Humano Detetive</t>
        </is>
      </c>
      <c r="C3338" s="13" t="inlineStr">
        <is>
          <t>Uncommon / Incomum</t>
        </is>
      </c>
      <c r="D3338" s="13" t="inlineStr">
        <is>
          <t>Whenever an opponent sacrifices an artifact, this creature deals 2 damage to them. / Toda vez que um oponente sacrifica um artefato, Rastreador Vingativo causa 2 pontos de dano àquele jogador.</t>
        </is>
      </c>
      <c r="E3338" s="13" t="inlineStr">
        <is>
          <t>{1}{R}</t>
        </is>
      </c>
      <c r="F3338" s="13" t="inlineStr">
        <is>
          <t>Vermelho</t>
        </is>
      </c>
      <c r="G3338" s="8" t="n">
        <v>0.1</v>
      </c>
      <c r="H3338" s="13" t="inlineStr">
        <is>
          <t>Murders at Karlov Manor (MKM)</t>
        </is>
      </c>
      <c r="I3338" s="13" t="inlineStr">
        <is>
          <t>Não</t>
        </is>
      </c>
      <c r="J3338" s="13" t="n">
        <v>2024</v>
      </c>
      <c r="K3338" s="10" t="n">
        <v>46055</v>
      </c>
      <c r="L3338" s="13" t="n">
        <v>2</v>
      </c>
      <c r="M3338" s="8">
        <f>L3338*G3338</f>
        <v/>
      </c>
      <c r="P3338" s="9" t="n"/>
    </row>
    <row r="3339">
      <c r="A3339" s="13" t="inlineStr">
        <is>
          <t>Venomous Brutalizer / Brutalizador Peçonhento</t>
        </is>
      </c>
      <c r="B3339" s="13" t="inlineStr">
        <is>
          <t>Creature — Phyrexian Knight / Criatura — Phyrexiano Cavaleiro</t>
        </is>
      </c>
      <c r="C3339" s="13" t="inlineStr">
        <is>
          <t>Uncommon / Incomum</t>
        </is>
      </c>
      <c r="D3339" s="13"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3339" s="13" t="inlineStr">
        <is>
          <t>{2}{G}{G}</t>
        </is>
      </c>
      <c r="F3339" s="13" t="inlineStr">
        <is>
          <t>Verde</t>
        </is>
      </c>
      <c r="G3339" s="8" t="n">
        <v>0.15</v>
      </c>
      <c r="H3339" s="13" t="inlineStr">
        <is>
          <t>Phyrexia: All Will Be One (ONE)</t>
        </is>
      </c>
      <c r="I3339" s="13" t="inlineStr">
        <is>
          <t>Não</t>
        </is>
      </c>
      <c r="J3339" s="13" t="n">
        <v>2023</v>
      </c>
      <c r="K3339" s="10" t="n">
        <v>46116</v>
      </c>
      <c r="L3339" s="13" t="n">
        <v>2</v>
      </c>
      <c r="M3339" s="8">
        <f>L3339*G3339</f>
        <v/>
      </c>
      <c r="P3339" s="9" t="n"/>
    </row>
    <row r="3340">
      <c r="A3340" s="13" t="inlineStr">
        <is>
          <t>Venus, Torn Between Worlds</t>
        </is>
      </c>
      <c r="B3340" s="13" t="inlineStr">
        <is>
          <t>Legendary Creature — Mutant Frog Turtle</t>
        </is>
      </c>
      <c r="C3340" s="13" t="inlineStr">
        <is>
          <t>Uncommon / Incomum</t>
        </is>
      </c>
      <c r="D3340" s="13" t="inlineStr">
        <is>
          <t>Whenever Venus is dealt damage, put that many +1/+1 counters on her. (She must survive the damage to get the counters.) Whenever a creature you control with a counter on it deals combat damage to a player, you may pay {U}. If you do, draw a card.</t>
        </is>
      </c>
      <c r="E3340" s="13" t="inlineStr">
        <is>
          <t>{4}{G}</t>
        </is>
      </c>
      <c r="F3340" s="13" t="inlineStr">
        <is>
          <t>Verde</t>
        </is>
      </c>
      <c r="G3340" s="8" t="n">
        <v>0.14</v>
      </c>
      <c r="H3340" s="13" t="inlineStr">
        <is>
          <t>Teenage Mutant Ninja Turtles (TMT)</t>
        </is>
      </c>
      <c r="I3340" s="13" t="inlineStr">
        <is>
          <t>Não</t>
        </is>
      </c>
      <c r="J3340" s="13" t="n">
        <v>2026</v>
      </c>
      <c r="K3340" s="10" t="n">
        <v>46147</v>
      </c>
      <c r="L3340" s="13" t="n">
        <v>1</v>
      </c>
      <c r="M3340" s="8">
        <f>L3340*G3340</f>
        <v/>
      </c>
      <c r="P3340" s="9" t="n"/>
    </row>
    <row r="3341">
      <c r="A3341" s="13" t="inlineStr">
        <is>
          <t>Verdant Haven / Refúgio Verdejante</t>
        </is>
      </c>
      <c r="B3341" s="13" t="inlineStr">
        <is>
          <t>Enchantment — Aura / Encantamento — Aura</t>
        </is>
      </c>
      <c r="C3341" s="13" t="inlineStr">
        <is>
          <t>Common / Comum</t>
        </is>
      </c>
      <c r="D3341" s="13"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3341" s="13" t="inlineStr">
        <is>
          <t>{2}{G}</t>
        </is>
      </c>
      <c r="F3341" s="13" t="inlineStr">
        <is>
          <t>Verde</t>
        </is>
      </c>
      <c r="G3341" s="8" t="n">
        <v>0.08</v>
      </c>
      <c r="H3341" s="13" t="inlineStr">
        <is>
          <t>Magic 2015 (M15)</t>
        </is>
      </c>
      <c r="I3341" s="13" t="inlineStr">
        <is>
          <t>Não</t>
        </is>
      </c>
      <c r="J3341" s="13" t="n">
        <v>2014</v>
      </c>
      <c r="L3341" s="13" t="n">
        <v>1</v>
      </c>
      <c r="M3341" s="8">
        <f>L3341*G3341</f>
        <v/>
      </c>
      <c r="P3341" s="9" t="n"/>
    </row>
    <row r="3342">
      <c r="A3342" s="13" t="inlineStr">
        <is>
          <t>Verdeloth the Ancient / Verdeloth, o Antigo</t>
        </is>
      </c>
      <c r="B3342" s="13" t="inlineStr">
        <is>
          <t>Legendary Creature — Treefolk / Criatura Lendária — Ent</t>
        </is>
      </c>
      <c r="C3342" s="13" t="inlineStr">
        <is>
          <t>Uncommon / Incomum</t>
        </is>
      </c>
      <c r="D3342" s="13"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3342" s="13" t="inlineStr">
        <is>
          <t>{4}{G}{G}</t>
        </is>
      </c>
      <c r="F3342" s="13" t="inlineStr">
        <is>
          <t>Verde</t>
        </is>
      </c>
      <c r="G3342" s="8" t="n">
        <v>0.68</v>
      </c>
      <c r="H3342" s="13" t="inlineStr">
        <is>
          <t>Commander Masters (CMM)</t>
        </is>
      </c>
      <c r="I3342" s="13" t="inlineStr">
        <is>
          <t>Não</t>
        </is>
      </c>
      <c r="J3342" s="13" t="n">
        <v>2023</v>
      </c>
      <c r="K3342" s="10" t="n">
        <v>46207</v>
      </c>
      <c r="L3342" s="13" t="n">
        <v>1</v>
      </c>
      <c r="M3342" s="8">
        <f>L3342*G3342</f>
        <v/>
      </c>
      <c r="P3342" s="9" t="n"/>
    </row>
    <row r="3343">
      <c r="A3343" s="13" t="inlineStr">
        <is>
          <t>Vertigo / Vertigem</t>
        </is>
      </c>
      <c r="B3343" s="13" t="inlineStr">
        <is>
          <t>Instant</t>
        </is>
      </c>
      <c r="C3343" s="13" t="inlineStr">
        <is>
          <t>Uncommon / Incomum</t>
        </is>
      </c>
      <c r="D3343" s="13" t="inlineStr">
        <is>
          <t>Vertigo deals 2 damage to target creature with flying. That creature loses flying until end of turn.</t>
        </is>
      </c>
      <c r="E3343" s="13" t="inlineStr">
        <is>
          <t>{R}</t>
        </is>
      </c>
      <c r="F3343" s="13" t="inlineStr">
        <is>
          <t>Vermelho</t>
        </is>
      </c>
      <c r="G3343" s="8" t="n">
        <v>0.18</v>
      </c>
      <c r="H3343" s="13" t="inlineStr">
        <is>
          <t>Ice Age (ICE)</t>
        </is>
      </c>
      <c r="I3343" s="13" t="inlineStr">
        <is>
          <t>Não</t>
        </is>
      </c>
      <c r="J3343" s="13" t="n">
        <v>1995</v>
      </c>
      <c r="L3343" s="13" t="n">
        <v>1</v>
      </c>
      <c r="M3343" s="8">
        <f>L3343*G3343</f>
        <v/>
      </c>
      <c r="P3343" s="9" t="n"/>
    </row>
    <row r="3344">
      <c r="A3344" s="13" t="inlineStr">
        <is>
          <t>Veteran Survivor</t>
        </is>
      </c>
      <c r="B3344" s="13" t="inlineStr">
        <is>
          <t>Creature — Human Survivor</t>
        </is>
      </c>
      <c r="C3344" s="13" t="inlineStr">
        <is>
          <t>Uncommon / Incomum</t>
        </is>
      </c>
      <c r="D3344" s="13"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3344" s="13" t="inlineStr">
        <is>
          <t>{W}</t>
        </is>
      </c>
      <c r="F3344" s="13" t="inlineStr">
        <is>
          <t>Branco</t>
        </is>
      </c>
      <c r="G3344" s="8" t="n">
        <v>0.15</v>
      </c>
      <c r="H3344" s="13" t="inlineStr">
        <is>
          <t>Duskmourn: House of Horror (DSK)</t>
        </is>
      </c>
      <c r="I3344" s="13" t="inlineStr">
        <is>
          <t>Não</t>
        </is>
      </c>
      <c r="J3344" s="13" t="n">
        <v>2024</v>
      </c>
      <c r="K3344" s="10" t="n">
        <v>46024</v>
      </c>
      <c r="L3344" s="13" t="n">
        <v>1</v>
      </c>
      <c r="M3344" s="8">
        <f>L3344*G3344</f>
        <v/>
      </c>
      <c r="P3344" s="9" t="n"/>
    </row>
    <row r="3345">
      <c r="A3345" s="13" t="inlineStr">
        <is>
          <t>Vexing Arcanix</t>
        </is>
      </c>
      <c r="B3345" s="13" t="inlineStr">
        <is>
          <t>Artifact</t>
        </is>
      </c>
      <c r="C3345" s="13" t="inlineStr">
        <is>
          <t>Rare</t>
        </is>
      </c>
      <c r="D3345" s="13"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3345" s="13" t="inlineStr">
        <is>
          <t>{4}</t>
        </is>
      </c>
      <c r="F3345" s="13" t="inlineStr">
        <is>
          <t>Incolor</t>
        </is>
      </c>
      <c r="G3345" s="8" t="n">
        <v>0.48</v>
      </c>
      <c r="H3345" s="13" t="inlineStr">
        <is>
          <t>Era Glacial</t>
        </is>
      </c>
      <c r="I3345" s="13" t="inlineStr">
        <is>
          <t>Não</t>
        </is>
      </c>
      <c r="J3345" s="13" t="n">
        <v>1996</v>
      </c>
      <c r="L3345" s="13" t="n">
        <v>1</v>
      </c>
      <c r="M3345" s="8">
        <f>L3345*G3345</f>
        <v/>
      </c>
      <c r="P3345" s="9" t="n"/>
    </row>
    <row r="3346">
      <c r="A3346" s="13" t="inlineStr">
        <is>
          <t>Vexing Arcanix</t>
        </is>
      </c>
      <c r="B3346" s="13" t="inlineStr">
        <is>
          <t>Artifact</t>
        </is>
      </c>
      <c r="C3346" s="13" t="inlineStr">
        <is>
          <t>Rare</t>
        </is>
      </c>
      <c r="D3346" s="13"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3346" s="13" t="inlineStr">
        <is>
          <t>{3}</t>
        </is>
      </c>
      <c r="F3346" s="13" t="inlineStr">
        <is>
          <t>Incolor</t>
        </is>
      </c>
      <c r="G3346" s="8" t="n">
        <v>0.09</v>
      </c>
      <c r="H3346" s="13" t="inlineStr">
        <is>
          <t>Nêmesis</t>
        </is>
      </c>
      <c r="I3346" s="13" t="inlineStr">
        <is>
          <t>Não</t>
        </is>
      </c>
      <c r="J3346" s="13" t="n">
        <v>2000</v>
      </c>
      <c r="L3346" s="13" t="n">
        <v>1</v>
      </c>
      <c r="M3346" s="8">
        <f>L3346*G3346</f>
        <v/>
      </c>
      <c r="P3346" s="9" t="n"/>
    </row>
    <row r="3347">
      <c r="A3347" s="13" t="inlineStr">
        <is>
          <t>Viashino Branchrider / Surfista da Mata Viashino</t>
        </is>
      </c>
      <c r="B3347" s="13" t="inlineStr">
        <is>
          <t>Creature — Lizard Warrior / Criatura — Viashino Guerreiro</t>
        </is>
      </c>
      <c r="C3347" s="13" t="inlineStr">
        <is>
          <t>Common / Comum</t>
        </is>
      </c>
      <c r="D3347" s="13"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3347" s="13" t="inlineStr">
        <is>
          <t>{R}</t>
        </is>
      </c>
      <c r="F3347" s="13" t="inlineStr">
        <is>
          <t>Vermelho</t>
        </is>
      </c>
      <c r="G3347" s="8" t="n">
        <v>0.04</v>
      </c>
      <c r="H3347" s="13" t="inlineStr">
        <is>
          <t>Dominaria United (DMU)</t>
        </is>
      </c>
      <c r="I3347" s="13" t="inlineStr">
        <is>
          <t>Não</t>
        </is>
      </c>
      <c r="J3347" s="13" t="n">
        <v>2022</v>
      </c>
      <c r="K3347" s="10" t="n">
        <v>46023</v>
      </c>
      <c r="L3347" s="13" t="n">
        <v>1</v>
      </c>
      <c r="M3347" s="8">
        <f>L3347*G3347</f>
        <v/>
      </c>
      <c r="P3347" s="9" t="n"/>
    </row>
    <row r="3348">
      <c r="A3348" s="13" t="inlineStr">
        <is>
          <t>Viashino Fangtail / Viashino Cauda Canina</t>
        </is>
      </c>
      <c r="B3348" s="13" t="inlineStr">
        <is>
          <t>Creature — Lizard Warrior / Criatura - Guerreiro Viashino</t>
        </is>
      </c>
      <c r="C3348" s="13" t="inlineStr">
        <is>
          <t>Common / Comum</t>
        </is>
      </c>
      <c r="D3348" s="13" t="inlineStr">
        <is>
          <t>{T}: This creature deals 1 damage to any target. / {T}: Viashino Cauda Canina causa 1 ponto de dano à criatura alvo ou ao jogador alvo.</t>
        </is>
      </c>
      <c r="E3348" s="13" t="inlineStr">
        <is>
          <t>{2}{R}{R}</t>
        </is>
      </c>
      <c r="F3348" s="13" t="inlineStr">
        <is>
          <t>Vermelho</t>
        </is>
      </c>
      <c r="G3348" s="8" t="n">
        <v>0.09</v>
      </c>
      <c r="H3348" s="13" t="inlineStr">
        <is>
          <t>Ravnica: City of Guilds (RAV)</t>
        </is>
      </c>
      <c r="I3348" s="13" t="inlineStr">
        <is>
          <t>Não</t>
        </is>
      </c>
      <c r="J3348" s="13" t="n">
        <v>2005</v>
      </c>
      <c r="K3348" s="10" t="n">
        <v>46084</v>
      </c>
      <c r="L3348" s="13" t="n">
        <v>1</v>
      </c>
      <c r="M3348" s="8">
        <f>L3348*G3348</f>
        <v/>
      </c>
      <c r="P3348" s="9" t="n"/>
    </row>
    <row r="3349">
      <c r="A3349" s="13" t="inlineStr">
        <is>
          <t>Vibrant Cityscape / Paisagem Urbana Vibrante</t>
        </is>
      </c>
      <c r="B3349" s="13" t="inlineStr">
        <is>
          <t>Terreno</t>
        </is>
      </c>
      <c r="C3349" s="13" t="inlineStr">
        <is>
          <t>Comum</t>
        </is>
      </c>
      <c r="D3349" s="13" t="inlineStr">
        <is>
          <t>{T}, Sacrifique este terreno: Procure em seu grimório por um card de terreno básico, coloque-o no campo de batalha virado e depois embaralhe.</t>
        </is>
      </c>
      <c r="E3349" s="13" t="inlineStr">
        <is>
          <t>-</t>
        </is>
      </c>
      <c r="F3349" s="13" t="inlineStr">
        <is>
          <t>Incolor</t>
        </is>
      </c>
      <c r="G3349" s="8" t="n">
        <v>1.86</v>
      </c>
      <c r="H3349" s="13" t="inlineStr">
        <is>
          <t>Teenage Mutant Ninja Turtles (TMC)</t>
        </is>
      </c>
      <c r="I3349" s="13" t="inlineStr">
        <is>
          <t>Sim</t>
        </is>
      </c>
      <c r="J3349" s="13" t="n">
        <v>2026</v>
      </c>
      <c r="L3349" s="13" t="n">
        <v>2</v>
      </c>
      <c r="M3349" s="8">
        <f>L3349*G3349</f>
        <v/>
      </c>
      <c r="P3349" s="9" t="n"/>
    </row>
    <row r="3350">
      <c r="A3350" s="13" t="inlineStr">
        <is>
          <t>Vicious Clown</t>
        </is>
      </c>
      <c r="B3350" s="13" t="inlineStr">
        <is>
          <t>Creature — Human Clown</t>
        </is>
      </c>
      <c r="C3350" s="13" t="inlineStr">
        <is>
          <t>Common / Comum</t>
        </is>
      </c>
      <c r="D3350" s="13" t="inlineStr">
        <is>
          <t>Whenever another creature you control with power 2 or less enters, this creature gets +2/+0 until end of turn.</t>
        </is>
      </c>
      <c r="E3350" s="13" t="inlineStr">
        <is>
          <t>{2}{R}</t>
        </is>
      </c>
      <c r="F3350" s="13" t="inlineStr">
        <is>
          <t>Vermelho</t>
        </is>
      </c>
      <c r="G3350" s="8" t="n">
        <v>0.05</v>
      </c>
      <c r="H3350" s="13" t="inlineStr">
        <is>
          <t>Duskmourn: House of Horror (DSK)</t>
        </is>
      </c>
      <c r="I3350" s="13" t="inlineStr">
        <is>
          <t>Não</t>
        </is>
      </c>
      <c r="J3350" s="13" t="n">
        <v>2024</v>
      </c>
      <c r="K3350" s="10" t="n">
        <v>46083</v>
      </c>
      <c r="L3350" s="13" t="n">
        <v>1</v>
      </c>
      <c r="M3350" s="8">
        <f>L3350*G3350</f>
        <v/>
      </c>
      <c r="P3350" s="9" t="n"/>
    </row>
    <row r="3351">
      <c r="A3351" s="13" t="inlineStr">
        <is>
          <t>Victim of Night</t>
        </is>
      </c>
      <c r="B3351" s="13" t="inlineStr">
        <is>
          <t>Instant</t>
        </is>
      </c>
      <c r="C3351" s="13" t="inlineStr">
        <is>
          <t>Common</t>
        </is>
      </c>
      <c r="D3351" s="13" t="inlineStr">
        <is>
          <t>Destroy target non-Vampire, non-Werewolf, non-Zombie creature.</t>
        </is>
      </c>
      <c r="E3351" s="13" t="inlineStr">
        <is>
          <t>{B}{B}</t>
        </is>
      </c>
      <c r="F3351" s="13" t="inlineStr">
        <is>
          <t>Black</t>
        </is>
      </c>
      <c r="G3351" s="8" t="n">
        <v>0.47</v>
      </c>
      <c r="H3351" s="13" t="inlineStr">
        <is>
          <t>Duel Decks: Blessed vs. Cursed (DDG)</t>
        </is>
      </c>
      <c r="I3351" s="13" t="inlineStr">
        <is>
          <t>No</t>
        </is>
      </c>
      <c r="J3351" s="13" t="n">
        <v>2016</v>
      </c>
      <c r="L3351" s="13" t="n">
        <v>2</v>
      </c>
      <c r="M3351" s="8">
        <f>L3351*G3351</f>
        <v/>
      </c>
      <c r="P3351" s="9" t="n"/>
    </row>
    <row r="3352">
      <c r="A3352" s="13" t="inlineStr">
        <is>
          <t>Vigia do Mercado Noturno / Night Market Lookout</t>
        </is>
      </c>
      <c r="B3352" s="13" t="inlineStr">
        <is>
          <t>Criatura — Humano Ladino / Creature — Human Rogue</t>
        </is>
      </c>
      <c r="C3352" s="13" t="inlineStr">
        <is>
          <t>Comum / Common</t>
        </is>
      </c>
      <c r="D3352" s="13" t="inlineStr">
        <is>
          <t>Toda vez que Vigia do Mercado Noturno é virado, cada oponente perde 1 ponto de vida e você ganha 1 ponto de vida. / Whenever Night Market Lookout becomes tapped, each opponent loses 1 life and you gain 1 life.</t>
        </is>
      </c>
      <c r="E3352" s="13" t="inlineStr">
        <is>
          <t>{B}</t>
        </is>
      </c>
      <c r="F3352" s="13" t="inlineStr">
        <is>
          <t>Preto / Black</t>
        </is>
      </c>
      <c r="G3352" s="8" t="n">
        <v>0.15</v>
      </c>
      <c r="H3352" s="13" t="inlineStr">
        <is>
          <t>Kaladesh (KLD)</t>
        </is>
      </c>
      <c r="I3352" s="13" t="inlineStr">
        <is>
          <t>Não</t>
        </is>
      </c>
      <c r="J3352" s="13" t="n">
        <v>2016</v>
      </c>
      <c r="K3352" s="10" t="n">
        <v>46023</v>
      </c>
      <c r="L3352" s="13" t="n">
        <v>4</v>
      </c>
      <c r="M3352" s="8">
        <f>L3352*G3352</f>
        <v/>
      </c>
      <c r="P3352" s="9" t="n"/>
    </row>
    <row r="3353">
      <c r="A3353" s="13" t="inlineStr">
        <is>
          <t>Vilespawn Spider / Aranha da Prole Maligna</t>
        </is>
      </c>
      <c r="B3353" s="13" t="inlineStr">
        <is>
          <t>Creature — Spider / Criatura — Aranha</t>
        </is>
      </c>
      <c r="C3353" s="13" t="inlineStr">
        <is>
          <t>Uncommon / Incomum</t>
        </is>
      </c>
      <c r="D3353" s="13"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3353" s="13" t="inlineStr">
        <is>
          <t>{G}{U}</t>
        </is>
      </c>
      <c r="F3353" s="13" t="inlineStr">
        <is>
          <t>Verde, Azul</t>
        </is>
      </c>
      <c r="G3353" s="8" t="n">
        <v>0.09</v>
      </c>
      <c r="H3353" s="13" t="inlineStr">
        <is>
          <t>Innistrad: Crimson Vow (VOW)</t>
        </is>
      </c>
      <c r="I3353" s="13" t="inlineStr">
        <is>
          <t>Não</t>
        </is>
      </c>
      <c r="J3353" s="13" t="n">
        <v>2021</v>
      </c>
      <c r="K3353" s="10" t="n">
        <v>46083</v>
      </c>
      <c r="L3353" s="13" t="n">
        <v>1</v>
      </c>
      <c r="M3353" s="8">
        <f>L3353*G3353</f>
        <v/>
      </c>
      <c r="P3353" s="9" t="n"/>
    </row>
    <row r="3354">
      <c r="A3354" s="13" t="inlineStr">
        <is>
          <t>Village Rites</t>
        </is>
      </c>
      <c r="B3354" s="13" t="inlineStr">
        <is>
          <t>Instant</t>
        </is>
      </c>
      <c r="C3354" s="13" t="inlineStr">
        <is>
          <t>Common</t>
        </is>
      </c>
      <c r="D3354" s="13" t="inlineStr">
        <is>
          <t>As an additional cost to cast this spell, sacrifice a creature. Draw two cards.</t>
        </is>
      </c>
      <c r="E3354" s="13" t="inlineStr">
        <is>
          <t>{B}</t>
        </is>
      </c>
      <c r="F3354" s="13" t="inlineStr">
        <is>
          <t>Black</t>
        </is>
      </c>
      <c r="G3354" s="8" t="n">
        <v>4</v>
      </c>
      <c r="H3354" s="13" t="inlineStr">
        <is>
          <t>Innistrad Remastered (INR)</t>
        </is>
      </c>
      <c r="I3354" s="13" t="inlineStr">
        <is>
          <t>Sim</t>
        </is>
      </c>
      <c r="J3354" s="13" t="n">
        <v>2025</v>
      </c>
      <c r="L3354" s="13" t="n">
        <v>1</v>
      </c>
      <c r="M3354" s="8">
        <f>L3354*G3354</f>
        <v/>
      </c>
      <c r="P3354" s="9" t="n"/>
    </row>
    <row r="3355">
      <c r="A3355" s="13" t="inlineStr">
        <is>
          <t>Villagers of Estwald / Aldeões de Estwald</t>
        </is>
      </c>
      <c r="B3355" s="13" t="inlineStr">
        <is>
          <t>Creature — Human Werewolf / Criatura — Humano Lobisomem</t>
        </is>
      </c>
      <c r="C3355" s="13" t="inlineStr">
        <is>
          <t>Common / Comum</t>
        </is>
      </c>
      <c r="D3355" s="13" t="inlineStr">
        <is>
          <t>At the beginning of each upkeep, if no spells were cast last turn, transform Villagers of Estwald. / No início de cada manutenção, se nenhuma mágica tiver sido conjurada no último turno, transforme Aldeões de Estwald.</t>
        </is>
      </c>
      <c r="E3355" s="13" t="inlineStr">
        <is>
          <t>{2}{G}</t>
        </is>
      </c>
      <c r="F3355" s="13" t="inlineStr">
        <is>
          <t>Verde</t>
        </is>
      </c>
      <c r="G3355" s="8" t="n">
        <v>0.08</v>
      </c>
      <c r="H3355" s="8" t="inlineStr">
        <is>
          <t>Innistrad (ISD)</t>
        </is>
      </c>
      <c r="I3355" s="13" t="inlineStr">
        <is>
          <t>Não</t>
        </is>
      </c>
      <c r="J3355" s="13" t="n">
        <v>2011</v>
      </c>
      <c r="K3355" s="10" t="n">
        <v>46083</v>
      </c>
      <c r="L3355" s="13" t="n">
        <v>1</v>
      </c>
      <c r="M3355" s="8">
        <f>L3355*G3355</f>
        <v/>
      </c>
      <c r="P3355" s="9" t="n"/>
    </row>
    <row r="3356">
      <c r="A3356" s="13" t="inlineStr">
        <is>
          <t>Villagers of Estwald // Howlpack of Estwald / Aldeões de Estwald // Alcateia Uivante de Estwald</t>
        </is>
      </c>
      <c r="B3356" s="13" t="inlineStr">
        <is>
          <t>Creature — Human Werewolf // Creature — Werewolf / Criatura — Humano Lobisomem</t>
        </is>
      </c>
      <c r="C3356" s="13" t="inlineStr">
        <is>
          <t>Common / Comum</t>
        </is>
      </c>
      <c r="D3356" s="13"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3356" s="13" t="inlineStr">
        <is>
          <t>{2}{G}</t>
        </is>
      </c>
      <c r="F3356" s="13" t="inlineStr">
        <is>
          <t>Verde</t>
        </is>
      </c>
      <c r="G3356" s="8" t="n">
        <v>0.08</v>
      </c>
      <c r="H3356" s="13" t="inlineStr">
        <is>
          <t>Innistrad (ISD)</t>
        </is>
      </c>
      <c r="I3356" s="13" t="inlineStr">
        <is>
          <t>Não</t>
        </is>
      </c>
      <c r="J3356" s="13" t="n">
        <v>2011</v>
      </c>
      <c r="K3356" s="10" t="n">
        <v>46083</v>
      </c>
      <c r="L3356" s="13" t="n">
        <v>1</v>
      </c>
      <c r="M3356" s="8">
        <f>L3356*G3356</f>
        <v/>
      </c>
      <c r="P3356" s="9" t="n"/>
    </row>
    <row r="3357">
      <c r="A3357" s="13" t="inlineStr">
        <is>
          <t>Vincent Valentine / Vincent Valentine</t>
        </is>
      </c>
      <c r="B3357" s="13" t="inlineStr">
        <is>
          <t>Criatura Lendária — Assassino</t>
        </is>
      </c>
      <c r="C3357" s="13" t="inlineStr">
        <is>
          <t>Rara</t>
        </is>
      </c>
      <c r="D3357" s="13" t="inlineStr">
        <is>
          <t>Sempre que uma criatura que um oponente controla morrer, coloque em Vincent Valentine um número de marcadores +1/+1 igual ao poder daquela criatura. Sempre que Vincent Valentine atacar, você pode transformá-lo.</t>
        </is>
      </c>
      <c r="E3357" s="13" t="inlineStr">
        <is>
          <t>2{B}{B}</t>
        </is>
      </c>
      <c r="F3357" s="13" t="inlineStr">
        <is>
          <t>Preto</t>
        </is>
      </c>
      <c r="G3357" s="8" t="n">
        <v>8.390000000000001</v>
      </c>
      <c r="H3357" s="13" t="inlineStr">
        <is>
          <t>Final Fantasy</t>
        </is>
      </c>
      <c r="I3357" s="13" t="inlineStr">
        <is>
          <t>Não</t>
        </is>
      </c>
      <c r="J3357" s="13" t="n">
        <v>2025</v>
      </c>
      <c r="K3357" s="10" t="n">
        <v>46055</v>
      </c>
      <c r="L3357" s="13" t="n">
        <v>1</v>
      </c>
      <c r="M3357" s="8">
        <f>L3357*G3357</f>
        <v/>
      </c>
      <c r="P3357" s="9" t="n"/>
    </row>
    <row r="3358">
      <c r="A3358" s="13" t="inlineStr">
        <is>
          <t>Vincent's Limit Break / Limit Break de Vincent</t>
        </is>
      </c>
      <c r="B3358" s="13" t="inlineStr">
        <is>
          <t>Mágica Instantânea</t>
        </is>
      </c>
      <c r="C3358" s="13" t="inlineStr">
        <is>
          <t>Comum</t>
        </is>
      </c>
      <c r="D3358" s="13"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3358" s="13" t="inlineStr">
        <is>
          <t>1{B}</t>
        </is>
      </c>
      <c r="F3358" s="13" t="inlineStr">
        <is>
          <t>Preto</t>
        </is>
      </c>
      <c r="G3358" s="8" t="n">
        <v>0.15</v>
      </c>
      <c r="H3358" s="13" t="inlineStr">
        <is>
          <t>Final Fantasy</t>
        </is>
      </c>
      <c r="I3358" s="13" t="inlineStr">
        <is>
          <t>Não</t>
        </is>
      </c>
      <c r="J3358" s="13" t="n">
        <v>2025</v>
      </c>
      <c r="L3358" s="13" t="n">
        <v>15</v>
      </c>
      <c r="M3358" s="8">
        <f>L3358*G3358</f>
        <v/>
      </c>
      <c r="P3358" s="9" t="n"/>
    </row>
    <row r="3359">
      <c r="A3359" s="13" t="inlineStr">
        <is>
          <t>Vindictive Vampire / Vampira Vingativa</t>
        </is>
      </c>
      <c r="B3359" s="13" t="inlineStr">
        <is>
          <t>Criatura — Vampiro</t>
        </is>
      </c>
      <c r="C3359" s="13" t="inlineStr">
        <is>
          <t>Incomum</t>
        </is>
      </c>
      <c r="D3359" s="13" t="inlineStr">
        <is>
          <t>Toda vez que outra criatura que você controla morre, Vampira Vingativa causa 1 ponto de dano a cada oponente e você ganha 1 ponto de vida.</t>
        </is>
      </c>
      <c r="E3359" s="13" t="inlineStr">
        <is>
          <t>3{B}</t>
        </is>
      </c>
      <c r="F3359" s="13" t="inlineStr">
        <is>
          <t>Preto</t>
        </is>
      </c>
      <c r="G3359" s="8" t="n">
        <v>0.25</v>
      </c>
      <c r="H3359" s="13" t="inlineStr">
        <is>
          <t>Ravnica Allegiance</t>
        </is>
      </c>
      <c r="I3359" s="13" t="inlineStr">
        <is>
          <t>Não</t>
        </is>
      </c>
      <c r="J3359" s="13" t="n">
        <v>2019</v>
      </c>
      <c r="K3359" s="10" t="n">
        <v>46083</v>
      </c>
      <c r="L3359" s="13" t="n">
        <v>1</v>
      </c>
      <c r="M3359" s="8">
        <f>L3359*G3359</f>
        <v/>
      </c>
      <c r="P3359" s="9" t="n"/>
    </row>
    <row r="3360">
      <c r="A3360" s="13" t="inlineStr">
        <is>
          <t>Vindictive Warden</t>
        </is>
      </c>
      <c r="B3360" s="13" t="inlineStr">
        <is>
          <t>Creature — Human Soldier</t>
        </is>
      </c>
      <c r="C3360" s="13" t="inlineStr">
        <is>
          <t>Common / Comum</t>
        </is>
      </c>
      <c r="D3360" s="13" t="inlineStr">
        <is>
          <t>Menace (This creature can't be blocked except by two or more creatures.) Firebending 1 (Whenever this creature attacks, add {R}. This mana lasts until end of combat.) {3}: This creature deals 1 damage to each opponent.</t>
        </is>
      </c>
      <c r="E3360" s="13" t="inlineStr">
        <is>
          <t>{2}{B/R}</t>
        </is>
      </c>
      <c r="F3360" s="13" t="inlineStr">
        <is>
          <t>Preto, Vermelho</t>
        </is>
      </c>
      <c r="G3360" s="8" t="n">
        <v>0.05</v>
      </c>
      <c r="H3360" s="13" t="inlineStr">
        <is>
          <t>Avatar: The Last Airbender (TLA)</t>
        </is>
      </c>
      <c r="I3360" s="13" t="inlineStr">
        <is>
          <t>Não</t>
        </is>
      </c>
      <c r="J3360" s="13" t="n">
        <v>2025</v>
      </c>
      <c r="K3360" s="10" t="n">
        <v>46083</v>
      </c>
      <c r="L3360" s="13" t="n">
        <v>5</v>
      </c>
      <c r="M3360" s="8">
        <f>L3360*G3360</f>
        <v/>
      </c>
      <c r="P3360" s="9" t="n"/>
    </row>
    <row r="3361">
      <c r="A3361" s="13" t="inlineStr">
        <is>
          <t>Vinereap Mentor</t>
        </is>
      </c>
      <c r="B3361" s="13" t="inlineStr">
        <is>
          <t>Creature — Squirrel Druid</t>
        </is>
      </c>
      <c r="C3361" s="13" t="inlineStr">
        <is>
          <t>Uncommon</t>
        </is>
      </c>
      <c r="D3361" s="13" t="inlineStr">
        <is>
          <t>When Vinereap Mentor enters or dies, create a Food token. (It's an artifact with "2, {T}, Sacrifice this artifact: You gain 3 life.")</t>
        </is>
      </c>
      <c r="E3361" s="13" t="inlineStr">
        <is>
          <t>{B}{G}</t>
        </is>
      </c>
      <c r="F3361" s="13" t="inlineStr">
        <is>
          <t>Preto, Green</t>
        </is>
      </c>
      <c r="G3361" s="8" t="n">
        <v>0.24</v>
      </c>
      <c r="H3361" s="13" t="inlineStr">
        <is>
          <t>Bloomburrow (BLB)</t>
        </is>
      </c>
      <c r="I3361" s="13" t="inlineStr">
        <is>
          <t>Não</t>
        </is>
      </c>
      <c r="J3361" s="13" t="n">
        <v>2024</v>
      </c>
      <c r="K3361" s="10" t="n">
        <v>46056</v>
      </c>
      <c r="L3361" s="13" t="n">
        <v>1</v>
      </c>
      <c r="M3361" s="8">
        <f>L3361*G3361</f>
        <v/>
      </c>
      <c r="P3361" s="9" t="n"/>
    </row>
    <row r="3362">
      <c r="A3362" s="13" t="inlineStr">
        <is>
          <t>Viridian Longbow / Arco Longo Viridiano</t>
        </is>
      </c>
      <c r="B3362" s="13" t="inlineStr">
        <is>
          <t>Artifact — Equipment / Artefato — Equipamento</t>
        </is>
      </c>
      <c r="C3362" s="13" t="inlineStr">
        <is>
          <t>Common / Comum</t>
        </is>
      </c>
      <c r="D3362" s="13"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3362" s="13" t="inlineStr">
        <is>
          <t>{1}</t>
        </is>
      </c>
      <c r="F3362" s="13" t="inlineStr">
        <is>
          <t>Incolor</t>
        </is>
      </c>
      <c r="G3362" s="8" t="n">
        <v>1.79</v>
      </c>
      <c r="H3362" s="13" t="inlineStr">
        <is>
          <t>Mirrodin (MRD)</t>
        </is>
      </c>
      <c r="I3362" s="13" t="inlineStr">
        <is>
          <t>Não</t>
        </is>
      </c>
      <c r="J3362" s="13" t="n">
        <v>2003</v>
      </c>
      <c r="L3362" s="13" t="n">
        <v>1</v>
      </c>
      <c r="M3362" s="8">
        <f>L3362*G3362</f>
        <v/>
      </c>
      <c r="N3362" s="13" t="inlineStr">
        <is>
          <t>Pasta</t>
        </is>
      </c>
      <c r="P3362" s="9" t="n"/>
    </row>
    <row r="3363">
      <c r="A3363" s="13" t="inlineStr">
        <is>
          <t>Viridian Revel / Diversão Viridiana</t>
        </is>
      </c>
      <c r="B3363" s="13" t="inlineStr">
        <is>
          <t>Enchantment / Encantamento</t>
        </is>
      </c>
      <c r="C3363" s="13" t="inlineStr">
        <is>
          <t>Uncommon / Incomum</t>
        </is>
      </c>
      <c r="D3363" s="13" t="inlineStr">
        <is>
          <t>Whenever an artifact is put into an opponent's graveyard from the battlefield, you may draw a card. / Toda vez que um artefato for colocado no cemitério de um oponente vindo do campo de batalha, você poderá comprar um card.</t>
        </is>
      </c>
      <c r="E3363" s="13" t="inlineStr">
        <is>
          <t>{1}{G}{G}</t>
        </is>
      </c>
      <c r="F3363" s="13" t="inlineStr">
        <is>
          <t>Verde</t>
        </is>
      </c>
      <c r="G3363" s="8" t="n">
        <v>3.8</v>
      </c>
      <c r="H3363" s="13" t="inlineStr">
        <is>
          <t>Scars of Mirrodin (SOM)</t>
        </is>
      </c>
      <c r="I3363" s="13" t="inlineStr">
        <is>
          <t>Não</t>
        </is>
      </c>
      <c r="J3363" s="13" t="n">
        <v>2010</v>
      </c>
      <c r="L3363" s="13" t="n">
        <v>1</v>
      </c>
      <c r="M3363" s="8">
        <f>L3363*G3363</f>
        <v/>
      </c>
      <c r="P3363" s="9" t="n"/>
    </row>
    <row r="3364">
      <c r="A3364" s="13" t="inlineStr">
        <is>
          <t>Virulent Emissary</t>
        </is>
      </c>
      <c r="B3364" s="13" t="inlineStr">
        <is>
          <t>Creature — Elf Assassin</t>
        </is>
      </c>
      <c r="C3364" s="13" t="inlineStr">
        <is>
          <t>Rare (Promo)</t>
        </is>
      </c>
      <c r="D3364" s="13" t="inlineStr">
        <is>
          <t>Deathtouch. Whenever another creature you control enters, you gain 1 life.</t>
        </is>
      </c>
      <c r="E3364" s="13" t="inlineStr">
        <is>
          <t>{G}</t>
        </is>
      </c>
      <c r="F3364" s="13" t="inlineStr">
        <is>
          <t>Verde</t>
        </is>
      </c>
      <c r="G3364" s="8" t="n">
        <v>0.5</v>
      </c>
      <c r="H3364" s="13" t="inlineStr">
        <is>
          <t>Lorwyn Eclipsed (ECL) (Promo)</t>
        </is>
      </c>
      <c r="I3364" s="13" t="inlineStr">
        <is>
          <t>Sim</t>
        </is>
      </c>
      <c r="J3364" s="13" t="n">
        <v>2026</v>
      </c>
      <c r="K3364" s="10" t="n">
        <v>46023</v>
      </c>
      <c r="L3364" s="13" t="n">
        <v>1</v>
      </c>
      <c r="M3364" s="8">
        <f>L3364*G3364</f>
        <v/>
      </c>
      <c r="P3364" s="9" t="n"/>
    </row>
    <row r="3365">
      <c r="A3365" s="13" t="inlineStr">
        <is>
          <t>Visão Longínqua Élfica / Elven Farsight</t>
        </is>
      </c>
      <c r="B3365" s="13" t="inlineStr">
        <is>
          <t>Feitiço</t>
        </is>
      </c>
      <c r="C3365" s="13" t="inlineStr">
        <is>
          <t>Comum</t>
        </is>
      </c>
      <c r="D3365" s="13" t="inlineStr">
        <is>
          <t>Use vidência 3. Depois, você pode revelar o card do topo de seu grimório. Se for um card de criatura, compre um card.</t>
        </is>
      </c>
      <c r="E3365" s="13" t="inlineStr">
        <is>
          <t>{G}</t>
        </is>
      </c>
      <c r="F3365" s="13" t="inlineStr">
        <is>
          <t>Verde</t>
        </is>
      </c>
      <c r="G3365" s="8" t="n">
        <v>1.7</v>
      </c>
      <c r="H3365" s="13" t="inlineStr">
        <is>
          <t>The Lord of the Rings: Tales of Middle-earth (LTR)</t>
        </is>
      </c>
      <c r="I3365" s="13" t="inlineStr">
        <is>
          <t>Sim</t>
        </is>
      </c>
      <c r="J3365" s="13" t="n">
        <v>2023</v>
      </c>
      <c r="L3365" s="13" t="n">
        <v>4</v>
      </c>
      <c r="M3365" s="8">
        <f>L3365*G3365</f>
        <v/>
      </c>
      <c r="P3365" s="9" t="n"/>
    </row>
    <row r="3366">
      <c r="A3366" s="13" t="inlineStr">
        <is>
          <t>Visionary's Dance</t>
        </is>
      </c>
      <c r="B3366" s="13" t="inlineStr">
        <is>
          <t>Sorcery</t>
        </is>
      </c>
      <c r="C3366" s="13" t="inlineStr">
        <is>
          <t>Common / Comum</t>
        </is>
      </c>
      <c r="D3366" s="13" t="inlineStr">
        <is>
          <t>Create two 3/3 blue and red Elemental creature tokens with flying. {2}, Discard this card: Look at the top two cards of your library. Put one of them into your hand and the other into your graveyard.</t>
        </is>
      </c>
      <c r="E3366" s="13" t="inlineStr">
        <is>
          <t>{5}{U}{R}</t>
        </is>
      </c>
      <c r="F3366" s="13" t="inlineStr">
        <is>
          <t>Vermelho, Azul</t>
        </is>
      </c>
      <c r="G3366" s="8" t="n">
        <v>0.1</v>
      </c>
      <c r="H3366" s="13" t="inlineStr">
        <is>
          <t>Secrets of Strixhaven (SOS)</t>
        </is>
      </c>
      <c r="I3366" s="13" t="inlineStr">
        <is>
          <t>Não</t>
        </is>
      </c>
      <c r="J3366" s="13" t="n">
        <v>2026</v>
      </c>
      <c r="L3366" s="13" t="n">
        <v>1</v>
      </c>
      <c r="M3366" s="8">
        <f>L3366*G3366</f>
        <v/>
      </c>
      <c r="P3366" s="9" t="n"/>
    </row>
    <row r="3367">
      <c r="A3367" s="13" t="inlineStr">
        <is>
          <t>Visions of Villainy / Visões de Vilania</t>
        </is>
      </c>
      <c r="B3367" s="13" t="inlineStr">
        <is>
          <t>Mágica Instantânea</t>
        </is>
      </c>
      <c r="C3367" s="13" t="inlineStr">
        <is>
          <t>Comum</t>
        </is>
      </c>
      <c r="D3367" s="13" t="inlineStr">
        <is>
          <t>Esta mágica custa {1} a menos para ser conjurada se você controlar um Vilão. Você compra dois cards e perde 2 de vida.</t>
        </is>
      </c>
      <c r="E3367" s="13" t="inlineStr">
        <is>
          <t>2{B}</t>
        </is>
      </c>
      <c r="F3367" s="13" t="inlineStr">
        <is>
          <t>Preto</t>
        </is>
      </c>
      <c r="G3367" s="8" t="n">
        <v>0.24</v>
      </c>
      <c r="H3367" s="13" t="inlineStr">
        <is>
          <t>Marvel</t>
        </is>
      </c>
      <c r="I3367" s="13" t="inlineStr">
        <is>
          <t>Não</t>
        </is>
      </c>
      <c r="J3367" s="13" t="n">
        <v>2026</v>
      </c>
      <c r="L3367" s="13" t="n">
        <v>2</v>
      </c>
      <c r="M3367" s="8">
        <f>L3367*G3367</f>
        <v/>
      </c>
      <c r="P3367" s="9" t="n"/>
    </row>
    <row r="3368">
      <c r="A3368" s="13" t="inlineStr">
        <is>
          <t>Vito's Inquisitor / Inquisidora de Vito</t>
        </is>
      </c>
      <c r="B3368" s="13" t="inlineStr">
        <is>
          <t>Creature — Vampire Knight / Criatura — Vampiro Cavaleiro</t>
        </is>
      </c>
      <c r="C3368" s="13" t="inlineStr">
        <is>
          <t>Common / Comum</t>
        </is>
      </c>
      <c r="D3368" s="13" t="inlineStr">
        <is>
          <t>{B}, Sacrifice another creature or artifact: Put a +1/+1 counter on this creature. It gains menace until end of turn. / {B}, sacrifique outra criatura ou outro artefato: Coloque um marcador +1/+1 em Inquisidora de Vito. Ele ganha ameaçar até o final do turno.</t>
        </is>
      </c>
      <c r="E3368" s="13" t="inlineStr">
        <is>
          <t>{3}{B}</t>
        </is>
      </c>
      <c r="F3368" s="13" t="inlineStr">
        <is>
          <t>Preto</t>
        </is>
      </c>
      <c r="G3368" s="8" t="n">
        <v>0.25</v>
      </c>
      <c r="H3368" s="13" t="inlineStr">
        <is>
          <t>The Lost Caverns of Ixalan (LCI)</t>
        </is>
      </c>
      <c r="I3368" s="13" t="inlineStr">
        <is>
          <t>Sim</t>
        </is>
      </c>
      <c r="J3368" s="13" t="n">
        <v>2023</v>
      </c>
      <c r="K3368" s="10" t="n">
        <v>46084</v>
      </c>
      <c r="L3368" s="13" t="n">
        <v>1</v>
      </c>
      <c r="M3368" s="8">
        <f>L3368*G3368</f>
        <v/>
      </c>
      <c r="P3368" s="9" t="n"/>
    </row>
    <row r="3369">
      <c r="A3369" s="13" t="inlineStr">
        <is>
          <t>Vitral do Pacto das Guildas / Glass of the Guildpact</t>
        </is>
      </c>
      <c r="B3369" s="13" t="inlineStr">
        <is>
          <t>Artefato</t>
        </is>
      </c>
      <c r="C3369" s="13" t="inlineStr">
        <is>
          <t>Rara</t>
        </is>
      </c>
      <c r="D3369" s="13" t="inlineStr">
        <is>
          <t>As criaturas multicoloridas que você controla recebem +1/+1.</t>
        </is>
      </c>
      <c r="E3369" s="13" t="inlineStr">
        <is>
          <t>{2}</t>
        </is>
      </c>
      <c r="F3369" s="13" t="inlineStr">
        <is>
          <t>Incolor</t>
        </is>
      </c>
      <c r="G3369" s="8" t="n">
        <v>0.23</v>
      </c>
      <c r="H3369" s="13" t="inlineStr">
        <is>
          <t>Ravnica Allegiance (RNA)</t>
        </is>
      </c>
      <c r="I3369" s="13" t="inlineStr">
        <is>
          <t>Não</t>
        </is>
      </c>
      <c r="J3369" s="13" t="n">
        <v>2019</v>
      </c>
      <c r="L3369" s="13" t="n">
        <v>1</v>
      </c>
      <c r="M3369" s="8">
        <f>L3369*G3369</f>
        <v/>
      </c>
      <c r="P3369" s="9" t="n"/>
    </row>
    <row r="3370">
      <c r="A3370" s="13" t="inlineStr">
        <is>
          <t>Viv Vision, Teen Synthezoid / Viv Visão, Sintozóide Adolescente</t>
        </is>
      </c>
      <c r="B3370" s="13" t="inlineStr">
        <is>
          <t>Criatura Artefato Lendária — Robô Herói</t>
        </is>
      </c>
      <c r="C3370" s="13" t="inlineStr">
        <is>
          <t>Incomum</t>
        </is>
      </c>
      <c r="D3370" s="13"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3370" s="13" t="inlineStr">
        <is>
          <t>{3}</t>
        </is>
      </c>
      <c r="F3370" s="13" t="inlineStr">
        <is>
          <t>Incolor</t>
        </is>
      </c>
      <c r="G3370" s="8" t="n">
        <v>0.44</v>
      </c>
      <c r="H3370" s="13" t="inlineStr">
        <is>
          <t>Marvel</t>
        </is>
      </c>
      <c r="I3370" s="13" t="inlineStr">
        <is>
          <t>Não</t>
        </is>
      </c>
      <c r="J3370" s="13" t="n">
        <v>2026</v>
      </c>
      <c r="K3370" s="10" t="n">
        <v>46055</v>
      </c>
      <c r="L3370" s="13" t="n">
        <v>1</v>
      </c>
      <c r="M3370" s="8">
        <f>L3370*G3370</f>
        <v/>
      </c>
      <c r="P3370" s="9" t="n"/>
    </row>
    <row r="3371">
      <c r="A3371" s="13" t="inlineStr">
        <is>
          <t>Vivien's Grizzly / Urso Pardo de Vivien</t>
        </is>
      </c>
      <c r="B3371" s="13" t="inlineStr">
        <is>
          <t>Creature — Bear Spirit / Criatura — Urso Espírito</t>
        </is>
      </c>
      <c r="C3371" s="13" t="inlineStr">
        <is>
          <t>Common / Comum</t>
        </is>
      </c>
      <c r="D3371" s="13"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3371" s="13" t="inlineStr">
        <is>
          <t>{2}{G}</t>
        </is>
      </c>
      <c r="F3371" s="13" t="inlineStr">
        <is>
          <t>Verde</t>
        </is>
      </c>
      <c r="G3371" s="8" t="n">
        <v>0.06</v>
      </c>
      <c r="H3371" s="13" t="inlineStr">
        <is>
          <t>War of the Spark (WAR)</t>
        </is>
      </c>
      <c r="I3371" s="13" t="inlineStr">
        <is>
          <t>Não</t>
        </is>
      </c>
      <c r="J3371" s="13" t="n">
        <v>2019</v>
      </c>
      <c r="K3371" s="10" t="n">
        <v>46083</v>
      </c>
      <c r="L3371" s="13" t="n">
        <v>4</v>
      </c>
      <c r="M3371" s="8">
        <f>L3371*G3371</f>
        <v/>
      </c>
      <c r="P3371" s="9" t="n"/>
    </row>
    <row r="3372">
      <c r="A3372" s="13" t="inlineStr">
        <is>
          <t>Vizier of Tumbling Sands / Vizir das Areias Correntes</t>
        </is>
      </c>
      <c r="B3372" s="13" t="inlineStr">
        <is>
          <t>Creature — Human Cleric / Criatura — Humano Clérigo</t>
        </is>
      </c>
      <c r="C3372" s="13" t="inlineStr">
        <is>
          <t>Common / Comum</t>
        </is>
      </c>
      <c r="D3372" s="13"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3372" s="13" t="inlineStr">
        <is>
          <t>{2}{U}</t>
        </is>
      </c>
      <c r="F3372" s="13" t="inlineStr">
        <is>
          <t>Azul</t>
        </is>
      </c>
      <c r="G3372" s="8" t="n">
        <v>0.19</v>
      </c>
      <c r="H3372" s="13" t="inlineStr">
        <is>
          <t>Commander Masters (CMM)</t>
        </is>
      </c>
      <c r="I3372" s="13" t="inlineStr">
        <is>
          <t>Não</t>
        </is>
      </c>
      <c r="J3372" s="13" t="n">
        <v>2023</v>
      </c>
      <c r="K3372" s="10" t="n">
        <v>46082</v>
      </c>
      <c r="L3372" s="13" t="n">
        <v>1</v>
      </c>
      <c r="M3372" s="8">
        <f>L3372*G3372</f>
        <v/>
      </c>
      <c r="P3372" s="9" t="n"/>
    </row>
    <row r="3373">
      <c r="A3373" s="13" t="inlineStr">
        <is>
          <t>Vizkopa Vampire / Vampiro do Vizkopa</t>
        </is>
      </c>
      <c r="B3373" s="13" t="inlineStr">
        <is>
          <t>Creature — Vampire / Criatura — Vampiro</t>
        </is>
      </c>
      <c r="C3373" s="13" t="inlineStr">
        <is>
          <t>Common / Comum</t>
        </is>
      </c>
      <c r="D3373" s="13" t="inlineStr">
        <is>
          <t>Lifelink / Vínculo com a vida</t>
        </is>
      </c>
      <c r="E3373" s="13" t="inlineStr">
        <is>
          <t>{2}{W/B}</t>
        </is>
      </c>
      <c r="F3373" s="13" t="inlineStr">
        <is>
          <t>Preto, Branco</t>
        </is>
      </c>
      <c r="G3373" s="8" t="n">
        <v>0.05</v>
      </c>
      <c r="H3373" s="13" t="inlineStr">
        <is>
          <t>Ravnica Allegiance (RNA)</t>
        </is>
      </c>
      <c r="I3373" s="13" t="inlineStr">
        <is>
          <t>Não</t>
        </is>
      </c>
      <c r="J3373" s="13" t="n">
        <v>2019</v>
      </c>
      <c r="K3373" s="10" t="n">
        <v>46025</v>
      </c>
      <c r="L3373" s="13" t="n">
        <v>2</v>
      </c>
      <c r="M3373" s="8">
        <f>L3373*G3373</f>
        <v/>
      </c>
      <c r="P3373" s="9" t="n"/>
    </row>
    <row r="3374">
      <c r="A3374" s="13" t="inlineStr">
        <is>
          <t>Voda Sea Scavenger / Necrófago do Mar de Voda</t>
        </is>
      </c>
      <c r="B3374" s="13" t="inlineStr">
        <is>
          <t>Creature — Merfolk Rogue / Criatura — Tritão Ladino</t>
        </is>
      </c>
      <c r="C3374" s="13" t="inlineStr">
        <is>
          <t>Common / Comum</t>
        </is>
      </c>
      <c r="D3374" s="13"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3374" s="13" t="inlineStr">
        <is>
          <t>{2}{U}</t>
        </is>
      </c>
      <c r="F3374" s="13" t="inlineStr">
        <is>
          <t>Azul</t>
        </is>
      </c>
      <c r="G3374" s="8" t="n">
        <v>0.04</v>
      </c>
      <c r="H3374" s="13" t="inlineStr">
        <is>
          <t>Dominaria United (DMU)</t>
        </is>
      </c>
      <c r="I3374" s="13" t="inlineStr">
        <is>
          <t>Não</t>
        </is>
      </c>
      <c r="J3374" s="13" t="n">
        <v>2022</v>
      </c>
      <c r="K3374" s="10" t="n">
        <v>46056</v>
      </c>
      <c r="L3374" s="13" t="n">
        <v>1</v>
      </c>
      <c r="M3374" s="8">
        <f>L3374*G3374</f>
        <v/>
      </c>
      <c r="P3374" s="9" t="n"/>
    </row>
    <row r="3375">
      <c r="A3375" s="13" t="inlineStr">
        <is>
          <t>Vohar, Profanador Vodaliano / Vohar, Vodalian Desecrator</t>
        </is>
      </c>
      <c r="B3375" s="13" t="inlineStr">
        <is>
          <t>Criatura Lendária — Phyrexiano Tritão Mago / Legendary Creature — Phyrexian Merfolk Wizard</t>
        </is>
      </c>
      <c r="C3375" s="13" t="inlineStr">
        <is>
          <t>Uncommon / Incomum</t>
        </is>
      </c>
      <c r="D3375" s="13"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3375" s="13" t="inlineStr">
        <is>
          <t>{U}{B}</t>
        </is>
      </c>
      <c r="F3375" s="13" t="inlineStr">
        <is>
          <t>Azul e Preto</t>
        </is>
      </c>
      <c r="G3375" s="8" t="n">
        <v>0.19</v>
      </c>
      <c r="H3375" s="13" t="inlineStr">
        <is>
          <t>Dominaria United (DMU)</t>
        </is>
      </c>
      <c r="I3375" s="13" t="inlineStr">
        <is>
          <t>Não</t>
        </is>
      </c>
      <c r="J3375" s="13" t="n">
        <v>2022</v>
      </c>
      <c r="K3375" s="10" t="n">
        <v>46054</v>
      </c>
      <c r="L3375" s="13" t="n">
        <v>1</v>
      </c>
      <c r="M3375" s="8">
        <f>L3375*G3375</f>
        <v/>
      </c>
      <c r="P3375" s="9" t="n"/>
    </row>
    <row r="3376">
      <c r="A3376" s="13" t="inlineStr">
        <is>
          <t>Vohar, Vodalian Desecrator / Vohar, Profanador Vodaliano</t>
        </is>
      </c>
      <c r="B3376" s="13" t="inlineStr">
        <is>
          <t>Legendary Creature — Phyrexian Merfolk Wizard / Criatura Lendária — Phyrexiano Tritão Mago</t>
        </is>
      </c>
      <c r="C3376" s="13" t="inlineStr">
        <is>
          <t>Uncommon / Incomum</t>
        </is>
      </c>
      <c r="D3376" s="13"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3376" s="13" t="inlineStr">
        <is>
          <t>{U}{B}</t>
        </is>
      </c>
      <c r="F3376" s="13" t="inlineStr">
        <is>
          <t>Preto, Azul</t>
        </is>
      </c>
      <c r="G3376" s="8" t="n">
        <v>0.15</v>
      </c>
      <c r="H3376" s="13" t="inlineStr">
        <is>
          <t>Dominaria United (DMU)</t>
        </is>
      </c>
      <c r="I3376" s="13" t="inlineStr">
        <is>
          <t>Não</t>
        </is>
      </c>
      <c r="J3376" s="13" t="n">
        <v>2022</v>
      </c>
      <c r="K3376" s="10" t="n">
        <v>46054</v>
      </c>
      <c r="L3376" s="13" t="n">
        <v>1</v>
      </c>
      <c r="M3376" s="8">
        <f>L3376*G3376</f>
        <v/>
      </c>
      <c r="P3376" s="9" t="n"/>
    </row>
    <row r="3377">
      <c r="A3377" s="13" t="inlineStr">
        <is>
          <t>Volcanic Villain / Vilã Vulcânica</t>
        </is>
      </c>
      <c r="B3377" s="13" t="inlineStr">
        <is>
          <t>Criatura — Elemental Vilão</t>
        </is>
      </c>
      <c r="C3377" s="13" t="inlineStr">
        <is>
          <t>Comum</t>
        </is>
      </c>
      <c r="D3377" s="13" t="inlineStr">
        <is>
          <t>Ímpeto. Fortalecer — {5}{R}: Coloque dois marcadores +1/+1 nesta criatura. (Ative cada habilidade de fortalecer apenas uma vez. Reduza o custo pelo custo de mana dela se ela entrou neste turno.)</t>
        </is>
      </c>
      <c r="E3377" s="13" t="inlineStr">
        <is>
          <t>2{R}</t>
        </is>
      </c>
      <c r="F3377" s="13" t="inlineStr">
        <is>
          <t>Vermelho</t>
        </is>
      </c>
      <c r="G3377" s="8" t="n">
        <v>0.13</v>
      </c>
      <c r="H3377" s="13" t="inlineStr">
        <is>
          <t>Marvel</t>
        </is>
      </c>
      <c r="I3377" s="13" t="inlineStr">
        <is>
          <t>Não</t>
        </is>
      </c>
      <c r="J3377" s="13" t="n">
        <v>2026</v>
      </c>
      <c r="K3377" s="10" t="n">
        <v>46056</v>
      </c>
      <c r="L3377" s="13" t="n">
        <v>1</v>
      </c>
      <c r="M3377" s="8">
        <f>L3377*G3377</f>
        <v/>
      </c>
      <c r="P3377" s="9" t="n"/>
    </row>
    <row r="3378">
      <c r="A3378" s="13" t="inlineStr">
        <is>
          <t>Voldaren Epicure / Epicurista Voldaren</t>
        </is>
      </c>
      <c r="B3378" s="13" t="inlineStr">
        <is>
          <t>Creature — Vampire / Criatura — Vampiro</t>
        </is>
      </c>
      <c r="C3378" s="13" t="inlineStr">
        <is>
          <t>Common / Comum</t>
        </is>
      </c>
      <c r="D3378" s="13"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3378" s="13" t="inlineStr">
        <is>
          <t>{R}</t>
        </is>
      </c>
      <c r="F3378" s="13" t="inlineStr">
        <is>
          <t>Vermelho</t>
        </is>
      </c>
      <c r="G3378" s="8" t="n">
        <v>2.23</v>
      </c>
      <c r="H3378" s="13" t="inlineStr">
        <is>
          <t>Innistrad: Crimson Vow (VOW)</t>
        </is>
      </c>
      <c r="I3378" s="13" t="inlineStr">
        <is>
          <t>Não</t>
        </is>
      </c>
      <c r="J3378" s="13" t="n">
        <v>2021</v>
      </c>
      <c r="K3378" s="10" t="n">
        <v>46023</v>
      </c>
      <c r="L3378" s="13" t="n">
        <v>1</v>
      </c>
      <c r="M3378" s="8">
        <f>L3378*G3378</f>
        <v/>
      </c>
      <c r="N3378" s="13" t="inlineStr">
        <is>
          <t>Pasta</t>
        </is>
      </c>
      <c r="P3378" s="9" t="n"/>
    </row>
    <row r="3379">
      <c r="A3379" s="13" t="inlineStr">
        <is>
          <t>Voldaren Stinger / Ferroadora Voldaren</t>
        </is>
      </c>
      <c r="B3379" s="13" t="inlineStr">
        <is>
          <t>Creature — Vampire Warrior / Criatura — Vampiro Guerreiro</t>
        </is>
      </c>
      <c r="C3379" s="13" t="inlineStr">
        <is>
          <t>Common / Comum</t>
        </is>
      </c>
      <c r="D3379" s="13" t="inlineStr">
        <is>
          <t>This creature has first strike as long as it's attacking. {2}{R}: This creature gets +2/+0 until end of turn. / Ferroadora Voldaren tem iniciativa enquanto estiver atacando. {2}{R}: Ferroadora Voldaren recebe +2/+0 até o final do turno.</t>
        </is>
      </c>
      <c r="E3379" s="13" t="inlineStr">
        <is>
          <t>{R}</t>
        </is>
      </c>
      <c r="F3379" s="13" t="inlineStr">
        <is>
          <t>Vermelho</t>
        </is>
      </c>
      <c r="G3379" s="8" t="n">
        <v>0.09</v>
      </c>
      <c r="H3379" s="13" t="inlineStr">
        <is>
          <t>Innistrad: Midnight Hunt (MID)</t>
        </is>
      </c>
      <c r="I3379" s="13" t="inlineStr">
        <is>
          <t>Não</t>
        </is>
      </c>
      <c r="J3379" s="13" t="n">
        <v>2021</v>
      </c>
      <c r="K3379" s="10" t="n">
        <v>46023</v>
      </c>
      <c r="L3379" s="13" t="n">
        <v>2</v>
      </c>
      <c r="M3379" s="8">
        <f>L3379*G3379</f>
        <v/>
      </c>
      <c r="P3379" s="9" t="n"/>
    </row>
    <row r="3380">
      <c r="A3380" s="13" t="inlineStr">
        <is>
          <t>Volley Veteran / Veterano das Saraivadas</t>
        </is>
      </c>
      <c r="B3380" s="13" t="inlineStr">
        <is>
          <t>Creature — Goblin Warrior / Criatura — Goblin Guerreiro</t>
        </is>
      </c>
      <c r="C3380" s="13" t="inlineStr">
        <is>
          <t>Uncommon / Incomum</t>
        </is>
      </c>
      <c r="D3380" s="13"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3380" s="13" t="inlineStr">
        <is>
          <t>{3}{R}</t>
        </is>
      </c>
      <c r="F3380" s="13" t="inlineStr">
        <is>
          <t>Vermelho</t>
        </is>
      </c>
      <c r="G3380" s="8" t="n">
        <v>0.15</v>
      </c>
      <c r="H3380" s="13" t="inlineStr">
        <is>
          <t>Core Set 2019 (M19)</t>
        </is>
      </c>
      <c r="I3380" s="13" t="inlineStr">
        <is>
          <t>Não</t>
        </is>
      </c>
      <c r="J3380" s="13" t="n">
        <v>2018</v>
      </c>
      <c r="K3380" s="10" t="n">
        <v>46057</v>
      </c>
      <c r="L3380" s="13" t="n">
        <v>1</v>
      </c>
      <c r="M3380" s="8">
        <f>L3380*G3380</f>
        <v/>
      </c>
      <c r="P3380" s="9" t="n"/>
    </row>
    <row r="3381">
      <c r="A3381" s="13" t="inlineStr">
        <is>
          <t>Volrath's Motion Sensor</t>
        </is>
      </c>
      <c r="B3381" s="13" t="inlineStr">
        <is>
          <t>Enchant Player</t>
        </is>
      </c>
      <c r="C3381" s="13" t="inlineStr">
        <is>
          <t>Rare</t>
        </is>
      </c>
      <c r="D3381" s="13"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3381" s="13" t="inlineStr">
        <is>
          <t>{B}</t>
        </is>
      </c>
      <c r="F3381" s="13" t="inlineStr">
        <is>
          <t>Preto</t>
        </is>
      </c>
      <c r="G3381" s="8" t="n">
        <v>1.25</v>
      </c>
      <c r="H3381" s="13" t="inlineStr">
        <is>
          <t>Unglued (UGL)</t>
        </is>
      </c>
      <c r="I3381" s="13" t="inlineStr">
        <is>
          <t>No</t>
        </is>
      </c>
      <c r="J3381" s="13" t="n">
        <v>1998</v>
      </c>
      <c r="L3381" s="13" t="n">
        <v>1</v>
      </c>
      <c r="M3381" s="8">
        <f>L3381*G3381</f>
        <v/>
      </c>
      <c r="P3381" s="9" t="n"/>
    </row>
    <row r="3382">
      <c r="A3382" s="13" t="inlineStr">
        <is>
          <t>Volshe Tideturner / Inversora de Marés Volshe</t>
        </is>
      </c>
      <c r="B3382" s="13" t="inlineStr">
        <is>
          <t>Creature — Merfolk Wizard / Criatura — Tritão Mago</t>
        </is>
      </c>
      <c r="C3382" s="13" t="inlineStr">
        <is>
          <t>Common / Comum</t>
        </is>
      </c>
      <c r="D3382" s="13" t="inlineStr">
        <is>
          <t>{T}: Add {U}. Spend this mana only to cast an instant or sorcery spell or a kicked spell. / {T}: Adicione {U}. Gaste este mana somente para conjurar uma mágica instantânea, um feitiço ou uma mágica reforçada.</t>
        </is>
      </c>
      <c r="E3382" s="13" t="inlineStr">
        <is>
          <t>{1}{U}</t>
        </is>
      </c>
      <c r="F3382" s="13" t="inlineStr">
        <is>
          <t>Azul</t>
        </is>
      </c>
      <c r="G3382" s="8" t="n">
        <v>0.06</v>
      </c>
      <c r="H3382" s="13" t="inlineStr">
        <is>
          <t>Dominaria United (DMU)</t>
        </is>
      </c>
      <c r="I3382" s="13" t="inlineStr">
        <is>
          <t>Não</t>
        </is>
      </c>
      <c r="J3382" s="13" t="n">
        <v>2022</v>
      </c>
      <c r="K3382" s="10" t="n">
        <v>46082</v>
      </c>
      <c r="L3382" s="13" t="n">
        <v>1</v>
      </c>
      <c r="M3382" s="8">
        <f>L3382*G3382</f>
        <v/>
      </c>
      <c r="P3382" s="9" t="n"/>
    </row>
    <row r="3383">
      <c r="A3383" s="13" t="inlineStr">
        <is>
          <t>Voltage Surge / Surto Voltaico</t>
        </is>
      </c>
      <c r="B3383" s="13" t="inlineStr">
        <is>
          <t>Instant / Mágica Instantânea</t>
        </is>
      </c>
      <c r="C3383" s="13" t="inlineStr">
        <is>
          <t>Common / Comum</t>
        </is>
      </c>
      <c r="D3383" s="13"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3383" s="13" t="inlineStr">
        <is>
          <t>{R}</t>
        </is>
      </c>
      <c r="F3383" s="13" t="inlineStr">
        <is>
          <t>Vermelho</t>
        </is>
      </c>
      <c r="G3383" s="8" t="n">
        <v>0.08</v>
      </c>
      <c r="H3383" s="13" t="inlineStr">
        <is>
          <t>Kamigawa: Neon Dynasty (NEO)</t>
        </is>
      </c>
      <c r="I3383" s="13" t="inlineStr">
        <is>
          <t>Não</t>
        </is>
      </c>
      <c r="J3383" s="13" t="n">
        <v>2022</v>
      </c>
      <c r="L3383" s="13" t="n">
        <v>1</v>
      </c>
      <c r="M3383" s="8">
        <f>L3383*G3383</f>
        <v/>
      </c>
      <c r="P3383" s="9" t="n"/>
    </row>
    <row r="3384">
      <c r="A3384" s="13" t="inlineStr">
        <is>
          <t>Vontade do Flamividente</t>
        </is>
      </c>
      <c r="B3384" s="13" t="inlineStr">
        <is>
          <t>Encantamento — Aura</t>
        </is>
      </c>
      <c r="C3384" s="13" t="inlineStr">
        <is>
          <t>Comum</t>
        </is>
      </c>
      <c r="D3384" s="13" t="inlineStr">
        <is>
          <t>Encantar criatura que você controla A criatura encantada recebe +1/+1. Toda vez que a criatura encantada causa dano de combate a um jogador, você pode sacrificar Vontade do Flamividente. Se fizer isso, destrua o artefato alvo.</t>
        </is>
      </c>
      <c r="E3384" s="13" t="inlineStr">
        <is>
          <t>R</t>
        </is>
      </c>
      <c r="F3384" s="13" t="inlineStr">
        <is>
          <t>Vermelha</t>
        </is>
      </c>
      <c r="G3384" s="8" t="n">
        <v>0.03</v>
      </c>
      <c r="H3384" s="13" t="inlineStr">
        <is>
          <t>Journey into Nyx</t>
        </is>
      </c>
      <c r="I3384" s="13" t="inlineStr">
        <is>
          <t>Não</t>
        </is>
      </c>
      <c r="J3384" s="13" t="n">
        <v>2014</v>
      </c>
      <c r="L3384" s="13" t="n">
        <v>3</v>
      </c>
      <c r="M3384" s="8">
        <f>L3384*G3384</f>
        <v/>
      </c>
      <c r="P3384" s="9" t="n"/>
    </row>
    <row r="3385">
      <c r="A3385" s="13" t="inlineStr">
        <is>
          <t>Voracious Dragon / Dragão Voraz</t>
        </is>
      </c>
      <c r="B3385" s="13" t="inlineStr">
        <is>
          <t>Creature — Dragon / Criatura — Dragão</t>
        </is>
      </c>
      <c r="C3385" s="13" t="inlineStr">
        <is>
          <t>Rare / Rara</t>
        </is>
      </c>
      <c r="D3385" s="13"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3385" s="13" t="inlineStr">
        <is>
          <t>{3}{R}{R}</t>
        </is>
      </c>
      <c r="F3385" s="13" t="inlineStr">
        <is>
          <t>Vermelho</t>
        </is>
      </c>
      <c r="G3385" s="8" t="n">
        <v>1.5</v>
      </c>
      <c r="H3385" s="13" t="inlineStr">
        <is>
          <t>Magic 2010 (M10)</t>
        </is>
      </c>
      <c r="I3385" s="13" t="inlineStr">
        <is>
          <t>Não</t>
        </is>
      </c>
      <c r="J3385" s="13" t="n">
        <v>2009</v>
      </c>
      <c r="K3385" s="10" t="n">
        <v>46116</v>
      </c>
      <c r="L3385" s="13" t="n">
        <v>2</v>
      </c>
      <c r="M3385" s="8">
        <f>L3385*G3385</f>
        <v/>
      </c>
      <c r="P3385" s="9" t="n"/>
    </row>
    <row r="3386">
      <c r="A3386" s="13" t="inlineStr">
        <is>
          <t>Voracious Tome-Skimmer</t>
        </is>
      </c>
      <c r="B3386" s="13" t="inlineStr">
        <is>
          <t>Creature — Faerie Rogue</t>
        </is>
      </c>
      <c r="C3386" s="13" t="inlineStr">
        <is>
          <t>Uncommon / Incomum</t>
        </is>
      </c>
      <c r="D3386" s="13" t="inlineStr">
        <is>
          <t>Flying Whenever you cast a spell during an opponent's turn, you may pay 1 life. If you do, draw a card.</t>
        </is>
      </c>
      <c r="E3386" s="13" t="inlineStr">
        <is>
          <t>{U/B}{U/B}{U/B}</t>
        </is>
      </c>
      <c r="F3386" s="13" t="inlineStr">
        <is>
          <t>Preto, Azul</t>
        </is>
      </c>
      <c r="G3386" s="8" t="n">
        <v>0.2</v>
      </c>
      <c r="H3386" s="13" t="inlineStr">
        <is>
          <t>Lorwyn Eclipsed (ECL)</t>
        </is>
      </c>
      <c r="I3386" s="13" t="inlineStr">
        <is>
          <t>Não</t>
        </is>
      </c>
      <c r="J3386" s="13" t="n">
        <v>2026</v>
      </c>
      <c r="K3386" s="10" t="n">
        <v>46083</v>
      </c>
      <c r="L3386" s="13" t="n">
        <v>1</v>
      </c>
      <c r="M3386" s="8">
        <f>L3386*G3386</f>
        <v/>
      </c>
      <c r="P3386" s="9" t="n"/>
    </row>
    <row r="3387">
      <c r="A3387" s="13" t="inlineStr">
        <is>
          <t>Vorstclaw / Garra Voraz</t>
        </is>
      </c>
      <c r="B3387" s="13" t="inlineStr">
        <is>
          <t>Creature — Elemental Horror / Criatura — Elemental Horror</t>
        </is>
      </c>
      <c r="C3387" s="13" t="inlineStr">
        <is>
          <t>Common / Comum</t>
        </is>
      </c>
      <c r="E3387" s="13" t="inlineStr">
        <is>
          <t>{4}{G}{G}</t>
        </is>
      </c>
      <c r="F3387" s="13" t="inlineStr">
        <is>
          <t>Verde</t>
        </is>
      </c>
      <c r="G3387" s="8" t="n">
        <v>0.03</v>
      </c>
      <c r="H3387" s="13" t="inlineStr">
        <is>
          <t>Core Set 2020 (M20)</t>
        </is>
      </c>
      <c r="I3387" s="13" t="inlineStr">
        <is>
          <t>Não</t>
        </is>
      </c>
      <c r="J3387" s="13" t="n">
        <v>2019</v>
      </c>
      <c r="K3387" s="10" t="n">
        <v>46210</v>
      </c>
      <c r="L3387" s="13" t="n">
        <v>4</v>
      </c>
      <c r="M3387" s="8">
        <f>L3387*G3387</f>
        <v/>
      </c>
      <c r="P3387" s="9" t="n"/>
    </row>
    <row r="3388">
      <c r="A3388" s="13" t="inlineStr">
        <is>
          <t>Vote Out / Eliminar pelo Voto</t>
        </is>
      </c>
      <c r="B3388" s="13" t="inlineStr">
        <is>
          <t>Feitiço</t>
        </is>
      </c>
      <c r="C3388" s="13" t="inlineStr">
        <is>
          <t>Incomum</t>
        </is>
      </c>
      <c r="D3388" s="13" t="inlineStr">
        <is>
          <t>Convocar (Suas criaturas podem ajudar a conjurar esta mágica. Cada criatura que você vira ao conjurar esta mágica paga por {1} ou por um mana da cor daquela criatura.) Destrua a criatura alvo.</t>
        </is>
      </c>
      <c r="E3388" s="13" t="inlineStr">
        <is>
          <t>3{B}</t>
        </is>
      </c>
      <c r="F3388" s="13" t="inlineStr">
        <is>
          <t>Preto</t>
        </is>
      </c>
      <c r="G3388" s="8" t="n">
        <v>0.09</v>
      </c>
      <c r="H3388" s="13" t="inlineStr">
        <is>
          <t>Edge of Eternity</t>
        </is>
      </c>
      <c r="I3388" s="13" t="inlineStr">
        <is>
          <t>Não</t>
        </is>
      </c>
      <c r="J3388" s="13" t="n">
        <v>2025</v>
      </c>
      <c r="L3388" s="13" t="n">
        <v>1</v>
      </c>
      <c r="M3388" s="8">
        <f>L3388*G3388</f>
        <v/>
      </c>
      <c r="P3388" s="9" t="n"/>
    </row>
    <row r="3389">
      <c r="A3389" s="13" t="inlineStr">
        <is>
          <t>Vraska's Finisher / Finalizadora de Vraska</t>
        </is>
      </c>
      <c r="B3389" s="13" t="inlineStr">
        <is>
          <t>Creature — Gorgon Assassin / Criatura — Górgona Assassino</t>
        </is>
      </c>
      <c r="C3389" s="13" t="inlineStr">
        <is>
          <t>Common / Comum</t>
        </is>
      </c>
      <c r="D3389" s="13"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3389" s="13" t="inlineStr">
        <is>
          <t>{2}{B}</t>
        </is>
      </c>
      <c r="F3389" s="13" t="inlineStr">
        <is>
          <t>Preto</t>
        </is>
      </c>
      <c r="G3389" s="8" t="n">
        <v>0.05</v>
      </c>
      <c r="H3389" s="13" t="inlineStr">
        <is>
          <t>War of the Spark (WAR)</t>
        </is>
      </c>
      <c r="I3389" s="13" t="inlineStr">
        <is>
          <t>Não</t>
        </is>
      </c>
      <c r="J3389" s="13" t="n">
        <v>2019</v>
      </c>
      <c r="K3389" s="10" t="n">
        <v>46056</v>
      </c>
      <c r="L3389" s="13" t="n">
        <v>1</v>
      </c>
      <c r="M3389" s="8">
        <f>L3389*G3389</f>
        <v/>
      </c>
      <c r="P3389" s="9" t="n"/>
    </row>
    <row r="3390">
      <c r="A3390" s="13" t="inlineStr">
        <is>
          <t>Vryn Wingmare / Égua Alada de Vryn</t>
        </is>
      </c>
      <c r="B3390" s="13" t="inlineStr">
        <is>
          <t>Creature — Pegasus / Criatura — Pégaso</t>
        </is>
      </c>
      <c r="C3390" s="13" t="inlineStr">
        <is>
          <t>Rare / Rara</t>
        </is>
      </c>
      <c r="D3390" s="13" t="inlineStr">
        <is>
          <t>Flying Noncreature spells cost {1} more to cast. / Voar As mágicas que não sejam de criatura custam {1} a mais para serem conjuradas.</t>
        </is>
      </c>
      <c r="E3390" s="13" t="inlineStr">
        <is>
          <t>{2}{W}</t>
        </is>
      </c>
      <c r="F3390" s="13" t="inlineStr">
        <is>
          <t>Branco</t>
        </is>
      </c>
      <c r="G3390" s="8" t="n">
        <v>0.28</v>
      </c>
      <c r="H3390" s="13" t="inlineStr">
        <is>
          <t>Magic Origins (ORI)</t>
        </is>
      </c>
      <c r="I3390" s="13" t="inlineStr">
        <is>
          <t>Não</t>
        </is>
      </c>
      <c r="J3390" s="13" t="n">
        <v>2015</v>
      </c>
      <c r="K3390" s="10" t="n">
        <v>46024</v>
      </c>
      <c r="L3390" s="13" t="n">
        <v>1</v>
      </c>
      <c r="M3390" s="8">
        <f>L3390*G3390</f>
        <v/>
      </c>
      <c r="P3390" s="9" t="n"/>
    </row>
    <row r="3391">
      <c r="A3391" s="13" t="inlineStr">
        <is>
          <t>Vulpine Goliath / Golias Vulpino</t>
        </is>
      </c>
      <c r="B3391" s="13" t="inlineStr">
        <is>
          <t>Creature — Fox / Criatura — Raposa</t>
        </is>
      </c>
      <c r="C3391" s="13" t="inlineStr">
        <is>
          <t>Common / Comum</t>
        </is>
      </c>
      <c r="D3391" s="13" t="inlineStr">
        <is>
          <t>Trample / Atropelar</t>
        </is>
      </c>
      <c r="E3391" s="13" t="inlineStr">
        <is>
          <t>{4}{G}{G}</t>
        </is>
      </c>
      <c r="F3391" s="13" t="inlineStr">
        <is>
          <t>Verde</t>
        </is>
      </c>
      <c r="G3391" s="8" t="n">
        <v>0.05</v>
      </c>
      <c r="H3391" s="13" t="inlineStr">
        <is>
          <t>Theros (THS)</t>
        </is>
      </c>
      <c r="I3391" s="13" t="inlineStr">
        <is>
          <t>Não</t>
        </is>
      </c>
      <c r="J3391" s="13" t="n">
        <v>2013</v>
      </c>
      <c r="K3391" s="10" t="n">
        <v>46148</v>
      </c>
      <c r="L3391" s="13" t="n">
        <v>1</v>
      </c>
      <c r="M3391" s="8">
        <f>L3391*G3391</f>
        <v/>
      </c>
      <c r="P3391" s="9" t="n"/>
    </row>
    <row r="3392">
      <c r="A3392" s="13" t="inlineStr">
        <is>
          <t>Vulturous Aven / Aviano Rapace</t>
        </is>
      </c>
      <c r="B3392" s="13" t="inlineStr">
        <is>
          <t>Creature — Bird Shaman / Criatura — Ave Xamã</t>
        </is>
      </c>
      <c r="C3392" s="13" t="inlineStr">
        <is>
          <t>Common / Comum</t>
        </is>
      </c>
      <c r="D3392" s="13"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3392" s="13" t="inlineStr">
        <is>
          <t>{3}{B}</t>
        </is>
      </c>
      <c r="F3392" s="13" t="inlineStr">
        <is>
          <t>Preto</t>
        </is>
      </c>
      <c r="G3392" s="8" t="n">
        <v>0.03</v>
      </c>
      <c r="H3392" s="13" t="inlineStr">
        <is>
          <t>Dragons of Tarkir (DTK)</t>
        </is>
      </c>
      <c r="I3392" s="13" t="inlineStr">
        <is>
          <t>Não</t>
        </is>
      </c>
      <c r="J3392" s="13" t="n">
        <v>2015</v>
      </c>
      <c r="K3392" s="10" t="n">
        <v>46083</v>
      </c>
      <c r="L3392" s="13" t="n">
        <v>1</v>
      </c>
      <c r="M3392" s="8">
        <f>L3392*G3392</f>
        <v/>
      </c>
      <c r="P3392" s="9" t="n"/>
    </row>
    <row r="3393">
      <c r="A3393" s="13" t="inlineStr">
        <is>
          <t>Wailing Ghoul / Carniçal Lamuriante</t>
        </is>
      </c>
      <c r="B3393" s="13" t="inlineStr">
        <is>
          <t>Creature — Zombie / Criatura — Zumbi</t>
        </is>
      </c>
      <c r="C3393" s="13" t="inlineStr">
        <is>
          <t>Common / Comum</t>
        </is>
      </c>
      <c r="D3393" s="13" t="inlineStr">
        <is>
          <t>When this creature enters, mill two cards. (Put the top two cards of your library into your graveyard.) / Quando Carniçal Lamuriante entrar no campo de batalha, coloque os dois cards do topo de seu grimório em seu cemitério.</t>
        </is>
      </c>
      <c r="E3393" s="13" t="inlineStr">
        <is>
          <t>{1}{B}</t>
        </is>
      </c>
      <c r="F3393" s="13" t="inlineStr">
        <is>
          <t>Preto</t>
        </is>
      </c>
      <c r="G3393" s="8" t="n">
        <v>0.25</v>
      </c>
      <c r="H3393" s="13" t="inlineStr">
        <is>
          <t>Eldritch Moon (EMN)</t>
        </is>
      </c>
      <c r="I3393" s="13" t="inlineStr">
        <is>
          <t>Sim</t>
        </is>
      </c>
      <c r="J3393" s="13" t="n">
        <v>2016</v>
      </c>
      <c r="K3393" s="10" t="n">
        <v>46082</v>
      </c>
      <c r="L3393" s="13" t="n">
        <v>1</v>
      </c>
      <c r="M3393" s="8">
        <f>L3393*G3393</f>
        <v/>
      </c>
      <c r="P3393" s="9" t="n"/>
    </row>
    <row r="3394">
      <c r="A3394" s="13" t="inlineStr">
        <is>
          <t>Wakandan Royal Guard / Guarda Real de Wakanda</t>
        </is>
      </c>
      <c r="B3394" s="13" t="inlineStr">
        <is>
          <t>Criatura — Humano Soldado Herói</t>
        </is>
      </c>
      <c r="C3394" s="13" t="inlineStr">
        <is>
          <t>Comum</t>
        </is>
      </c>
      <c r="D3394" s="13" t="inlineStr">
        <is>
          <t>Vigilância. Quando esta criatura entrar, coloque um marcador +1/+1 na criatura alvo. Se aquela criatura for outro Herói, em vez disso, coloque dois marcadores +1/+1 nela.</t>
        </is>
      </c>
      <c r="E3394" s="13" t="inlineStr">
        <is>
          <t>4{G}</t>
        </is>
      </c>
      <c r="F3394" s="13" t="inlineStr">
        <is>
          <t>Verde</t>
        </is>
      </c>
      <c r="G3394" s="8" t="n">
        <v>0.13</v>
      </c>
      <c r="H3394" s="13" t="inlineStr">
        <is>
          <t>Marvel</t>
        </is>
      </c>
      <c r="I3394" s="13" t="inlineStr">
        <is>
          <t>Não</t>
        </is>
      </c>
      <c r="J3394" s="13" t="n">
        <v>2026</v>
      </c>
      <c r="K3394" s="10" t="n">
        <v>46116</v>
      </c>
      <c r="L3394" s="13" t="n">
        <v>1</v>
      </c>
      <c r="M3394" s="8">
        <f>L3394*G3394</f>
        <v/>
      </c>
      <c r="P3394" s="9" t="n"/>
    </row>
    <row r="3395">
      <c r="A3395" s="13" t="inlineStr">
        <is>
          <t>Walking Sarcophagus</t>
        </is>
      </c>
      <c r="B3395" s="13" t="inlineStr">
        <is>
          <t>Artifact Creature — Zombie Cat</t>
        </is>
      </c>
      <c r="C3395" s="13" t="inlineStr">
        <is>
          <t>Common / Comum</t>
        </is>
      </c>
      <c r="D3395" s="13" t="inlineStr">
        <is>
          <t>Start your engines! (If you have no speed, it starts at 1. It increases once on each of your turns when an opponent loses life. Max speed is 4.) Max speed — This creature gets +1/+2.</t>
        </is>
      </c>
      <c r="E3395" s="13" t="inlineStr">
        <is>
          <t>{2}</t>
        </is>
      </c>
      <c r="F3395" s="13" t="inlineStr">
        <is>
          <t>Incolor</t>
        </is>
      </c>
      <c r="G3395" s="8" t="n">
        <v>0.1</v>
      </c>
      <c r="H3395" s="13" t="inlineStr">
        <is>
          <t>Aetherdrift (DFT)</t>
        </is>
      </c>
      <c r="I3395" s="13" t="inlineStr">
        <is>
          <t>Não</t>
        </is>
      </c>
      <c r="J3395" s="13" t="n">
        <v>2025</v>
      </c>
      <c r="K3395" s="10" t="n">
        <v>46024</v>
      </c>
      <c r="L3395" s="13" t="n">
        <v>1</v>
      </c>
      <c r="M3395" s="8">
        <f>L3395*G3395</f>
        <v/>
      </c>
      <c r="P3395" s="9" t="n"/>
    </row>
    <row r="3396">
      <c r="A3396" s="13" t="inlineStr">
        <is>
          <t>Walking Wall / Barreira Ambulante</t>
        </is>
      </c>
      <c r="B3396" s="13" t="inlineStr">
        <is>
          <t>Artifact Creature — Wall</t>
        </is>
      </c>
      <c r="C3396" s="13" t="inlineStr">
        <is>
          <t>Uncommon / Incomum</t>
        </is>
      </c>
      <c r="D3396" s="13" t="inlineStr">
        <is>
          <t>Defender {3}: This creature gets +3/-1 until end of turn and can attack this turn as though it didn't have defender. Activate only once each turn.</t>
        </is>
      </c>
      <c r="E3396" s="13" t="inlineStr">
        <is>
          <t>{4}</t>
        </is>
      </c>
      <c r="F3396" s="13" t="inlineStr">
        <is>
          <t>Incolor</t>
        </is>
      </c>
      <c r="G3396" s="8" t="n">
        <v>0.2</v>
      </c>
      <c r="H3396" s="13" t="inlineStr">
        <is>
          <t>Ice Age (ICE)</t>
        </is>
      </c>
      <c r="I3396" s="13" t="inlineStr">
        <is>
          <t>Não</t>
        </is>
      </c>
      <c r="J3396" s="13" t="n">
        <v>1995</v>
      </c>
      <c r="K3396" s="13" t="inlineStr">
        <is>
          <t>0/6</t>
        </is>
      </c>
      <c r="L3396" s="13" t="n">
        <v>1</v>
      </c>
      <c r="M3396" s="8">
        <f>L3396*G3396</f>
        <v/>
      </c>
      <c r="P3396" s="9" t="n"/>
    </row>
    <row r="3397">
      <c r="A3397" s="13" t="inlineStr">
        <is>
          <t>Walking Wall / Muralha Andante</t>
        </is>
      </c>
      <c r="B3397" s="13" t="inlineStr">
        <is>
          <t>Artifact Creature — Wall / Criatura Artefato — Parede</t>
        </is>
      </c>
      <c r="C3397" s="13" t="inlineStr">
        <is>
          <t>Uncommon / Incomum</t>
        </is>
      </c>
      <c r="D3397" s="13"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3397" s="13" t="inlineStr">
        <is>
          <t>{4}</t>
        </is>
      </c>
      <c r="F3397" s="13" t="inlineStr">
        <is>
          <t>Incolor</t>
        </is>
      </c>
      <c r="G3397" s="8" t="n">
        <v>0.2</v>
      </c>
      <c r="H3397" s="13" t="inlineStr">
        <is>
          <t>Ice Age (ICE)</t>
        </is>
      </c>
      <c r="I3397" s="13" t="inlineStr">
        <is>
          <t>No</t>
        </is>
      </c>
      <c r="J3397" s="13" t="n">
        <v>1995</v>
      </c>
      <c r="K3397" s="13" t="inlineStr">
        <is>
          <t>0/6</t>
        </is>
      </c>
      <c r="L3397" s="13" t="n">
        <v>1</v>
      </c>
      <c r="M3397" s="8">
        <f>L3397*G3397</f>
        <v/>
      </c>
      <c r="P3397" s="9" t="n"/>
    </row>
    <row r="3398">
      <c r="A3398" s="13" t="inlineStr">
        <is>
          <t>Walking Wall / Muro Andarilho</t>
        </is>
      </c>
      <c r="B3398" s="13" t="inlineStr">
        <is>
          <t>Artifact Creature</t>
        </is>
      </c>
      <c r="C3398" s="13" t="inlineStr">
        <is>
          <t>Incomum</t>
        </is>
      </c>
      <c r="D3398" s="13" t="inlineStr">
        <is>
          <t>Counts as a wall, {3}: Walking Wall gets +3/-1 until end of turn and can attack this turn. Walking Wall cannot attack the turn it comes under your control. Use this ability only once a turn.</t>
        </is>
      </c>
      <c r="E3398" s="13" t="inlineStr">
        <is>
          <t>{4}</t>
        </is>
      </c>
      <c r="F3398" s="13" t="inlineStr">
        <is>
          <t>Incolor</t>
        </is>
      </c>
      <c r="G3398" s="8" t="n">
        <v>0.2</v>
      </c>
      <c r="H3398" s="13" t="inlineStr">
        <is>
          <t>Ice Age (ICE)</t>
        </is>
      </c>
      <c r="I3398" s="13" t="inlineStr">
        <is>
          <t>Não</t>
        </is>
      </c>
      <c r="J3398" s="13" t="n">
        <v>1995</v>
      </c>
      <c r="K3398" s="13" t="inlineStr">
        <is>
          <t>0/6</t>
        </is>
      </c>
      <c r="L3398" s="13" t="n">
        <v>1</v>
      </c>
      <c r="M3398" s="8">
        <f>L3398*G3398</f>
        <v/>
      </c>
      <c r="P3398" s="9" t="n"/>
    </row>
    <row r="3399">
      <c r="A3399" s="13" t="inlineStr">
        <is>
          <t>Wall of Bone / Barreira de Ossos</t>
        </is>
      </c>
      <c r="B3399" s="13" t="inlineStr">
        <is>
          <t>Creature — Skeleton Wall / Criatura — Esqueleto Barreira</t>
        </is>
      </c>
      <c r="C3399" s="13" t="inlineStr">
        <is>
          <t>Uncommon / Incomum</t>
        </is>
      </c>
      <c r="D3399" s="13"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3399" s="13" t="inlineStr">
        <is>
          <t>{2}{B}</t>
        </is>
      </c>
      <c r="F3399" s="13" t="inlineStr">
        <is>
          <t>Preto</t>
        </is>
      </c>
      <c r="G3399" s="8" t="n">
        <v>0.09</v>
      </c>
      <c r="H3399" s="13" t="inlineStr">
        <is>
          <t>Quarta Edição</t>
        </is>
      </c>
      <c r="I3399" s="13" t="inlineStr">
        <is>
          <t>Não</t>
        </is>
      </c>
      <c r="J3399" s="13" t="n">
        <v>1995</v>
      </c>
      <c r="K3399" s="10" t="n">
        <v>46113</v>
      </c>
      <c r="L3399" s="13" t="n">
        <v>2</v>
      </c>
      <c r="M3399" s="8">
        <f>L3399*G3399</f>
        <v/>
      </c>
      <c r="P3399" s="9" t="n"/>
    </row>
    <row r="3400">
      <c r="A3400" s="13" t="inlineStr">
        <is>
          <t>Wall of Denial / Barreira da Negação</t>
        </is>
      </c>
      <c r="B3400" s="13" t="inlineStr">
        <is>
          <t>Creature — Wall / Criatura — Barreira</t>
        </is>
      </c>
      <c r="C3400" s="13" t="inlineStr">
        <is>
          <t>Uncommon / Incomum</t>
        </is>
      </c>
      <c r="D3400" s="13" t="inlineStr">
        <is>
          <t>Defender, flying Shroud (This creature can't be the target of spells or abilities.) / Defensor, voar, manto</t>
        </is>
      </c>
      <c r="E3400" s="13" t="inlineStr">
        <is>
          <t>{1}{W}{U}</t>
        </is>
      </c>
      <c r="F3400" s="13" t="inlineStr">
        <is>
          <t>Azul, Branco</t>
        </is>
      </c>
      <c r="G3400" s="8" t="n">
        <v>0.59</v>
      </c>
      <c r="H3400" s="13" t="inlineStr">
        <is>
          <t>Modern Masters 2017 (MM3)</t>
        </is>
      </c>
      <c r="I3400" s="13" t="inlineStr">
        <is>
          <t>Não</t>
        </is>
      </c>
      <c r="J3400" s="13" t="n">
        <v>2017</v>
      </c>
      <c r="K3400" s="13" t="inlineStr">
        <is>
          <t>0/8</t>
        </is>
      </c>
      <c r="L3400" s="13" t="n">
        <v>2</v>
      </c>
      <c r="M3400" s="8">
        <f>L3400*G3400</f>
        <v/>
      </c>
      <c r="P3400" s="9" t="n"/>
    </row>
    <row r="3401">
      <c r="A3401" s="13" t="inlineStr">
        <is>
          <t>Wall of Dust / Barreira de Pó</t>
        </is>
      </c>
      <c r="B3401" s="13" t="inlineStr">
        <is>
          <t>Creature — Wall</t>
        </is>
      </c>
      <c r="C3401" s="13" t="inlineStr">
        <is>
          <t>Uncommon / Incomum</t>
        </is>
      </c>
      <c r="D3401" s="13" t="inlineStr">
        <is>
          <t>Defender (This creature can't attack.) Whenever this creature blocks a creature, that creature can't attack during its controller's next turn.</t>
        </is>
      </c>
      <c r="E3401" s="13" t="inlineStr">
        <is>
          <t>{2}{R}</t>
        </is>
      </c>
      <c r="F3401" s="13" t="inlineStr">
        <is>
          <t>Vermelho</t>
        </is>
      </c>
      <c r="G3401" s="8" t="n">
        <v>0.1</v>
      </c>
      <c r="H3401" s="13" t="inlineStr">
        <is>
          <t xml:space="preserve">Fourth Edition </t>
        </is>
      </c>
      <c r="I3401" s="13" t="inlineStr">
        <is>
          <t>Não</t>
        </is>
      </c>
      <c r="J3401" s="13" t="n">
        <v>1995</v>
      </c>
      <c r="K3401" s="10" t="n">
        <v>46113</v>
      </c>
      <c r="L3401" s="13" t="n">
        <v>1</v>
      </c>
      <c r="M3401" s="8">
        <f>L3401*G3401</f>
        <v/>
      </c>
      <c r="P3401" s="9" t="n"/>
    </row>
    <row r="3402">
      <c r="A3402" s="13" t="inlineStr">
        <is>
          <t>Wall of Fire / Barreira de Fogo</t>
        </is>
      </c>
      <c r="B3402" s="13" t="inlineStr">
        <is>
          <t>Creature — Wall / Criatura — Barreira</t>
        </is>
      </c>
      <c r="C3402" s="13" t="inlineStr">
        <is>
          <t>Uncommon / Incomum</t>
        </is>
      </c>
      <c r="D3402" s="13" t="inlineStr">
        <is>
          <t>Defender (This creature can't attack.) {R}: This creature gets +1/+0 until end of turn. / Defensor (Esta criatura não pode atacar.) {R}: Barreira de Fogo recebe +1/+0 até o final do turno.</t>
        </is>
      </c>
      <c r="E3402" s="13" t="inlineStr">
        <is>
          <t>{1}{R}{R}</t>
        </is>
      </c>
      <c r="F3402" s="13" t="inlineStr">
        <is>
          <t>Vermelho</t>
        </is>
      </c>
      <c r="G3402" s="8" t="n">
        <v>0.1</v>
      </c>
      <c r="H3402" s="13" t="inlineStr">
        <is>
          <t xml:space="preserve">Fourth Edition </t>
        </is>
      </c>
      <c r="I3402" s="13" t="inlineStr">
        <is>
          <t>Não</t>
        </is>
      </c>
      <c r="J3402" s="13" t="n">
        <v>1995</v>
      </c>
      <c r="K3402" s="13" t="inlineStr">
        <is>
          <t>0/5</t>
        </is>
      </c>
      <c r="L3402" s="13" t="n">
        <v>1</v>
      </c>
      <c r="M3402" s="8">
        <f>L3402*G3402</f>
        <v/>
      </c>
      <c r="P3402" s="9" t="n"/>
    </row>
    <row r="3403">
      <c r="A3403" s="13" t="inlineStr">
        <is>
          <t>Wall of Heat</t>
        </is>
      </c>
      <c r="B3403" s="13" t="inlineStr">
        <is>
          <t>Creature — Wall</t>
        </is>
      </c>
      <c r="C3403" s="13" t="inlineStr">
        <is>
          <t>Common / Comum</t>
        </is>
      </c>
      <c r="D3403" s="13" t="inlineStr">
        <is>
          <t>Defender (This creature can't attack.)</t>
        </is>
      </c>
      <c r="E3403" s="13" t="inlineStr">
        <is>
          <t>{2}{R}</t>
        </is>
      </c>
      <c r="F3403" s="13" t="inlineStr">
        <is>
          <t>Vermelho</t>
        </is>
      </c>
      <c r="G3403" s="8" t="n">
        <v>0.09</v>
      </c>
      <c r="H3403" s="13" t="inlineStr">
        <is>
          <t>Chronicles</t>
        </is>
      </c>
      <c r="I3403" s="13" t="inlineStr">
        <is>
          <t>Não</t>
        </is>
      </c>
      <c r="J3403" s="13" t="n">
        <v>1995</v>
      </c>
      <c r="K3403" s="10" t="n">
        <v>46175</v>
      </c>
      <c r="L3403" s="13" t="n">
        <v>2</v>
      </c>
      <c r="M3403" s="8">
        <f>L3403*G3403</f>
        <v/>
      </c>
      <c r="P3403" s="9" t="n"/>
    </row>
    <row r="3404">
      <c r="A3404" s="13" t="inlineStr">
        <is>
          <t>Wall of Lava / Barreira de Lava</t>
        </is>
      </c>
      <c r="B3404" s="13" t="inlineStr">
        <is>
          <t>Creature — Wall</t>
        </is>
      </c>
      <c r="C3404" s="13" t="inlineStr">
        <is>
          <t>Uncommon / Incomum</t>
        </is>
      </c>
      <c r="D3404" s="13" t="inlineStr">
        <is>
          <t>Defender (This creature can't attack.) {R}: This creature gets +1/+1 until end of turn.</t>
        </is>
      </c>
      <c r="E3404" s="13" t="inlineStr">
        <is>
          <t>{1}{R}{R}</t>
        </is>
      </c>
      <c r="F3404" s="13" t="inlineStr">
        <is>
          <t>Vermelho</t>
        </is>
      </c>
      <c r="G3404" s="8" t="n">
        <v>0.18</v>
      </c>
      <c r="H3404" s="13" t="inlineStr">
        <is>
          <t>Ice Age (ICE)</t>
        </is>
      </c>
      <c r="I3404" s="13" t="inlineStr">
        <is>
          <t>Não</t>
        </is>
      </c>
      <c r="J3404" s="13" t="n">
        <v>1995</v>
      </c>
      <c r="K3404" s="10" t="n">
        <v>46082</v>
      </c>
      <c r="L3404" s="13" t="n">
        <v>1</v>
      </c>
      <c r="M3404" s="8">
        <f>L3404*G3404</f>
        <v/>
      </c>
      <c r="P3404" s="9" t="n"/>
    </row>
    <row r="3405">
      <c r="A3405" s="13" t="inlineStr">
        <is>
          <t>Wall of Lost Thoughts / Barreira dos Pensamentos Perdidos</t>
        </is>
      </c>
      <c r="B3405" s="13" t="inlineStr">
        <is>
          <t>Creature — Wall / Criatura — Barreira</t>
        </is>
      </c>
      <c r="C3405" s="13" t="inlineStr">
        <is>
          <t>Uncommon / Incomum</t>
        </is>
      </c>
      <c r="D3405" s="13"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3405" s="13" t="inlineStr">
        <is>
          <t>{1}{U}</t>
        </is>
      </c>
      <c r="F3405" s="13" t="inlineStr">
        <is>
          <t>Azul</t>
        </is>
      </c>
      <c r="G3405" s="8" t="n">
        <v>0.13</v>
      </c>
      <c r="H3405" s="13" t="inlineStr">
        <is>
          <t>Ravnica Allegiance (RNA)</t>
        </is>
      </c>
      <c r="I3405" s="13" t="inlineStr">
        <is>
          <t>Não</t>
        </is>
      </c>
      <c r="J3405" s="13" t="n">
        <v>2019</v>
      </c>
      <c r="K3405" s="13" t="inlineStr">
        <is>
          <t>0/4</t>
        </is>
      </c>
      <c r="L3405" s="13" t="n">
        <v>1</v>
      </c>
      <c r="M3405" s="8">
        <f>L3405*G3405</f>
        <v/>
      </c>
      <c r="P3405" s="9" t="n"/>
    </row>
    <row r="3406">
      <c r="A3406" s="13" t="inlineStr">
        <is>
          <t>Wall of Opposition</t>
        </is>
      </c>
      <c r="B3406" s="13" t="inlineStr">
        <is>
          <t>Creature — Wall</t>
        </is>
      </c>
      <c r="C3406" s="13" t="inlineStr">
        <is>
          <t>Rare / Rara</t>
        </is>
      </c>
      <c r="D3406" s="13" t="inlineStr">
        <is>
          <t>Defender (This creature can't attack.) {1}: This creature gets +1/+0 until end of turn.</t>
        </is>
      </c>
      <c r="E3406" s="13" t="inlineStr">
        <is>
          <t>{3}{R}{R}</t>
        </is>
      </c>
      <c r="F3406" s="13" t="inlineStr">
        <is>
          <t>Vermelho</t>
        </is>
      </c>
      <c r="G3406" s="8" t="n">
        <v>0.21</v>
      </c>
      <c r="H3406" s="13" t="inlineStr">
        <is>
          <t>Chronicles</t>
        </is>
      </c>
      <c r="I3406" s="13" t="inlineStr">
        <is>
          <t>Não</t>
        </is>
      </c>
      <c r="J3406" s="13" t="n">
        <v>1995</v>
      </c>
      <c r="K3406" s="13" t="inlineStr">
        <is>
          <t>0/6</t>
        </is>
      </c>
      <c r="L3406" s="13" t="n">
        <v>1</v>
      </c>
      <c r="M3406" s="8">
        <f>L3406*G3406</f>
        <v/>
      </c>
      <c r="P3406" s="9" t="n"/>
    </row>
    <row r="3407">
      <c r="A3407" s="13" t="inlineStr">
        <is>
          <t>Wall of Shadows</t>
        </is>
      </c>
      <c r="B3407" s="13" t="inlineStr">
        <is>
          <t>Creature — Wall</t>
        </is>
      </c>
      <c r="C3407" s="13" t="inlineStr">
        <is>
          <t>Common / Comum</t>
        </is>
      </c>
      <c r="D3407" s="13" t="inlineStr">
        <is>
          <t>Defender (This creature can't attack.) Prevent all damage that would be dealt to this creature by creatures it's blocking. This creature can't be the target of spells that can target only Walls or of abilities that can target only Walls.</t>
        </is>
      </c>
      <c r="E3407" s="13" t="inlineStr">
        <is>
          <t>{1}{B}{B}</t>
        </is>
      </c>
      <c r="F3407" s="13" t="inlineStr">
        <is>
          <t>Preto</t>
        </is>
      </c>
      <c r="G3407" s="8" t="n">
        <v>0.15</v>
      </c>
      <c r="H3407" s="13" t="inlineStr">
        <is>
          <t>Chronicies</t>
        </is>
      </c>
      <c r="I3407" s="13" t="inlineStr">
        <is>
          <t>Não</t>
        </is>
      </c>
      <c r="J3407" s="13" t="n">
        <v>1995</v>
      </c>
      <c r="K3407" s="13" t="inlineStr">
        <is>
          <t>0/1</t>
        </is>
      </c>
      <c r="L3407" s="13" t="n">
        <v>2</v>
      </c>
      <c r="M3407" s="8">
        <f>L3407*G3407</f>
        <v/>
      </c>
      <c r="P3407" s="9" t="n"/>
    </row>
    <row r="3408">
      <c r="A3408" s="13" t="inlineStr">
        <is>
          <t>Wall of Spears / Barreira de Lanças</t>
        </is>
      </c>
      <c r="B3408" s="13" t="inlineStr">
        <is>
          <t>Artifact Creature — Wall / Criatura Artefato — Barreira</t>
        </is>
      </c>
      <c r="C3408" s="13" t="inlineStr">
        <is>
          <t>Uncommon / Incomum</t>
        </is>
      </c>
      <c r="D3408" s="13" t="inlineStr">
        <is>
          <t>Defender (This creature can't attack.) First strike / (As Barreiras não podem atacar.) Iniciativa (Esta criatura causa dano de combate antes de criaturas sem a habilidade de iniciativa.)</t>
        </is>
      </c>
      <c r="E3408" s="13" t="inlineStr">
        <is>
          <t>{3}</t>
        </is>
      </c>
      <c r="F3408" s="13" t="inlineStr">
        <is>
          <t>Incolor</t>
        </is>
      </c>
      <c r="G3408" s="8" t="n">
        <v>0.09</v>
      </c>
      <c r="H3408" s="13" t="inlineStr">
        <is>
          <t>Fourth Edition</t>
        </is>
      </c>
      <c r="I3408" s="13" t="inlineStr">
        <is>
          <t>Não</t>
        </is>
      </c>
      <c r="J3408" s="13" t="n">
        <v>1995</v>
      </c>
      <c r="K3408" s="10" t="n">
        <v>46083</v>
      </c>
      <c r="L3408" s="13" t="n">
        <v>5</v>
      </c>
      <c r="M3408" s="8">
        <f>L3408*G3408</f>
        <v/>
      </c>
      <c r="P3408" s="9" t="n"/>
    </row>
    <row r="3409">
      <c r="A3409" s="13" t="inlineStr">
        <is>
          <t>Wall of Spears / Barreira de Lanças</t>
        </is>
      </c>
      <c r="B3409" s="13" t="inlineStr">
        <is>
          <t>Artifact Creature — Wall / Criatura Artefato — Barreira</t>
        </is>
      </c>
      <c r="C3409" s="13" t="inlineStr">
        <is>
          <t>Uncommon / Incomum</t>
        </is>
      </c>
      <c r="D3409" s="13" t="inlineStr">
        <is>
          <t>Defender (This creature can't attack.) First strike / (As Barreiras não podem atacar.) Iniciativa (Esta criatura causa dano de combate antes de criaturas sem a habilidade de iniciativa.)</t>
        </is>
      </c>
      <c r="E3409" s="13" t="inlineStr">
        <is>
          <t>{3}</t>
        </is>
      </c>
      <c r="F3409" s="13" t="inlineStr">
        <is>
          <t>Incolor</t>
        </is>
      </c>
      <c r="G3409" s="8" t="n">
        <v>0.15</v>
      </c>
      <c r="H3409" s="13" t="inlineStr">
        <is>
          <t>Fourth Edition (BB)</t>
        </is>
      </c>
      <c r="I3409" s="13" t="inlineStr">
        <is>
          <t>Não</t>
        </is>
      </c>
      <c r="J3409" s="13" t="n">
        <v>1995</v>
      </c>
      <c r="K3409" s="10" t="n">
        <v>46083</v>
      </c>
      <c r="L3409" s="13" t="n">
        <v>4</v>
      </c>
      <c r="M3409" s="8">
        <f>L3409*G3409</f>
        <v/>
      </c>
      <c r="P3409" s="9" t="n"/>
    </row>
    <row r="3410">
      <c r="A3410" s="13" t="inlineStr">
        <is>
          <t>Wall of Stone / Barreira de Pedra</t>
        </is>
      </c>
      <c r="B3410" s="13" t="inlineStr">
        <is>
          <t>Creature — Wall / Criatura — Barreira</t>
        </is>
      </c>
      <c r="C3410" s="13" t="inlineStr">
        <is>
          <t>Uncommon / Incomum</t>
        </is>
      </c>
      <c r="D3410" s="13" t="inlineStr">
        <is>
          <t>Defender (This creature can't attack.) / (As Barreiras não podem atacar.)</t>
        </is>
      </c>
      <c r="E3410" s="13" t="inlineStr">
        <is>
          <t>{1}{R}{R}</t>
        </is>
      </c>
      <c r="F3410" s="13" t="inlineStr">
        <is>
          <t>Vermelho</t>
        </is>
      </c>
      <c r="G3410" s="8" t="n">
        <v>0.09</v>
      </c>
      <c r="H3410" s="13" t="inlineStr">
        <is>
          <t xml:space="preserve">Fourth Edition </t>
        </is>
      </c>
      <c r="I3410" s="13" t="inlineStr">
        <is>
          <t>Não</t>
        </is>
      </c>
      <c r="J3410" s="13" t="n">
        <v>1995</v>
      </c>
      <c r="K3410" s="13" t="inlineStr">
        <is>
          <t>0/8</t>
        </is>
      </c>
      <c r="L3410" s="13" t="n">
        <v>1</v>
      </c>
      <c r="M3410" s="8">
        <f>L3410*G3410</f>
        <v/>
      </c>
      <c r="P3410" s="9" t="n"/>
    </row>
    <row r="3411">
      <c r="A3411" s="13" t="inlineStr">
        <is>
          <t>Walltop Sentries</t>
        </is>
      </c>
      <c r="B3411" s="13" t="inlineStr">
        <is>
          <t>Creature — Human Soldier Ally</t>
        </is>
      </c>
      <c r="C3411" s="13" t="inlineStr">
        <is>
          <t>Common / Comum</t>
        </is>
      </c>
      <c r="D3411" s="13" t="inlineStr">
        <is>
          <t>Reach, deathtouch When this creature dies, if there's a Lesson card in your graveyard, you gain 2 life.</t>
        </is>
      </c>
      <c r="E3411" s="13" t="inlineStr">
        <is>
          <t>{2}{G}</t>
        </is>
      </c>
      <c r="F3411" s="13" t="inlineStr">
        <is>
          <t>Verde</t>
        </is>
      </c>
      <c r="G3411" s="8" t="n">
        <v>0.04</v>
      </c>
      <c r="H3411" s="13" t="inlineStr">
        <is>
          <t>Avatar: The Last Airbender (TLA)</t>
        </is>
      </c>
      <c r="I3411" s="13" t="inlineStr">
        <is>
          <t>Não</t>
        </is>
      </c>
      <c r="J3411" s="13" t="n">
        <v>2025</v>
      </c>
      <c r="K3411" s="10" t="n">
        <v>46083</v>
      </c>
      <c r="L3411" s="13" t="n">
        <v>3</v>
      </c>
      <c r="M3411" s="8">
        <f>L3411*G3411</f>
        <v/>
      </c>
      <c r="P3411" s="9" t="n"/>
    </row>
    <row r="3412">
      <c r="A3412" s="13" t="inlineStr">
        <is>
          <t>Wander Off / Desviar-se</t>
        </is>
      </c>
      <c r="B3412" s="13" t="inlineStr">
        <is>
          <t>Instant / Instantânea</t>
        </is>
      </c>
      <c r="C3412" s="13" t="inlineStr">
        <is>
          <t>Common / Comum</t>
        </is>
      </c>
      <c r="D3412" s="13" t="inlineStr">
        <is>
          <t>Exile target creature. / Exile a criatura alvo.</t>
        </is>
      </c>
      <c r="E3412" s="13" t="inlineStr">
        <is>
          <t>{3}{B}</t>
        </is>
      </c>
      <c r="F3412" s="13" t="inlineStr">
        <is>
          <t>Preto</t>
        </is>
      </c>
      <c r="G3412" s="8" t="n">
        <v>0.09</v>
      </c>
      <c r="H3412" s="13" t="inlineStr">
        <is>
          <t>Shadows of Sothia (SOS)</t>
        </is>
      </c>
      <c r="I3412" s="13" t="inlineStr">
        <is>
          <t>No</t>
        </is>
      </c>
      <c r="J3412" s="13" t="n">
        <v>2026</v>
      </c>
      <c r="L3412" s="13" t="n">
        <v>2</v>
      </c>
      <c r="M3412" s="8">
        <f>L3412*G3412</f>
        <v/>
      </c>
      <c r="P3412" s="9" t="n"/>
    </row>
    <row r="3413">
      <c r="A3413" s="13" t="inlineStr">
        <is>
          <t>Wanderbrine Preacher</t>
        </is>
      </c>
      <c r="B3413" s="13" t="inlineStr">
        <is>
          <t>Creature — Merfolk Cleric</t>
        </is>
      </c>
      <c r="C3413" s="13" t="inlineStr">
        <is>
          <t>Common</t>
        </is>
      </c>
      <c r="D3413" s="13" t="inlineStr">
        <is>
          <t>Whenever this creature becomes tapped, you gain 2 life.</t>
        </is>
      </c>
      <c r="E3413" s="13" t="inlineStr">
        <is>
          <t>{1}{W}</t>
        </is>
      </c>
      <c r="F3413" s="13" t="inlineStr">
        <is>
          <t>White</t>
        </is>
      </c>
      <c r="G3413" s="8" t="n">
        <v>0.09</v>
      </c>
      <c r="H3413" s="13" t="inlineStr">
        <is>
          <t>Lorwyn Eclipsed (ECL)</t>
        </is>
      </c>
      <c r="I3413" s="13" t="inlineStr">
        <is>
          <t>No</t>
        </is>
      </c>
      <c r="J3413" s="13" t="n">
        <v>2026</v>
      </c>
      <c r="K3413" s="10" t="n">
        <v>46055</v>
      </c>
      <c r="L3413" s="13" t="n">
        <v>2</v>
      </c>
      <c r="M3413" s="8">
        <f>L3413*G3413</f>
        <v/>
      </c>
      <c r="P3413" s="9" t="n"/>
    </row>
    <row r="3414">
      <c r="A3414" s="13" t="inlineStr">
        <is>
          <t>Wanderbrine Rootcutters / Corta-Raízes de Salmorerrante</t>
        </is>
      </c>
      <c r="B3414" s="13" t="inlineStr">
        <is>
          <t>Creature — Merfolk Rogue / Criatura — Tritão Ladino</t>
        </is>
      </c>
      <c r="C3414" s="13" t="inlineStr">
        <is>
          <t>Common / Comum</t>
        </is>
      </c>
      <c r="D3414" s="13" t="inlineStr">
        <is>
          <t>This creature can't be blocked by green creatures. / Corta-Raízes de Salmorerrante não pode ser bloqueado por criaturas verdes.</t>
        </is>
      </c>
      <c r="E3414" s="13" t="inlineStr">
        <is>
          <t>{2}{U/B}{U/B}</t>
        </is>
      </c>
      <c r="F3414" s="13" t="inlineStr">
        <is>
          <t>Preto, Azul</t>
        </is>
      </c>
      <c r="G3414" s="8" t="n">
        <v>0.05</v>
      </c>
      <c r="H3414" s="13" t="inlineStr">
        <is>
          <t>Shadowmoor (SHM)</t>
        </is>
      </c>
      <c r="I3414" s="13" t="inlineStr">
        <is>
          <t>Não</t>
        </is>
      </c>
      <c r="J3414" s="13" t="n">
        <v>2008</v>
      </c>
      <c r="K3414" s="10" t="n">
        <v>46084</v>
      </c>
      <c r="L3414" s="13" t="n">
        <v>1</v>
      </c>
      <c r="M3414" s="8">
        <f>L3414*G3414</f>
        <v/>
      </c>
      <c r="P3414" s="9" t="n"/>
    </row>
    <row r="3415">
      <c r="A3415" s="13" t="inlineStr">
        <is>
          <t>Wanderer's Intervention / Intervenção da Errante</t>
        </is>
      </c>
      <c r="B3415" s="13" t="inlineStr">
        <is>
          <t>Instant / Mágica Instantânea</t>
        </is>
      </c>
      <c r="C3415" s="13" t="inlineStr">
        <is>
          <t>Common / Comum</t>
        </is>
      </c>
      <c r="D3415" s="13" t="inlineStr">
        <is>
          <t>Wanderer's Intervention deals 4 damage to target attacking or blocking creature. / Intervenção da Errante causa 4 pontos de dano à criatura atacante ou bloqueadora alvo.</t>
        </is>
      </c>
      <c r="E3415" s="13" t="inlineStr">
        <is>
          <t>{1}{W}</t>
        </is>
      </c>
      <c r="F3415" s="13" t="inlineStr">
        <is>
          <t>Branco</t>
        </is>
      </c>
      <c r="G3415" s="8" t="n">
        <v>0.1</v>
      </c>
      <c r="H3415" s="13" t="inlineStr">
        <is>
          <t>Kamigawa: Neon Dynasty (NEO)</t>
        </is>
      </c>
      <c r="I3415" s="13" t="inlineStr">
        <is>
          <t>Não</t>
        </is>
      </c>
      <c r="J3415" s="13" t="n">
        <v>2022</v>
      </c>
      <c r="L3415" s="13" t="n">
        <v>1</v>
      </c>
      <c r="M3415" s="8">
        <f>L3415*G3415</f>
        <v/>
      </c>
      <c r="P3415" s="9" t="n"/>
    </row>
    <row r="3416">
      <c r="A3416" s="13" t="inlineStr">
        <is>
          <t>Wandering Mind / Mente Vagante</t>
        </is>
      </c>
      <c r="B3416" s="13" t="inlineStr">
        <is>
          <t>Creature — Horror / Criatura — Horror</t>
        </is>
      </c>
      <c r="C3416" s="13" t="inlineStr">
        <is>
          <t>Uncommon / Incomum</t>
        </is>
      </c>
      <c r="D3416" s="13"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3416" s="13" t="inlineStr">
        <is>
          <t>{1}{U}{R}</t>
        </is>
      </c>
      <c r="F3416" s="13" t="inlineStr">
        <is>
          <t>Vermelho, Azul</t>
        </is>
      </c>
      <c r="G3416" s="8" t="n">
        <v>0.1</v>
      </c>
      <c r="H3416" s="13" t="inlineStr">
        <is>
          <t>Innistrad: Crimson Vow (VOW)</t>
        </is>
      </c>
      <c r="I3416" s="13" t="inlineStr">
        <is>
          <t>Não</t>
        </is>
      </c>
      <c r="J3416" s="13" t="n">
        <v>2021</v>
      </c>
      <c r="K3416" s="10" t="n">
        <v>46024</v>
      </c>
      <c r="L3416" s="13" t="n">
        <v>1</v>
      </c>
      <c r="M3416" s="8">
        <f>L3416*G3416</f>
        <v/>
      </c>
      <c r="P3416" s="9" t="n"/>
    </row>
    <row r="3417">
      <c r="A3417" s="13" t="inlineStr">
        <is>
          <t>Wandering Musicians</t>
        </is>
      </c>
      <c r="B3417" s="13" t="inlineStr">
        <is>
          <t>Creature — Human Bard Ally</t>
        </is>
      </c>
      <c r="C3417" s="13" t="inlineStr">
        <is>
          <t>Common / Comum</t>
        </is>
      </c>
      <c r="D3417" s="13" t="inlineStr">
        <is>
          <t>Whenever this creature attacks, creatures you control get +1/+0 until end of turn.</t>
        </is>
      </c>
      <c r="E3417" s="13" t="inlineStr">
        <is>
          <t>{3}{R/W}</t>
        </is>
      </c>
      <c r="F3417" s="13" t="inlineStr">
        <is>
          <t>Vermelho, Branco</t>
        </is>
      </c>
      <c r="G3417" s="8" t="n">
        <v>0.06</v>
      </c>
      <c r="H3417" s="13" t="inlineStr">
        <is>
          <t>Avatar: The Last Airbender (TLA)</t>
        </is>
      </c>
      <c r="I3417" s="13" t="inlineStr">
        <is>
          <t>Não</t>
        </is>
      </c>
      <c r="J3417" s="13" t="n">
        <v>2025</v>
      </c>
      <c r="K3417" s="10" t="n">
        <v>46144</v>
      </c>
      <c r="L3417" s="13" t="n">
        <v>1</v>
      </c>
      <c r="M3417" s="8">
        <f>L3417*G3417</f>
        <v/>
      </c>
      <c r="P3417" s="9" t="n"/>
    </row>
    <row r="3418">
      <c r="A3418" s="13" t="inlineStr">
        <is>
          <t>Wanderlight Spirit / Espírito da Luz Vagante</t>
        </is>
      </c>
      <c r="B3418" s="13" t="inlineStr">
        <is>
          <t>Creature — Spirit / Criatura — Espírito</t>
        </is>
      </c>
      <c r="C3418" s="13" t="inlineStr">
        <is>
          <t>Common / Comum</t>
        </is>
      </c>
      <c r="D3418" s="13" t="inlineStr">
        <is>
          <t>Flying This creature can block only creatures with flying. / Voar Espírito da Luz Vagante só pode bloquear criaturas com voar.</t>
        </is>
      </c>
      <c r="E3418" s="13" t="inlineStr">
        <is>
          <t>{2}{U}</t>
        </is>
      </c>
      <c r="F3418" s="13" t="inlineStr">
        <is>
          <t>Azul</t>
        </is>
      </c>
      <c r="G3418" s="8" t="n">
        <v>0.06</v>
      </c>
      <c r="H3418" s="13" t="inlineStr">
        <is>
          <t>Innistrad: Crimson Vow (VOW)</t>
        </is>
      </c>
      <c r="I3418" s="13" t="inlineStr">
        <is>
          <t>Não</t>
        </is>
      </c>
      <c r="J3418" s="13" t="n">
        <v>2021</v>
      </c>
      <c r="K3418" s="10" t="n">
        <v>46083</v>
      </c>
      <c r="L3418" s="13" t="n">
        <v>1</v>
      </c>
      <c r="M3418" s="8">
        <f>L3418*G3418</f>
        <v/>
      </c>
      <c r="P3418" s="9" t="n"/>
    </row>
    <row r="3419">
      <c r="A3419" s="13" t="inlineStr">
        <is>
          <t>War Balloon</t>
        </is>
      </c>
      <c r="B3419" s="13" t="inlineStr">
        <is>
          <t>Artifact — Vehicle</t>
        </is>
      </c>
      <c r="C3419" s="13" t="inlineStr">
        <is>
          <t>Uncommon / Incomum</t>
        </is>
      </c>
      <c r="D3419" s="13"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3419" s="13" t="inlineStr">
        <is>
          <t>{2}{R}</t>
        </is>
      </c>
      <c r="F3419" s="13" t="inlineStr">
        <is>
          <t>Vermelho</t>
        </is>
      </c>
      <c r="G3419" s="8" t="n">
        <v>0.1</v>
      </c>
      <c r="H3419" s="13" t="inlineStr">
        <is>
          <t>Avatar: The Last Airbender (TLA)</t>
        </is>
      </c>
      <c r="I3419" s="13" t="inlineStr">
        <is>
          <t>Não</t>
        </is>
      </c>
      <c r="J3419" s="13" t="n">
        <v>2025</v>
      </c>
      <c r="K3419" s="10" t="n">
        <v>46085</v>
      </c>
      <c r="L3419" s="13" t="n">
        <v>1</v>
      </c>
      <c r="M3419" s="8">
        <f>L3419*G3419</f>
        <v/>
      </c>
      <c r="P3419" s="9" t="n"/>
    </row>
    <row r="3420">
      <c r="A3420" s="13" t="inlineStr">
        <is>
          <t>War Chariot</t>
        </is>
      </c>
      <c r="B3420" s="13" t="inlineStr">
        <is>
          <t>Artefato / Artifact</t>
        </is>
      </c>
      <c r="C3420" s="13" t="inlineStr">
        <is>
          <t>Comum / Common</t>
        </is>
      </c>
      <c r="D3420" s="13" t="inlineStr">
        <is>
          <t>{3}, {T}: Target creature gains trample until end of turn.</t>
        </is>
      </c>
      <c r="E3420" s="13" t="inlineStr">
        <is>
          <t>{3}</t>
        </is>
      </c>
      <c r="F3420" s="13" t="inlineStr">
        <is>
          <t>Incolor / Colorless</t>
        </is>
      </c>
      <c r="G3420" s="8" t="n">
        <v>0.17</v>
      </c>
      <c r="H3420" s="13" t="inlineStr">
        <is>
          <t>Ice Age (ICE)</t>
        </is>
      </c>
      <c r="I3420" s="13" t="inlineStr">
        <is>
          <t>Não</t>
        </is>
      </c>
      <c r="J3420" s="13" t="n">
        <v>1995</v>
      </c>
      <c r="L3420" s="13" t="n">
        <v>1</v>
      </c>
      <c r="M3420" s="8">
        <f>L3420*G3420</f>
        <v/>
      </c>
      <c r="P3420" s="9" t="n"/>
    </row>
    <row r="3421">
      <c r="A3421" s="13" t="inlineStr">
        <is>
          <t>War Elephant / Elefante de Guerra</t>
        </is>
      </c>
      <c r="B3421" s="13" t="inlineStr">
        <is>
          <t>Summon Elephant</t>
        </is>
      </c>
      <c r="C3421" s="13" t="inlineStr">
        <is>
          <t>Common</t>
        </is>
      </c>
      <c r="D3421" s="13" t="inlineStr">
        <is>
          <t>Banding, trample</t>
        </is>
      </c>
      <c r="E3421" s="13" t="inlineStr">
        <is>
          <t>{3}{W}</t>
        </is>
      </c>
      <c r="F3421" s="13" t="inlineStr">
        <is>
          <t>White</t>
        </is>
      </c>
      <c r="G3421" s="8" t="n">
        <v>0.07000000000000001</v>
      </c>
      <c r="H3421" s="13" t="inlineStr">
        <is>
          <t>Arabian Nights (ARN)</t>
        </is>
      </c>
      <c r="I3421" s="13" t="inlineStr">
        <is>
          <t>No</t>
        </is>
      </c>
      <c r="J3421" s="13" t="n">
        <v>1995</v>
      </c>
      <c r="K3421" s="10" t="n">
        <v>46055</v>
      </c>
      <c r="L3421" s="13" t="n">
        <v>5</v>
      </c>
      <c r="M3421" s="8">
        <f>L3421*G3421</f>
        <v/>
      </c>
      <c r="P3421" s="9" t="n"/>
    </row>
    <row r="3422">
      <c r="A3422" s="13" t="inlineStr">
        <is>
          <t>War Machine, Legacy of Iron / Máquina de Combate, Legado de Ferro</t>
        </is>
      </c>
      <c r="B3422" s="13" t="inlineStr">
        <is>
          <t>Criatura Artefato Lendária — Humano Herói</t>
        </is>
      </c>
      <c r="C3422" s="13" t="inlineStr">
        <is>
          <t>Incomum</t>
        </is>
      </c>
      <c r="D3422" s="13" t="inlineStr">
        <is>
          <t>Voar. No início do combate no seu turno, outra criatura alvo que você controla recebe +X/+0 até o final do turno, onde X é o poder de Máquina de Combate.</t>
        </is>
      </c>
      <c r="E3422" s="13" t="inlineStr">
        <is>
          <t>2{R/W}</t>
        </is>
      </c>
      <c r="F3422" s="13" t="inlineStr">
        <is>
          <t>Multicolorido</t>
        </is>
      </c>
      <c r="G3422" s="8" t="n">
        <v>0.44</v>
      </c>
      <c r="H3422" s="13" t="inlineStr">
        <is>
          <t>Marvel</t>
        </is>
      </c>
      <c r="I3422" s="13" t="inlineStr">
        <is>
          <t>Não</t>
        </is>
      </c>
      <c r="J3422" s="13" t="n">
        <v>2026</v>
      </c>
      <c r="K3422" s="10" t="n">
        <v>46082</v>
      </c>
      <c r="L3422" s="13" t="n">
        <v>1</v>
      </c>
      <c r="M3422" s="8">
        <f>L3422*G3422</f>
        <v/>
      </c>
      <c r="P3422" s="9" t="n"/>
    </row>
    <row r="3423">
      <c r="A3423" s="13" t="inlineStr">
        <is>
          <t>War Squeak</t>
        </is>
      </c>
      <c r="B3423" s="13" t="inlineStr">
        <is>
          <t>Enchantment — Aura</t>
        </is>
      </c>
      <c r="C3423" s="13" t="inlineStr">
        <is>
          <t>Common / Comum</t>
        </is>
      </c>
      <c r="D3423" s="13" t="inlineStr">
        <is>
          <t>Enchant creature When this Aura enters, target creature an opponent controls can't block this turn. Enchanted creature gets +1/+1 and has haste.</t>
        </is>
      </c>
      <c r="E3423" s="13" t="inlineStr">
        <is>
          <t>{R}</t>
        </is>
      </c>
      <c r="F3423" s="13" t="inlineStr">
        <is>
          <t>Vermelho</t>
        </is>
      </c>
      <c r="G3423" s="8" t="n">
        <v>0.07000000000000001</v>
      </c>
      <c r="H3423" s="13" t="inlineStr">
        <is>
          <t>Bloomburrow (BLB)</t>
        </is>
      </c>
      <c r="I3423" s="13" t="inlineStr">
        <is>
          <t>Não</t>
        </is>
      </c>
      <c r="J3423" s="13" t="n">
        <v>2024</v>
      </c>
      <c r="L3423" s="13" t="n">
        <v>1</v>
      </c>
      <c r="M3423" s="8">
        <f>L3423*G3423</f>
        <v/>
      </c>
      <c r="P3423" s="9" t="n"/>
    </row>
    <row r="3424">
      <c r="A3424" s="13" t="inlineStr">
        <is>
          <t>War-Name Aspirant / Aspirante a Nome de Guerra</t>
        </is>
      </c>
      <c r="B3424" s="13" t="inlineStr">
        <is>
          <t>Creature — Human Warrior / Criatura — Humano Guerreiro</t>
        </is>
      </c>
      <c r="C3424" s="13" t="inlineStr">
        <is>
          <t>Uncommon / Incomum</t>
        </is>
      </c>
      <c r="D3424" s="13"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3424" s="13" t="inlineStr">
        <is>
          <t>{1}{R}</t>
        </is>
      </c>
      <c r="F3424" s="13" t="inlineStr">
        <is>
          <t>Vermelho</t>
        </is>
      </c>
      <c r="G3424" s="8" t="n">
        <v>0.08</v>
      </c>
      <c r="H3424" s="13" t="inlineStr">
        <is>
          <t>Khans of Tarkir (KTK)</t>
        </is>
      </c>
      <c r="I3424" s="13" t="inlineStr">
        <is>
          <t>Não</t>
        </is>
      </c>
      <c r="J3424" s="13" t="n">
        <v>2014</v>
      </c>
      <c r="K3424" s="10" t="n">
        <v>46024</v>
      </c>
      <c r="L3424" s="13" t="n">
        <v>1</v>
      </c>
      <c r="M3424" s="8">
        <f>L3424*G3424</f>
        <v/>
      </c>
      <c r="P3424" s="9" t="n"/>
    </row>
    <row r="3425">
      <c r="A3425" s="13" t="inlineStr">
        <is>
          <t>War-Wing Siren / Sirena Asa-de-guerra</t>
        </is>
      </c>
      <c r="B3425" s="13" t="inlineStr">
        <is>
          <t>Criatura — Sirena Soldado</t>
        </is>
      </c>
      <c r="C3425" s="13" t="inlineStr">
        <is>
          <t>Comum</t>
        </is>
      </c>
      <c r="D3425" s="13" t="inlineStr">
        <is>
          <t>Voar Heroico — Toda vez que você conjura uma mágica cujo alvo seja Sirena Asa-de-guerra, coloque um marcador +1/+1 em Sirena Asa-de-guerra.</t>
        </is>
      </c>
      <c r="E3425" s="13" t="inlineStr">
        <is>
          <t>2U</t>
        </is>
      </c>
      <c r="F3425" s="13" t="inlineStr">
        <is>
          <t>Azul</t>
        </is>
      </c>
      <c r="G3425" s="8" t="n">
        <v>0.03</v>
      </c>
      <c r="H3425" s="13" t="inlineStr">
        <is>
          <t>Journey into Nyx</t>
        </is>
      </c>
      <c r="I3425" s="13" t="inlineStr">
        <is>
          <t>Não</t>
        </is>
      </c>
      <c r="J3425" s="13" t="n">
        <v>2014</v>
      </c>
      <c r="K3425" s="10" t="n">
        <v>46082</v>
      </c>
      <c r="L3425" s="13" t="n">
        <v>2</v>
      </c>
      <c r="M3425" s="8">
        <f>L3425*G3425</f>
        <v/>
      </c>
      <c r="P3425" s="9" t="n"/>
    </row>
    <row r="3426">
      <c r="A3426" s="13" t="inlineStr">
        <is>
          <t>Warbreak Trumpeter / Trombeteiro Irrompe-Guerra</t>
        </is>
      </c>
      <c r="B3426" s="13" t="inlineStr">
        <is>
          <t>Creature — Goblin / Criatura — Goblin</t>
        </is>
      </c>
      <c r="C3426" s="13" t="inlineStr">
        <is>
          <t>Uncommon / Incomum</t>
        </is>
      </c>
      <c r="D3426" s="13"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3426" s="13" t="inlineStr">
        <is>
          <t>{R}</t>
        </is>
      </c>
      <c r="F3426" s="13" t="inlineStr">
        <is>
          <t>Vermelho</t>
        </is>
      </c>
      <c r="G3426" s="8" t="n">
        <v>0.18</v>
      </c>
      <c r="H3426" s="13" t="inlineStr">
        <is>
          <t>Legions (LGN)</t>
        </is>
      </c>
      <c r="I3426" s="13" t="inlineStr">
        <is>
          <t>Não</t>
        </is>
      </c>
      <c r="J3426" s="13" t="n">
        <v>2003</v>
      </c>
      <c r="K3426" s="10" t="n">
        <v>46023</v>
      </c>
      <c r="L3426" s="13" t="n">
        <v>1</v>
      </c>
      <c r="M3426" s="8">
        <f>L3426*G3426</f>
        <v/>
      </c>
      <c r="P3426" s="9" t="n"/>
    </row>
    <row r="3427">
      <c r="A3427" s="13" t="inlineStr">
        <is>
          <t>Warclamp Mastiff / Mastim Torno-de-Guerra</t>
        </is>
      </c>
      <c r="B3427" s="13" t="inlineStr">
        <is>
          <t>Creature — Dog / Criatura — Sabujo</t>
        </is>
      </c>
      <c r="C3427" s="13" t="inlineStr">
        <is>
          <t>Common / Comum</t>
        </is>
      </c>
      <c r="D3427" s="13" t="inlineStr">
        <is>
          <t>First strike (This creature deals combat damage before creatures without first strike.) / Iniciativa (Esta criatura causa dano de combate antes das criaturas sem iniciativa.)</t>
        </is>
      </c>
      <c r="E3427" s="13" t="inlineStr">
        <is>
          <t>{W}</t>
        </is>
      </c>
      <c r="F3427" s="13" t="inlineStr">
        <is>
          <t>Branco</t>
        </is>
      </c>
      <c r="G3427" s="8" t="n">
        <v>0.05</v>
      </c>
      <c r="H3427" s="13" t="inlineStr">
        <is>
          <t>Magic 2013 (M13)</t>
        </is>
      </c>
      <c r="I3427" s="13" t="inlineStr">
        <is>
          <t>Não</t>
        </is>
      </c>
      <c r="J3427" s="13" t="n">
        <v>2012</v>
      </c>
      <c r="K3427" s="10" t="n">
        <v>46023</v>
      </c>
      <c r="L3427" s="13" t="n">
        <v>1</v>
      </c>
      <c r="M3427" s="8">
        <f>L3427*G3427</f>
        <v/>
      </c>
      <c r="P3427" s="9" t="n"/>
    </row>
    <row r="3428">
      <c r="A3428" s="13" t="inlineStr">
        <is>
          <t>Warehouse Thief / Ladrão de Armazéns</t>
        </is>
      </c>
      <c r="B3428" s="13" t="inlineStr">
        <is>
          <t>Creature — Tiefling Rogue / Criatura — Tiferino Ladino</t>
        </is>
      </c>
      <c r="C3428" s="13" t="inlineStr">
        <is>
          <t>Common / Comum</t>
        </is>
      </c>
      <c r="D3428" s="13"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3428" s="13" t="inlineStr">
        <is>
          <t>{3}{R}</t>
        </is>
      </c>
      <c r="F3428" s="13" t="inlineStr">
        <is>
          <t>Vermelho</t>
        </is>
      </c>
      <c r="G3428" s="8" t="n">
        <v>0.06</v>
      </c>
      <c r="H3428" s="13" t="inlineStr">
        <is>
          <t>Commander Legends: Battle for Baldur's Gate (CLB)</t>
        </is>
      </c>
      <c r="I3428" s="13" t="inlineStr">
        <is>
          <t>Não</t>
        </is>
      </c>
      <c r="J3428" s="13" t="n">
        <v>2022</v>
      </c>
      <c r="K3428" s="10" t="n">
        <v>46057</v>
      </c>
      <c r="L3428" s="13" t="n">
        <v>1</v>
      </c>
      <c r="M3428" s="8">
        <f>L3428*G3428</f>
        <v/>
      </c>
      <c r="P3428" s="9" t="n"/>
    </row>
    <row r="3429">
      <c r="A3429" s="13" t="inlineStr">
        <is>
          <t>Warlord's Fury / Fúria da Senhora da Guerra</t>
        </is>
      </c>
      <c r="B3429" s="13" t="inlineStr">
        <is>
          <t>Sorcery / Feitiço</t>
        </is>
      </c>
      <c r="C3429" s="13" t="inlineStr">
        <is>
          <t>Common / Comum</t>
        </is>
      </c>
      <c r="D3429" s="13" t="inlineStr">
        <is>
          <t>Creatures you control gain first strike until end of turn. Draw a card. / As criaturas que você controla ganham iniciativa até o final do turno. Compre um card.</t>
        </is>
      </c>
      <c r="E3429" s="13" t="inlineStr">
        <is>
          <t>{R}</t>
        </is>
      </c>
      <c r="F3429" s="13" t="inlineStr">
        <is>
          <t>Vermelho</t>
        </is>
      </c>
      <c r="G3429" s="8" t="n">
        <v>0.1</v>
      </c>
      <c r="H3429" s="13" t="inlineStr">
        <is>
          <t>Dominaria (DOM)</t>
        </is>
      </c>
      <c r="I3429" s="13" t="inlineStr">
        <is>
          <t>Não</t>
        </is>
      </c>
      <c r="J3429" s="13" t="n">
        <v>2018</v>
      </c>
      <c r="L3429" s="13" t="n">
        <v>4</v>
      </c>
      <c r="M3429" s="8">
        <f>L3429*G3429</f>
        <v/>
      </c>
      <c r="P3429" s="9" t="n"/>
    </row>
    <row r="3430">
      <c r="A3430" s="13" t="inlineStr">
        <is>
          <t>Warp Artifact / Deformar Artefato</t>
        </is>
      </c>
      <c r="B3430" s="13" t="inlineStr">
        <is>
          <t>Enchantment — Aura</t>
        </is>
      </c>
      <c r="C3430" s="13" t="inlineStr">
        <is>
          <t>Rare / Rara</t>
        </is>
      </c>
      <c r="D3430" s="13" t="inlineStr">
        <is>
          <t>Enchant artifact At the beginning of the upkeep of enchanted artifact's controller, this Aura deals 1 damage to that player.</t>
        </is>
      </c>
      <c r="E3430" s="13" t="inlineStr">
        <is>
          <t>{B}{B}</t>
        </is>
      </c>
      <c r="F3430" s="13" t="inlineStr">
        <is>
          <t>Preto</t>
        </is>
      </c>
      <c r="G3430" s="8" t="n">
        <v>0.48</v>
      </c>
      <c r="H3430" s="13" t="inlineStr">
        <is>
          <t>Fourth Edition (4ED)</t>
        </is>
      </c>
      <c r="I3430" s="13" t="inlineStr">
        <is>
          <t>Não</t>
        </is>
      </c>
      <c r="J3430" s="13" t="n">
        <v>1995</v>
      </c>
      <c r="L3430" s="13" t="n">
        <v>4</v>
      </c>
      <c r="M3430" s="8">
        <f>L3430*G3430</f>
        <v/>
      </c>
      <c r="P3430" s="9" t="n"/>
    </row>
    <row r="3431">
      <c r="A3431" s="13" t="inlineStr">
        <is>
          <t>Warrant // Warden / Permissão // Proteção</t>
        </is>
      </c>
      <c r="B3431" s="13" t="inlineStr">
        <is>
          <t>Instant // Sorcery / Mágica Instantânea // Feitiço</t>
        </is>
      </c>
      <c r="C3431" s="13" t="inlineStr">
        <is>
          <t>Rare / Rara</t>
        </is>
      </c>
      <c r="D3431" s="13"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3431" s="13" t="inlineStr">
        <is>
          <t>{W/U}{W/U} // {3}{W}{U}</t>
        </is>
      </c>
      <c r="F3431" s="13" t="inlineStr">
        <is>
          <t>Azul, Branco</t>
        </is>
      </c>
      <c r="G3431" s="8" t="n">
        <v>0.2</v>
      </c>
      <c r="H3431" s="13" t="inlineStr">
        <is>
          <t>Ravnica Allegiance (RNA)</t>
        </is>
      </c>
      <c r="I3431" s="13" t="inlineStr">
        <is>
          <t>Não</t>
        </is>
      </c>
      <c r="J3431" s="13" t="n">
        <v>2019</v>
      </c>
      <c r="L3431" s="13" t="n">
        <v>1</v>
      </c>
      <c r="M3431" s="8">
        <f>L3431*G3431</f>
        <v/>
      </c>
      <c r="P3431" s="9" t="n"/>
    </row>
    <row r="3432">
      <c r="A3432" s="13" t="inlineStr">
        <is>
          <t>Warrior's Charge</t>
        </is>
      </c>
      <c r="B3432" s="13" t="inlineStr">
        <is>
          <t>Feitiço / Sorcery</t>
        </is>
      </c>
      <c r="C3432" s="13" t="inlineStr">
        <is>
          <t>Comum / Common</t>
        </is>
      </c>
      <c r="D3432" s="13" t="inlineStr">
        <is>
          <t>All your creatures get +1/+1 until the end of the turn.</t>
        </is>
      </c>
      <c r="E3432" s="13" t="inlineStr">
        <is>
          <t>{2}{W}</t>
        </is>
      </c>
      <c r="F3432" s="13" t="inlineStr">
        <is>
          <t>Branco</t>
        </is>
      </c>
      <c r="G3432" s="8" t="n">
        <v>0.49</v>
      </c>
      <c r="H3432" s="13" t="inlineStr">
        <is>
          <t>Weatherlight (WTH)</t>
        </is>
      </c>
      <c r="I3432" s="13" t="inlineStr">
        <is>
          <t>Não</t>
        </is>
      </c>
      <c r="J3432" s="13" t="n">
        <v>1997</v>
      </c>
      <c r="L3432" s="13" t="n">
        <v>1</v>
      </c>
      <c r="M3432" s="8">
        <f>L3432*G3432</f>
        <v/>
      </c>
      <c r="P3432" s="9" t="n"/>
    </row>
    <row r="3433">
      <c r="A3433" s="13" t="inlineStr">
        <is>
          <t>Warrior's Sword / Espada do Guerreiro</t>
        </is>
      </c>
      <c r="B3433" s="13" t="inlineStr">
        <is>
          <t>Artefato — Equipamento</t>
        </is>
      </c>
      <c r="C3433" s="13" t="inlineStr">
        <is>
          <t>Comum</t>
        </is>
      </c>
      <c r="D3433" s="13"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433" s="13" t="inlineStr">
        <is>
          <t>3R</t>
        </is>
      </c>
      <c r="F3433" s="13" t="inlineStr">
        <is>
          <t>Vermelho</t>
        </is>
      </c>
      <c r="G3433" s="8" t="n">
        <v>0.1</v>
      </c>
      <c r="H3433" s="13" t="inlineStr">
        <is>
          <t>Final Fantasy</t>
        </is>
      </c>
      <c r="I3433" s="13" t="inlineStr">
        <is>
          <t>Não</t>
        </is>
      </c>
      <c r="J3433" s="13" t="n">
        <v>2025</v>
      </c>
      <c r="L3433" s="13" t="n">
        <v>2</v>
      </c>
      <c r="M3433" s="8">
        <f>L3433*G3433</f>
        <v/>
      </c>
      <c r="P3433" s="9" t="n"/>
    </row>
    <row r="3434">
      <c r="A3434" s="13" t="inlineStr">
        <is>
          <t>Warrior's Sword / Espada do Guerreiro</t>
        </is>
      </c>
      <c r="B3434" s="13" t="inlineStr">
        <is>
          <t>Artefato — Equipamento</t>
        </is>
      </c>
      <c r="C3434" s="13" t="inlineStr">
        <is>
          <t>Comum</t>
        </is>
      </c>
      <c r="D3434" s="13"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434" s="13" t="inlineStr">
        <is>
          <t>3{R}</t>
        </is>
      </c>
      <c r="F3434" s="13" t="inlineStr">
        <is>
          <t>Vermelho</t>
        </is>
      </c>
      <c r="G3434" s="8" t="n">
        <v>0.1</v>
      </c>
      <c r="H3434" s="13" t="inlineStr">
        <is>
          <t>Final Fantasy</t>
        </is>
      </c>
      <c r="I3434" s="13" t="inlineStr">
        <is>
          <t>Não</t>
        </is>
      </c>
      <c r="J3434" s="13" t="n">
        <v>2025</v>
      </c>
      <c r="L3434" s="13" t="n">
        <v>2</v>
      </c>
      <c r="M3434" s="8">
        <f>L3434*G3434</f>
        <v/>
      </c>
      <c r="P3434" s="9" t="n"/>
    </row>
    <row r="3435">
      <c r="A3435" s="13" t="inlineStr">
        <is>
          <t>Wartime Protestors</t>
        </is>
      </c>
      <c r="B3435" s="13" t="inlineStr">
        <is>
          <t>Creature — Human Rebel Ally</t>
        </is>
      </c>
      <c r="C3435" s="13" t="inlineStr">
        <is>
          <t>Rare / Rara</t>
        </is>
      </c>
      <c r="D3435" s="13" t="inlineStr">
        <is>
          <t>Haste Whenever another Ally you control enters, put a +1/+1 counter on that creature and it gains haste until end of turn.</t>
        </is>
      </c>
      <c r="E3435" s="13" t="inlineStr">
        <is>
          <t>{3}{R}</t>
        </is>
      </c>
      <c r="F3435" s="13" t="inlineStr">
        <is>
          <t>Vermelho</t>
        </is>
      </c>
      <c r="G3435" s="8" t="n">
        <v>0.32</v>
      </c>
      <c r="H3435" s="13" t="inlineStr">
        <is>
          <t>Avatar: The Last Airbender (TLA)</t>
        </is>
      </c>
      <c r="I3435" s="13" t="inlineStr">
        <is>
          <t>Não</t>
        </is>
      </c>
      <c r="J3435" s="13" t="n">
        <v>2025</v>
      </c>
      <c r="K3435" s="10" t="n">
        <v>46116</v>
      </c>
      <c r="L3435" s="13" t="n">
        <v>1</v>
      </c>
      <c r="M3435" s="8">
        <f>L3435*G3435</f>
        <v/>
      </c>
      <c r="P3435" s="9" t="n"/>
    </row>
    <row r="3436">
      <c r="A3436" s="13" t="inlineStr">
        <is>
          <t>Wary Farmer</t>
        </is>
      </c>
      <c r="B3436" s="13" t="inlineStr">
        <is>
          <t>Creature — Kithkin Citizen</t>
        </is>
      </c>
      <c r="C3436" s="13" t="inlineStr">
        <is>
          <t>Common / Comum</t>
        </is>
      </c>
      <c r="D3436" s="13" t="inlineStr">
        <is>
          <t>At the beginning of your end step, if another creature entered the battlefield under your control this turn, surveil 1. (Look at the top card of your library. You may put it into your graveyard.)</t>
        </is>
      </c>
      <c r="E3436" s="13" t="inlineStr">
        <is>
          <t>{1}{G/W}{G/W}</t>
        </is>
      </c>
      <c r="F3436" s="13" t="inlineStr">
        <is>
          <t>Verde, Branco</t>
        </is>
      </c>
      <c r="G3436" s="8" t="n">
        <v>0.1</v>
      </c>
      <c r="H3436" s="13" t="inlineStr">
        <is>
          <t>Lorwyn Eclipsed (ECL)</t>
        </is>
      </c>
      <c r="I3436" s="13" t="inlineStr">
        <is>
          <t>Não</t>
        </is>
      </c>
      <c r="J3436" s="13" t="n">
        <v>2026</v>
      </c>
      <c r="K3436" s="10" t="n">
        <v>46084</v>
      </c>
      <c r="L3436" s="13" t="n">
        <v>1</v>
      </c>
      <c r="M3436" s="8">
        <f>L3436*G3436</f>
        <v/>
      </c>
      <c r="P3436" s="9" t="n"/>
    </row>
    <row r="3437">
      <c r="A3437" s="13" t="inlineStr">
        <is>
          <t>Wary Thespian / Ator Desconfiado</t>
        </is>
      </c>
      <c r="B3437" s="13" t="inlineStr">
        <is>
          <t>Creature — Cat Druid / Criatura — Felino Druida</t>
        </is>
      </c>
      <c r="C3437" s="13" t="inlineStr">
        <is>
          <t>Common / Comum</t>
        </is>
      </c>
      <c r="D3437" s="13"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3437" s="13" t="inlineStr">
        <is>
          <t>{1}{G}</t>
        </is>
      </c>
      <c r="F3437" s="13" t="inlineStr">
        <is>
          <t>Verde</t>
        </is>
      </c>
      <c r="G3437" s="8" t="n">
        <v>0.05</v>
      </c>
      <c r="H3437" s="13" t="inlineStr">
        <is>
          <t>Foundations (FDN)</t>
        </is>
      </c>
      <c r="I3437" s="13" t="inlineStr">
        <is>
          <t>Não</t>
        </is>
      </c>
      <c r="J3437" s="13" t="n">
        <v>2024</v>
      </c>
      <c r="K3437" s="10" t="n">
        <v>46025</v>
      </c>
      <c r="L3437" s="13" t="n">
        <v>1</v>
      </c>
      <c r="M3437" s="8">
        <f>L3437*G3437</f>
        <v/>
      </c>
      <c r="P3437" s="9" t="n"/>
    </row>
    <row r="3438">
      <c r="A3438" s="13" t="inlineStr">
        <is>
          <t>Wash Away / Lavar</t>
        </is>
      </c>
      <c r="B3438" s="13" t="inlineStr">
        <is>
          <t>Instant / Mágica Instantânea</t>
        </is>
      </c>
      <c r="C3438" s="13" t="inlineStr">
        <is>
          <t>Uncommon / Incomum</t>
        </is>
      </c>
      <c r="D3438" s="13"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3438" s="13" t="inlineStr">
        <is>
          <t>{U}</t>
        </is>
      </c>
      <c r="F3438" s="13" t="inlineStr">
        <is>
          <t>Azul</t>
        </is>
      </c>
      <c r="G3438" s="8" t="n">
        <v>7</v>
      </c>
      <c r="H3438" s="13" t="inlineStr">
        <is>
          <t>Innistrad: Crimson Vow (VOW)</t>
        </is>
      </c>
      <c r="I3438" s="13" t="inlineStr">
        <is>
          <t>Não</t>
        </is>
      </c>
      <c r="J3438" s="13" t="n">
        <v>2021</v>
      </c>
      <c r="L3438" s="13" t="n">
        <v>1</v>
      </c>
      <c r="M3438" s="8">
        <f>L3438*G3438</f>
        <v/>
      </c>
      <c r="N3438" s="13" t="inlineStr">
        <is>
          <t>Pasta</t>
        </is>
      </c>
      <c r="P3438" s="9" t="n"/>
    </row>
    <row r="3439">
      <c r="A3439" s="13" t="inlineStr">
        <is>
          <t>Wasp Lancer / Lanceiro de Vespa</t>
        </is>
      </c>
      <c r="B3439" s="13" t="inlineStr">
        <is>
          <t>Creature — Faerie Soldier / Criatura — Fada Soldado</t>
        </is>
      </c>
      <c r="C3439" s="13" t="inlineStr">
        <is>
          <t>Uncommon / Incomum</t>
        </is>
      </c>
      <c r="D3439" s="13" t="inlineStr">
        <is>
          <t>Flying / Voar</t>
        </is>
      </c>
      <c r="E3439" s="13" t="inlineStr">
        <is>
          <t>{U/B}{U/B}{U/B}</t>
        </is>
      </c>
      <c r="F3439" s="13" t="inlineStr">
        <is>
          <t>Preto, Azul</t>
        </is>
      </c>
      <c r="G3439" s="8" t="n">
        <v>0.15</v>
      </c>
      <c r="H3439" s="13" t="inlineStr">
        <is>
          <t>Shadowmoor (SHM)</t>
        </is>
      </c>
      <c r="I3439" s="13" t="inlineStr">
        <is>
          <t>Não</t>
        </is>
      </c>
      <c r="J3439" s="13" t="n">
        <v>2008</v>
      </c>
      <c r="K3439" s="10" t="n">
        <v>46056</v>
      </c>
      <c r="L3439" s="13" t="n">
        <v>1</v>
      </c>
      <c r="M3439" s="8">
        <f>L3439*G3439</f>
        <v/>
      </c>
      <c r="P3439" s="9" t="n"/>
    </row>
    <row r="3440">
      <c r="A3440" s="13" t="inlineStr">
        <is>
          <t>Wasteland Strangler / Estrangulador dos Ermos</t>
        </is>
      </c>
      <c r="B3440" s="13" t="inlineStr">
        <is>
          <t>Creature — Eldrazi Processor / Criatura — Eldrazi Processador</t>
        </is>
      </c>
      <c r="C3440" s="13" t="inlineStr">
        <is>
          <t>Rare / Rara</t>
        </is>
      </c>
      <c r="D3440" s="13"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3440" s="13" t="inlineStr">
        <is>
          <t>{2}{B}</t>
        </is>
      </c>
      <c r="F3440" s="13" t="inlineStr">
        <is>
          <t>Preto</t>
        </is>
      </c>
      <c r="G3440" s="8" t="n">
        <v>0.15</v>
      </c>
      <c r="H3440" s="13" t="inlineStr">
        <is>
          <t>Battle for Zendikar (BFZ)</t>
        </is>
      </c>
      <c r="I3440" s="13" t="inlineStr">
        <is>
          <t>Não</t>
        </is>
      </c>
      <c r="J3440" s="13" t="n">
        <v>2015</v>
      </c>
      <c r="K3440" s="10" t="n">
        <v>46056</v>
      </c>
      <c r="L3440" s="13" t="n">
        <v>3</v>
      </c>
      <c r="M3440" s="8">
        <f>L3440*G3440</f>
        <v/>
      </c>
      <c r="P3440" s="9" t="n"/>
    </row>
    <row r="3441">
      <c r="A3441" s="13" t="inlineStr">
        <is>
          <t>Water Tribe Captain</t>
        </is>
      </c>
      <c r="B3441" s="13" t="inlineStr">
        <is>
          <t>Creature — Human Soldier Ally</t>
        </is>
      </c>
      <c r="C3441" s="13" t="inlineStr">
        <is>
          <t>Common / Comum</t>
        </is>
      </c>
      <c r="D3441" s="13" t="inlineStr">
        <is>
          <t>{5}: Creatures you control get +1/+1 until end of turn.</t>
        </is>
      </c>
      <c r="E3441" s="13" t="inlineStr">
        <is>
          <t>{2}{W}</t>
        </is>
      </c>
      <c r="F3441" s="13" t="inlineStr">
        <is>
          <t>Branco</t>
        </is>
      </c>
      <c r="G3441" s="8" t="n">
        <v>0.1</v>
      </c>
      <c r="H3441" s="13" t="inlineStr">
        <is>
          <t>Avatar: The Last Airbender (TLA)</t>
        </is>
      </c>
      <c r="I3441" s="13" t="inlineStr">
        <is>
          <t>Não</t>
        </is>
      </c>
      <c r="J3441" s="13" t="n">
        <v>2025</v>
      </c>
      <c r="K3441" s="10" t="n">
        <v>46084</v>
      </c>
      <c r="L3441" s="13" t="n">
        <v>1</v>
      </c>
      <c r="M3441" s="8">
        <f>L3441*G3441</f>
        <v/>
      </c>
      <c r="P3441" s="9" t="n"/>
    </row>
    <row r="3442">
      <c r="A3442" s="13" t="inlineStr">
        <is>
          <t>Water Tribe Captain</t>
        </is>
      </c>
      <c r="B3442" s="13" t="inlineStr">
        <is>
          <t>Creature — Human Soldier Ally</t>
        </is>
      </c>
      <c r="C3442" s="13" t="inlineStr">
        <is>
          <t>Common / Comum</t>
        </is>
      </c>
      <c r="D3442" s="13" t="inlineStr">
        <is>
          <t>{5}: Creatures you control get +1/+1 until end of turn.</t>
        </is>
      </c>
      <c r="E3442" s="13" t="inlineStr">
        <is>
          <t>{2}{W}</t>
        </is>
      </c>
      <c r="F3442" s="13" t="inlineStr">
        <is>
          <t>Branco</t>
        </is>
      </c>
      <c r="G3442" s="8" t="n">
        <v>0.1</v>
      </c>
      <c r="H3442" s="13" t="inlineStr">
        <is>
          <t>Avatar: The Last Airbender (TLA)</t>
        </is>
      </c>
      <c r="I3442" s="13" t="inlineStr">
        <is>
          <t>Não</t>
        </is>
      </c>
      <c r="J3442" s="13" t="n">
        <v>2025</v>
      </c>
      <c r="K3442" s="10" t="n">
        <v>46084</v>
      </c>
      <c r="L3442" s="13" t="n">
        <v>2</v>
      </c>
      <c r="M3442" s="8">
        <f>L3442*G3442</f>
        <v/>
      </c>
      <c r="P3442" s="9" t="n"/>
    </row>
    <row r="3443">
      <c r="A3443" s="13" t="inlineStr">
        <is>
          <t>Water Tribe Rallier</t>
        </is>
      </c>
      <c r="B3443" s="13" t="inlineStr">
        <is>
          <t>Creature — Human Soldier Ally</t>
        </is>
      </c>
      <c r="C3443" s="13" t="inlineStr">
        <is>
          <t>Uncommon / Incomum</t>
        </is>
      </c>
      <c r="D3443" s="13"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3443" s="13" t="inlineStr">
        <is>
          <t>{1}{W}</t>
        </is>
      </c>
      <c r="F3443" s="13" t="inlineStr">
        <is>
          <t>Branco</t>
        </is>
      </c>
      <c r="G3443" s="8" t="n">
        <v>0.15</v>
      </c>
      <c r="H3443" s="13" t="inlineStr">
        <is>
          <t>Avatar: The Last Airbender (TLA)</t>
        </is>
      </c>
      <c r="I3443" s="13" t="inlineStr">
        <is>
          <t>Não</t>
        </is>
      </c>
      <c r="J3443" s="13" t="n">
        <v>2025</v>
      </c>
      <c r="K3443" s="10" t="n">
        <v>46055</v>
      </c>
      <c r="L3443" s="13" t="n">
        <v>1</v>
      </c>
      <c r="M3443" s="8">
        <f>L3443*G3443</f>
        <v/>
      </c>
      <c r="P3443" s="9" t="n"/>
    </row>
    <row r="3444">
      <c r="A3444" s="13" t="inlineStr">
        <is>
          <t>Waterbending Lesson</t>
        </is>
      </c>
      <c r="B3444" s="13" t="inlineStr">
        <is>
          <t>Sorcery — Lesson</t>
        </is>
      </c>
      <c r="C3444" s="13" t="inlineStr">
        <is>
          <t>Common / Comum</t>
        </is>
      </c>
      <c r="D3444" s="13" t="inlineStr">
        <is>
          <t>Draw three cards. Then discard a card unless you waterbend {2}. (While paying a waterbend cost, you can tap your artifacts and creatures to help. Each one pays for {1}.)</t>
        </is>
      </c>
      <c r="E3444" s="13" t="inlineStr">
        <is>
          <t>{3}{U}</t>
        </is>
      </c>
      <c r="F3444" s="13" t="inlineStr">
        <is>
          <t>Azul</t>
        </is>
      </c>
      <c r="G3444" s="8" t="n">
        <v>0.33</v>
      </c>
      <c r="H3444" s="13" t="inlineStr">
        <is>
          <t>Avatar: The Last Airbender (TLA)</t>
        </is>
      </c>
      <c r="I3444" s="13" t="inlineStr">
        <is>
          <t>Sim</t>
        </is>
      </c>
      <c r="J3444" s="13" t="n">
        <v>2025</v>
      </c>
      <c r="L3444" s="13" t="n">
        <v>1</v>
      </c>
      <c r="M3444" s="8">
        <f>L3444*G3444</f>
        <v/>
      </c>
      <c r="P3444" s="9" t="n"/>
    </row>
    <row r="3445">
      <c r="A3445" s="13" t="inlineStr">
        <is>
          <t>Waterbending Scroll</t>
        </is>
      </c>
      <c r="B3445" s="13" t="inlineStr">
        <is>
          <t>Artifact</t>
        </is>
      </c>
      <c r="C3445" s="13" t="inlineStr">
        <is>
          <t>Uncommon / Incomum</t>
        </is>
      </c>
      <c r="D3445" s="13" t="inlineStr">
        <is>
          <t>{6}, {T}: Draw a card. This ability costs {1} less to activate for each Island you control.</t>
        </is>
      </c>
      <c r="E3445" s="13" t="inlineStr">
        <is>
          <t>{1}{U}</t>
        </is>
      </c>
      <c r="F3445" s="13" t="inlineStr">
        <is>
          <t>Azul</t>
        </is>
      </c>
      <c r="G3445" s="8" t="n">
        <v>0.19</v>
      </c>
      <c r="H3445" s="13" t="inlineStr">
        <is>
          <t>Avatar: The Last Airbender (TLA)</t>
        </is>
      </c>
      <c r="I3445" s="13" t="inlineStr">
        <is>
          <t>Não</t>
        </is>
      </c>
      <c r="J3445" s="13" t="n">
        <v>2025</v>
      </c>
      <c r="L3445" s="13" t="n">
        <v>1</v>
      </c>
      <c r="M3445" s="8">
        <f>L3445*G3445</f>
        <v/>
      </c>
      <c r="P3445" s="9" t="n"/>
    </row>
    <row r="3446">
      <c r="A3446" s="13" t="inlineStr">
        <is>
          <t>Watery Grasp</t>
        </is>
      </c>
      <c r="B3446" s="13" t="inlineStr">
        <is>
          <t>Enchantment — Aura</t>
        </is>
      </c>
      <c r="C3446" s="13" t="inlineStr">
        <is>
          <t>Common / Comum</t>
        </is>
      </c>
      <c r="D3446" s="13" t="inlineStr">
        <is>
          <t>Enchant creature Enchanted creature doesn't untap during its controller's untap step. Waterbend {5}: Enchanted creature's owner shuffles it into their library. (While paying a waterbend cost, you can tap your artifacts and creatures to help. Each one pays for {1}.)</t>
        </is>
      </c>
      <c r="E3446" s="13" t="inlineStr">
        <is>
          <t>{U}</t>
        </is>
      </c>
      <c r="F3446" s="13" t="inlineStr">
        <is>
          <t>Azul</t>
        </is>
      </c>
      <c r="G3446" s="8" t="n">
        <v>0.05</v>
      </c>
      <c r="H3446" s="13" t="inlineStr">
        <is>
          <t>Avatar: The Last Airbender (TLA)</t>
        </is>
      </c>
      <c r="I3446" s="13" t="inlineStr">
        <is>
          <t>Não</t>
        </is>
      </c>
      <c r="J3446" s="13" t="n">
        <v>2025</v>
      </c>
      <c r="L3446" s="13" t="n">
        <v>3</v>
      </c>
      <c r="M3446" s="8">
        <f>L3446*G3446</f>
        <v/>
      </c>
      <c r="P3446" s="9" t="n"/>
    </row>
    <row r="3447">
      <c r="A3447" s="13" t="inlineStr">
        <is>
          <t>Weakness / Fraqueza</t>
        </is>
      </c>
      <c r="B3447" s="13" t="inlineStr">
        <is>
          <t>Enchantment — Aura / Encantamento — Aura</t>
        </is>
      </c>
      <c r="C3447" s="13" t="inlineStr">
        <is>
          <t>Common / Comum</t>
        </is>
      </c>
      <c r="D3447" s="13" t="inlineStr">
        <is>
          <t>Enchant creature Enchanted creature gets -2/-1. / Encantar criatura A criatura encantada recebe -2/-1.</t>
        </is>
      </c>
      <c r="E3447" s="13" t="inlineStr">
        <is>
          <t>{B}</t>
        </is>
      </c>
      <c r="F3447" s="13" t="inlineStr">
        <is>
          <t>Preto</t>
        </is>
      </c>
      <c r="G3447" s="8" t="n">
        <v>0.04</v>
      </c>
      <c r="H3447" s="13" t="inlineStr">
        <is>
          <t>Quarta Edição</t>
        </is>
      </c>
      <c r="I3447" s="13" t="inlineStr">
        <is>
          <t>Não</t>
        </is>
      </c>
      <c r="J3447" s="13" t="n">
        <v>1995</v>
      </c>
      <c r="L3447" s="13" t="n">
        <v>4</v>
      </c>
      <c r="M3447" s="8">
        <f>L3447*G3447</f>
        <v/>
      </c>
      <c r="P3447" s="9" t="n"/>
    </row>
    <row r="3448">
      <c r="A3448" s="13" t="inlineStr">
        <is>
          <t>Weakness / Fraqueza</t>
        </is>
      </c>
      <c r="B3448" s="13" t="inlineStr">
        <is>
          <t>Enchantment — Aura / Encantamento — Aura</t>
        </is>
      </c>
      <c r="C3448" s="13" t="inlineStr">
        <is>
          <t>Common / Comum</t>
        </is>
      </c>
      <c r="D3448" s="13" t="inlineStr">
        <is>
          <t>Enchant creature Enchanted creature gets -2/-1. / Encantar criatura A criatura encantada recebe -2/-1.</t>
        </is>
      </c>
      <c r="E3448" s="13" t="inlineStr">
        <is>
          <t>{B}</t>
        </is>
      </c>
      <c r="F3448" s="13" t="inlineStr">
        <is>
          <t>Preto</t>
        </is>
      </c>
      <c r="G3448" s="8" t="n">
        <v>0.06</v>
      </c>
      <c r="H3448" s="13" t="inlineStr">
        <is>
          <t>Quarta Edição (BB)</t>
        </is>
      </c>
      <c r="I3448" s="13" t="inlineStr">
        <is>
          <t>Não</t>
        </is>
      </c>
      <c r="J3448" s="13" t="n">
        <v>1995</v>
      </c>
      <c r="L3448" s="13" t="n">
        <v>3</v>
      </c>
      <c r="M3448" s="8">
        <f>L3448*G3448</f>
        <v/>
      </c>
      <c r="P3448" s="9" t="n"/>
    </row>
    <row r="3449">
      <c r="A3449" s="13" t="inlineStr">
        <is>
          <t>Weakness / Fraqueza</t>
        </is>
      </c>
      <c r="B3449" s="13" t="inlineStr">
        <is>
          <t>Enchantment — Aura / Encantamento — Aura</t>
        </is>
      </c>
      <c r="C3449" s="13" t="inlineStr">
        <is>
          <t>Common / Comum</t>
        </is>
      </c>
      <c r="D3449" s="13" t="inlineStr">
        <is>
          <t>Enchant creature Enchanted creature gets -2/-1. / Encantar criatura A criatura encantada recebe -2/-1.</t>
        </is>
      </c>
      <c r="E3449" s="13" t="inlineStr">
        <is>
          <t>{B}</t>
        </is>
      </c>
      <c r="F3449" s="13" t="inlineStr">
        <is>
          <t>Preto</t>
        </is>
      </c>
      <c r="G3449" s="8" t="n">
        <v>0.09</v>
      </c>
      <c r="H3449" s="13" t="inlineStr">
        <is>
          <t>Revised Edition</t>
        </is>
      </c>
      <c r="I3449" s="13" t="inlineStr">
        <is>
          <t>Não</t>
        </is>
      </c>
      <c r="J3449" s="13" t="n">
        <v>1994</v>
      </c>
      <c r="L3449" s="13" t="n">
        <v>1</v>
      </c>
      <c r="M3449" s="8">
        <f>L3449*G3449</f>
        <v/>
      </c>
      <c r="P3449" s="9" t="n"/>
    </row>
    <row r="3450">
      <c r="A3450" s="13" t="inlineStr">
        <is>
          <t>Weakstone's Subjugation / Subjugação da Pedra de Fraqueza</t>
        </is>
      </c>
      <c r="B3450" s="13" t="inlineStr">
        <is>
          <t>Enchantment — Aura / Encantamento — Aura</t>
        </is>
      </c>
      <c r="C3450" s="13" t="inlineStr">
        <is>
          <t>Common / Comum</t>
        </is>
      </c>
      <c r="D3450" s="13"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3450" s="13" t="inlineStr">
        <is>
          <t>{U}</t>
        </is>
      </c>
      <c r="F3450" s="13" t="inlineStr">
        <is>
          <t>Azul</t>
        </is>
      </c>
      <c r="G3450" s="8" t="n">
        <v>0.33</v>
      </c>
      <c r="H3450" s="13" t="inlineStr">
        <is>
          <t>The Brothers' War (BRO)</t>
        </is>
      </c>
      <c r="I3450" s="13" t="inlineStr">
        <is>
          <t>Sim</t>
        </is>
      </c>
      <c r="J3450" s="13" t="n">
        <v>2022</v>
      </c>
      <c r="L3450" s="13" t="n">
        <v>1</v>
      </c>
      <c r="M3450" s="8">
        <f>L3450*G3450</f>
        <v/>
      </c>
      <c r="P3450" s="9" t="n"/>
    </row>
    <row r="3451">
      <c r="A3451" s="13" t="inlineStr">
        <is>
          <t>Weapon Rack / Cavalete de Armas</t>
        </is>
      </c>
      <c r="B3451" s="13" t="inlineStr">
        <is>
          <t>Artifact / Artefato</t>
        </is>
      </c>
      <c r="C3451" s="13" t="inlineStr">
        <is>
          <t>Common / Comum</t>
        </is>
      </c>
      <c r="D3451" s="13" t="inlineStr">
        <is>
          <t>Weapon Rack enters the battlefield with three +1/+1 counters on it. {T}: Move a +1/+1 counter from Weapon Rack onto target creature. Activate only as a sorcery.</t>
        </is>
      </c>
      <c r="E3451" s="13" t="inlineStr">
        <is>
          <t>{4}</t>
        </is>
      </c>
      <c r="F3451" s="13" t="inlineStr">
        <is>
          <t>Incolor</t>
        </is>
      </c>
      <c r="G3451" s="8" t="n">
        <v>0.04</v>
      </c>
      <c r="H3451" s="13" t="inlineStr">
        <is>
          <t>Throne of Eldraine (ELD)</t>
        </is>
      </c>
      <c r="I3451" s="13" t="inlineStr">
        <is>
          <t>No</t>
        </is>
      </c>
      <c r="J3451" s="13" t="n">
        <v>2019</v>
      </c>
      <c r="L3451" s="13" t="n">
        <v>1</v>
      </c>
      <c r="M3451" s="8">
        <f>L3451*G3451</f>
        <v/>
      </c>
      <c r="P3451" s="9" t="n"/>
    </row>
    <row r="3452">
      <c r="A3452" s="13" t="inlineStr">
        <is>
          <t>Weapons Vendor / Vendedor de Armas</t>
        </is>
      </c>
      <c r="B3452" s="13" t="inlineStr">
        <is>
          <t>Criatura — Humano Artífice</t>
        </is>
      </c>
      <c r="C3452" s="13" t="inlineStr">
        <is>
          <t>Comum</t>
        </is>
      </c>
      <c r="D3452" s="13" t="inlineStr">
        <is>
          <t>Quando esta criatura entrar, compre um card. No início do combate no seu turno, se você controlar um Equipamento, você pode pagar {1}. Quando fizer isso, anexe o Equipamento alvo que você controla à criatura alvo que você controla.</t>
        </is>
      </c>
      <c r="E3452" s="13" t="inlineStr">
        <is>
          <t>3{W}</t>
        </is>
      </c>
      <c r="F3452" s="13" t="inlineStr">
        <is>
          <t>Branco</t>
        </is>
      </c>
      <c r="G3452" s="8" t="n">
        <v>0.1</v>
      </c>
      <c r="H3452" s="13" t="inlineStr">
        <is>
          <t>Final Fantasy</t>
        </is>
      </c>
      <c r="I3452" s="13" t="inlineStr">
        <is>
          <t>Não</t>
        </is>
      </c>
      <c r="J3452" s="13" t="n">
        <v>2025</v>
      </c>
      <c r="K3452" s="10" t="n">
        <v>46055</v>
      </c>
      <c r="L3452" s="13" t="n">
        <v>10</v>
      </c>
      <c r="M3452" s="8">
        <f>L3452*G3452</f>
        <v/>
      </c>
      <c r="P3452" s="9" t="n"/>
    </row>
    <row r="3453">
      <c r="A3453" s="13" t="inlineStr">
        <is>
          <t>Weapons Vendor / Vendedor de Armas</t>
        </is>
      </c>
      <c r="B3453" s="13" t="inlineStr">
        <is>
          <t>Criatura — Humano Artífice</t>
        </is>
      </c>
      <c r="C3453" s="13" t="inlineStr">
        <is>
          <t>Comum</t>
        </is>
      </c>
      <c r="D3453" s="13" t="inlineStr">
        <is>
          <t>Quando esta criatura entrar, compre um card. No início do combate no seu turno, se você controlar um Equipamento, você pode pagar {1}. Quando fizer isso, anexe o Equipamento alvo que você controla à criatura alvo que você controla.</t>
        </is>
      </c>
      <c r="E3453" s="13" t="inlineStr">
        <is>
          <t>3{W}</t>
        </is>
      </c>
      <c r="F3453" s="13" t="inlineStr">
        <is>
          <t>Branco</t>
        </is>
      </c>
      <c r="G3453" s="8" t="n">
        <v>0.25</v>
      </c>
      <c r="H3453" s="13" t="inlineStr">
        <is>
          <t>Final Fantasy</t>
        </is>
      </c>
      <c r="I3453" s="13" t="inlineStr">
        <is>
          <t>Sim</t>
        </is>
      </c>
      <c r="J3453" s="13" t="n">
        <v>2025</v>
      </c>
      <c r="K3453" s="10" t="n">
        <v>46055</v>
      </c>
      <c r="L3453" s="13" t="n">
        <v>1</v>
      </c>
      <c r="M3453" s="8">
        <f>L3453*G3453</f>
        <v/>
      </c>
      <c r="P3453" s="9" t="n"/>
    </row>
    <row r="3454">
      <c r="A3454" s="13" t="inlineStr">
        <is>
          <t>Weary Prisoner / Prisioneira Fatigada</t>
        </is>
      </c>
      <c r="B3454" s="13" t="inlineStr">
        <is>
          <t>Creature — Human Werewolf / Criatura — Humano Lobisomem</t>
        </is>
      </c>
      <c r="C3454" s="13" t="inlineStr">
        <is>
          <t>Common / Comum</t>
        </is>
      </c>
      <c r="D3454" s="13" t="inlineStr">
        <is>
          <t>Defender Daybound (If a player casts no spells during their own turn, it becomes night next turn.) / Defensor Diurno (Se um jogador não conjura nenhuma mágica durante o próprio turno, torna-se noite no turno seguinte.)</t>
        </is>
      </c>
      <c r="E3454" s="13" t="inlineStr">
        <is>
          <t>{3}{R}</t>
        </is>
      </c>
      <c r="F3454" s="13" t="inlineStr">
        <is>
          <t>Vermelho</t>
        </is>
      </c>
      <c r="G3454" s="8" t="n">
        <v>0.05</v>
      </c>
      <c r="H3454" s="13" t="inlineStr">
        <is>
          <t>Innistrad: Crimson Vow (VOW)</t>
        </is>
      </c>
      <c r="I3454" s="13" t="inlineStr">
        <is>
          <t>Não</t>
        </is>
      </c>
      <c r="J3454" s="13" t="n">
        <v>2021</v>
      </c>
      <c r="K3454" s="10" t="n">
        <v>46175</v>
      </c>
      <c r="L3454" s="13" t="n">
        <v>1</v>
      </c>
      <c r="M3454" s="8">
        <f>L3454*G3454</f>
        <v/>
      </c>
      <c r="P3454" s="9" t="n"/>
    </row>
    <row r="3455">
      <c r="A3455" s="13" t="inlineStr">
        <is>
          <t>Weary Prisoner / Prisioneira Fatigada</t>
        </is>
      </c>
      <c r="B3455" s="13" t="inlineStr">
        <is>
          <t>Creature — Human Werewolf / Criatura — Humano Lobisomem</t>
        </is>
      </c>
      <c r="C3455" s="13" t="inlineStr">
        <is>
          <t>Common / Comum</t>
        </is>
      </c>
      <c r="D3455" s="13" t="inlineStr">
        <is>
          <t>Defender Daybound (If a player casts no spells during their own turn, it becomes night next turn.) / Defensor Diurno (Se um jogador não conjura nenhuma mágica durante o próprio turno, torna-se noite no turno seguinte.)</t>
        </is>
      </c>
      <c r="E3455" s="13" t="inlineStr">
        <is>
          <t>{3}{R}</t>
        </is>
      </c>
      <c r="F3455" s="13" t="inlineStr">
        <is>
          <t>Vermelho</t>
        </is>
      </c>
      <c r="G3455" s="8" t="n">
        <v>0.25</v>
      </c>
      <c r="H3455" s="13" t="inlineStr">
        <is>
          <t>Innistrad: Crimson Vow (VOW)</t>
        </is>
      </c>
      <c r="I3455" s="13" t="inlineStr">
        <is>
          <t>Sim</t>
        </is>
      </c>
      <c r="J3455" s="13" t="n">
        <v>2021</v>
      </c>
      <c r="K3455" s="10" t="n">
        <v>46175</v>
      </c>
      <c r="L3455" s="13" t="n">
        <v>1</v>
      </c>
      <c r="M3455" s="8">
        <f>L3455*G3455</f>
        <v/>
      </c>
      <c r="P3455" s="9" t="n"/>
    </row>
    <row r="3456">
      <c r="A3456" s="13" t="inlineStr">
        <is>
          <t>Welcoming Vampire / Vampira da Recepção</t>
        </is>
      </c>
      <c r="B3456" s="13" t="inlineStr">
        <is>
          <t>Creature — Vampire / Criatura — Vampiro</t>
        </is>
      </c>
      <c r="C3456" s="13" t="inlineStr">
        <is>
          <t>Rare / Rara</t>
        </is>
      </c>
      <c r="D3456" s="13"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3456" s="13" t="inlineStr">
        <is>
          <t>{2}{W}</t>
        </is>
      </c>
      <c r="F3456" s="13" t="inlineStr">
        <is>
          <t>Branco</t>
        </is>
      </c>
      <c r="G3456" s="8" t="n">
        <v>10.7</v>
      </c>
      <c r="H3456" s="13" t="inlineStr">
        <is>
          <t>Innistrad: Crimson Vow (VOW)</t>
        </is>
      </c>
      <c r="I3456" s="13" t="inlineStr">
        <is>
          <t>Sim</t>
        </is>
      </c>
      <c r="J3456" s="13" t="n">
        <v>2021</v>
      </c>
      <c r="K3456" s="10" t="n">
        <v>46083</v>
      </c>
      <c r="L3456" s="13" t="n">
        <v>1</v>
      </c>
      <c r="M3456" s="8">
        <f>L3456*G3456</f>
        <v/>
      </c>
      <c r="P3456" s="9" t="n"/>
    </row>
    <row r="3457">
      <c r="A3457" s="13" t="inlineStr">
        <is>
          <t>West Wind Avatar</t>
        </is>
      </c>
      <c r="B3457" s="13" t="inlineStr">
        <is>
          <t>Creature — Cat Spirit Avatar</t>
        </is>
      </c>
      <c r="C3457" s="13" t="inlineStr">
        <is>
          <t>Uncommon / Incomum</t>
        </is>
      </c>
      <c r="D3457" s="13" t="inlineStr">
        <is>
          <t>Trample Whenever this creature enters or attacks, you may sacrifice a token or a land. If you do, you gain 3 life. Disappear — At the beginning of your end step, if a permanent left the battlefield under your control this turn, draw a card.</t>
        </is>
      </c>
      <c r="E3457" s="13" t="inlineStr">
        <is>
          <t>{5}{G}{G}</t>
        </is>
      </c>
      <c r="F3457" s="13" t="inlineStr">
        <is>
          <t>Verde</t>
        </is>
      </c>
      <c r="G3457" s="8" t="n">
        <v>0.1</v>
      </c>
      <c r="H3457" s="13" t="inlineStr">
        <is>
          <t>Teenage Mutant Ninja Turtles (TMT)</t>
        </is>
      </c>
      <c r="I3457" s="13" t="inlineStr">
        <is>
          <t>Não</t>
        </is>
      </c>
      <c r="J3457" s="13" t="n">
        <v>2026</v>
      </c>
      <c r="K3457" s="10" t="n">
        <v>46210</v>
      </c>
      <c r="L3457" s="13" t="n">
        <v>1</v>
      </c>
      <c r="M3457" s="8">
        <f>L3457*G3457</f>
        <v/>
      </c>
      <c r="P3457" s="9" t="n"/>
    </row>
    <row r="3458">
      <c r="A3458" s="13" t="inlineStr">
        <is>
          <t>Wetland Sambar / Sâmbar do Charco</t>
        </is>
      </c>
      <c r="B3458" s="13" t="inlineStr">
        <is>
          <t>Creature — Elk / Criatura — Alce</t>
        </is>
      </c>
      <c r="C3458" s="13" t="inlineStr">
        <is>
          <t>Common / Comum</t>
        </is>
      </c>
      <c r="E3458" s="13" t="inlineStr">
        <is>
          <t>{1}{U}</t>
        </is>
      </c>
      <c r="F3458" s="13" t="inlineStr">
        <is>
          <t>Azul</t>
        </is>
      </c>
      <c r="G3458" s="8" t="n">
        <v>0.06</v>
      </c>
      <c r="H3458" s="13" t="inlineStr">
        <is>
          <t>Khans of Tarkir (KTK)</t>
        </is>
      </c>
      <c r="I3458" s="13" t="inlineStr">
        <is>
          <t>Não</t>
        </is>
      </c>
      <c r="J3458" s="13" t="n">
        <v>2014</v>
      </c>
      <c r="K3458" s="10" t="n">
        <v>46024</v>
      </c>
      <c r="L3458" s="13" t="n">
        <v>5</v>
      </c>
      <c r="M3458" s="8">
        <f>L3458*G3458</f>
        <v/>
      </c>
      <c r="P3458" s="9" t="n"/>
    </row>
    <row r="3459">
      <c r="A3459" s="13" t="inlineStr">
        <is>
          <t>Whalebone Glider / Planador de Ossos de Baleia</t>
        </is>
      </c>
      <c r="B3459" s="13" t="inlineStr">
        <is>
          <t>Artifact</t>
        </is>
      </c>
      <c r="C3459" s="13" t="inlineStr">
        <is>
          <t>Uncommon / Incomum</t>
        </is>
      </c>
      <c r="D3459" s="13" t="inlineStr">
        <is>
          <t>{2}, {T}: Target creature with power 3 or less gains flying until end of turn.</t>
        </is>
      </c>
      <c r="E3459" s="13" t="inlineStr">
        <is>
          <t>{2}</t>
        </is>
      </c>
      <c r="F3459" s="13" t="inlineStr">
        <is>
          <t>Incolor</t>
        </is>
      </c>
      <c r="G3459" s="8" t="n">
        <v>0.16</v>
      </c>
      <c r="H3459" s="13" t="inlineStr">
        <is>
          <t>Ice Age (ICE)</t>
        </is>
      </c>
      <c r="I3459" s="13" t="inlineStr">
        <is>
          <t>Não</t>
        </is>
      </c>
      <c r="J3459" s="13" t="n">
        <v>1995</v>
      </c>
      <c r="L3459" s="13" t="n">
        <v>2</v>
      </c>
      <c r="M3459" s="8">
        <f>L3459*G3459</f>
        <v/>
      </c>
      <c r="P3459" s="9" t="n"/>
    </row>
    <row r="3460">
      <c r="A3460" s="13" t="inlineStr">
        <is>
          <t>Whiplash Trap / Armadilha do Efeito Chicote</t>
        </is>
      </c>
      <c r="B3460" s="13" t="inlineStr">
        <is>
          <t>Mágica Instantânea — Armadilha</t>
        </is>
      </c>
      <c r="C3460" s="13" t="inlineStr">
        <is>
          <t>Comum</t>
        </is>
      </c>
      <c r="D3460" s="13" t="inlineStr">
        <is>
          <t>Se um oponente teve duas ou mais criaturas entrando no campo de batalha sob o controle dele ou dela este turno, você pode pagar {U} em vez de pagar o custo de mana de Armadilha do Efeito Chicote. Devolva duas criaturas alvo para as mãos de seus donos.</t>
        </is>
      </c>
      <c r="E3460" s="13" t="inlineStr">
        <is>
          <t>3UU</t>
        </is>
      </c>
      <c r="F3460" s="13" t="inlineStr">
        <is>
          <t>Azul</t>
        </is>
      </c>
      <c r="G3460" s="8" t="n">
        <v>0.08</v>
      </c>
      <c r="H3460" s="13" t="inlineStr">
        <is>
          <t>Duel Decks: Speed vs. Cunning</t>
        </is>
      </c>
      <c r="I3460" s="13" t="inlineStr">
        <is>
          <t>Não</t>
        </is>
      </c>
      <c r="J3460" s="13" t="n">
        <v>2014</v>
      </c>
      <c r="L3460" s="13" t="n">
        <v>1</v>
      </c>
      <c r="M3460" s="8">
        <f>L3460*G3460</f>
        <v/>
      </c>
      <c r="P3460" s="9" t="n"/>
    </row>
    <row r="3461">
      <c r="A3461" s="13" t="inlineStr">
        <is>
          <t>Whisper of the Dross / Sussurro de Dross</t>
        </is>
      </c>
      <c r="B3461" s="13" t="inlineStr">
        <is>
          <t>Instant / Mágica Instantânea</t>
        </is>
      </c>
      <c r="C3461" s="13" t="inlineStr">
        <is>
          <t>Common / Comum</t>
        </is>
      </c>
      <c r="D3461" s="13"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3461" s="13" t="inlineStr">
        <is>
          <t>{B}</t>
        </is>
      </c>
      <c r="F3461" s="13" t="inlineStr">
        <is>
          <t>Preto</t>
        </is>
      </c>
      <c r="G3461" s="8" t="n">
        <v>0.19</v>
      </c>
      <c r="H3461" s="13" t="inlineStr">
        <is>
          <t>Phyrexia: All Will Be One (ONE)</t>
        </is>
      </c>
      <c r="I3461" s="13" t="inlineStr">
        <is>
          <t>Não</t>
        </is>
      </c>
      <c r="J3461" s="13" t="n">
        <v>2023</v>
      </c>
      <c r="L3461" s="13" t="n">
        <v>1</v>
      </c>
      <c r="M3461" s="8">
        <f>L3461*G3461</f>
        <v/>
      </c>
      <c r="P3461" s="9" t="n"/>
    </row>
    <row r="3462">
      <c r="A3462" s="13" t="inlineStr">
        <is>
          <t>Whisper, Blood Liturgist / Sussurro, Liturgista do Sangue</t>
        </is>
      </c>
      <c r="B3462" s="13" t="inlineStr">
        <is>
          <t>Legendary Creature — Human Cleric / Criatura Lendária — Humano Clérigo</t>
        </is>
      </c>
      <c r="C3462" s="13" t="inlineStr">
        <is>
          <t>Uncommon / Incomum</t>
        </is>
      </c>
      <c r="D3462" s="13" t="inlineStr">
        <is>
          <t>{T}, Sacrifice two creatures: Return target creature card from your graveyard to the battlefield. / {T}, sacrifique duas criaturas: Devolva o card de criatura alvo de seu cemitério para o campo de batalha.</t>
        </is>
      </c>
      <c r="E3462" s="13" t="inlineStr">
        <is>
          <t>{3}{B}</t>
        </is>
      </c>
      <c r="F3462" s="13" t="inlineStr">
        <is>
          <t>Preto</t>
        </is>
      </c>
      <c r="G3462" s="8" t="n">
        <v>0.75</v>
      </c>
      <c r="H3462" s="13" t="inlineStr">
        <is>
          <t>Commander Masters (CMM)</t>
        </is>
      </c>
      <c r="I3462" s="13" t="inlineStr">
        <is>
          <t>Não</t>
        </is>
      </c>
      <c r="J3462" s="13" t="n">
        <v>2023</v>
      </c>
      <c r="K3462" s="10" t="n">
        <v>46055</v>
      </c>
      <c r="L3462" s="13" t="n">
        <v>1</v>
      </c>
      <c r="M3462" s="8">
        <f>L3462*G3462</f>
        <v/>
      </c>
      <c r="P3462" s="9" t="n"/>
    </row>
    <row r="3463">
      <c r="A3463" s="13" t="inlineStr">
        <is>
          <t>Whispering Madness / Loucura Sussurrante</t>
        </is>
      </c>
      <c r="B3463" s="13" t="inlineStr">
        <is>
          <t>Feitiço</t>
        </is>
      </c>
      <c r="C3463" s="13" t="inlineStr">
        <is>
          <t>Raro</t>
        </is>
      </c>
      <c r="D3463" s="13"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3463" s="13" t="inlineStr">
        <is>
          <t>2{U}{B}</t>
        </is>
      </c>
      <c r="F3463" s="13" t="inlineStr">
        <is>
          <t>Multicolorido</t>
        </is>
      </c>
      <c r="G3463" s="8" t="n">
        <v>1.99</v>
      </c>
      <c r="H3463" s="13" t="inlineStr">
        <is>
          <t>Gatecrash</t>
        </is>
      </c>
      <c r="I3463" s="13" t="inlineStr">
        <is>
          <t>Não</t>
        </is>
      </c>
      <c r="J3463" s="13" t="n">
        <v>2013</v>
      </c>
      <c r="L3463" s="13" t="n">
        <v>1</v>
      </c>
      <c r="M3463" s="8">
        <f>L3463*G3463</f>
        <v/>
      </c>
      <c r="P3463" s="9" t="n"/>
    </row>
    <row r="3464">
      <c r="A3464" s="13" t="inlineStr">
        <is>
          <t>White Auracite / Auracita Branca</t>
        </is>
      </c>
      <c r="B3464" s="13" t="inlineStr">
        <is>
          <t>Artefato</t>
        </is>
      </c>
      <c r="C3464" s="13" t="inlineStr">
        <is>
          <t>Comum</t>
        </is>
      </c>
      <c r="D3464" s="13" t="inlineStr">
        <is>
          <t>Quando este artefato entrar, exile a permanente alvo que não seja um terreno que um oponente controla até que este artefato deixe o campo de batalha. {T}: Adicione {W}.</t>
        </is>
      </c>
      <c r="E3464" s="13" t="inlineStr">
        <is>
          <t>2{W}{W}</t>
        </is>
      </c>
      <c r="F3464" s="13" t="inlineStr">
        <is>
          <t>Branco</t>
        </is>
      </c>
      <c r="G3464" s="8" t="n">
        <v>0.1</v>
      </c>
      <c r="H3464" s="13" t="inlineStr">
        <is>
          <t>Final Fantasy</t>
        </is>
      </c>
      <c r="I3464" s="13" t="inlineStr">
        <is>
          <t>Não</t>
        </is>
      </c>
      <c r="J3464" s="13" t="n">
        <v>2025</v>
      </c>
      <c r="L3464" s="13" t="n">
        <v>10</v>
      </c>
      <c r="M3464" s="8">
        <f>L3464*G3464</f>
        <v/>
      </c>
      <c r="P3464" s="9" t="n"/>
    </row>
    <row r="3465">
      <c r="A3465" s="13" t="inlineStr">
        <is>
          <t>White Auracite / Auracita Branca</t>
        </is>
      </c>
      <c r="B3465" s="13" t="inlineStr">
        <is>
          <t>Artefato</t>
        </is>
      </c>
      <c r="C3465" s="13" t="inlineStr">
        <is>
          <t>Comum</t>
        </is>
      </c>
      <c r="D3465" s="13" t="inlineStr">
        <is>
          <t>Quando este artefato entrar, exile a permanente alvo que não seja um terreno que um oponente controla até que este artefato deixe o campo de batalha. {T}: Adicione {W}.</t>
        </is>
      </c>
      <c r="E3465" s="13" t="inlineStr">
        <is>
          <t>2{W}{W}</t>
        </is>
      </c>
      <c r="F3465" s="13" t="inlineStr">
        <is>
          <t>Branco</t>
        </is>
      </c>
      <c r="G3465" s="8" t="n">
        <v>0.35</v>
      </c>
      <c r="H3465" s="13" t="inlineStr">
        <is>
          <t>Final Fantasy</t>
        </is>
      </c>
      <c r="I3465" s="13" t="inlineStr">
        <is>
          <t>Sim</t>
        </is>
      </c>
      <c r="J3465" s="13" t="n">
        <v>2025</v>
      </c>
      <c r="L3465" s="13" t="n">
        <v>1</v>
      </c>
      <c r="M3465" s="8">
        <f>L3465*G3465</f>
        <v/>
      </c>
      <c r="P3465" s="9" t="n"/>
    </row>
    <row r="3466">
      <c r="A3466" s="13" t="inlineStr">
        <is>
          <t>White Lotus Hideout</t>
        </is>
      </c>
      <c r="B3466" s="13" t="inlineStr">
        <is>
          <t>Land</t>
        </is>
      </c>
      <c r="C3466" s="13" t="inlineStr">
        <is>
          <t>Uncommon / Incomum</t>
        </is>
      </c>
      <c r="D3466" s="13" t="inlineStr">
        <is>
          <t>{T}: Add {C}. {T}: Add one mana of any color. Spend this mana only to cast a Lesson or Shrine spell. {1}, {T}: Add one mana of any color.</t>
        </is>
      </c>
      <c r="F3466" s="13" t="inlineStr">
        <is>
          <t>Incolor</t>
        </is>
      </c>
      <c r="G3466" s="8" t="n">
        <v>0.24</v>
      </c>
      <c r="H3466" s="13" t="inlineStr">
        <is>
          <t>Avatar: The Last Airbender (TLA)</t>
        </is>
      </c>
      <c r="I3466" s="13" t="inlineStr">
        <is>
          <t>Não</t>
        </is>
      </c>
      <c r="J3466" s="13" t="n">
        <v>2025</v>
      </c>
      <c r="L3466" s="13" t="n">
        <v>1</v>
      </c>
      <c r="M3466" s="8">
        <f>L3466*G3466</f>
        <v/>
      </c>
      <c r="P3466" s="9" t="n"/>
    </row>
    <row r="3467">
      <c r="A3467" s="13" t="inlineStr">
        <is>
          <t>White Lotus Reinforcements</t>
        </is>
      </c>
      <c r="B3467" s="13" t="inlineStr">
        <is>
          <t>Creature — Human Soldier Ally</t>
        </is>
      </c>
      <c r="C3467" s="13" t="inlineStr">
        <is>
          <t>Uncommon / Incomum</t>
        </is>
      </c>
      <c r="D3467" s="13" t="inlineStr">
        <is>
          <t>Vigilance Other Allies you control get +1/+1.</t>
        </is>
      </c>
      <c r="E3467" s="13" t="inlineStr">
        <is>
          <t>{1}{G}{W}</t>
        </is>
      </c>
      <c r="F3467" s="13" t="inlineStr">
        <is>
          <t>Verde, Branco</t>
        </is>
      </c>
      <c r="G3467" s="8" t="n">
        <v>0.15</v>
      </c>
      <c r="H3467" s="13" t="inlineStr">
        <is>
          <t>Avatar: The Last Airbender (TLA)</t>
        </is>
      </c>
      <c r="I3467" s="13" t="inlineStr">
        <is>
          <t>Não</t>
        </is>
      </c>
      <c r="J3467" s="13" t="n">
        <v>2025</v>
      </c>
      <c r="K3467" s="10" t="n">
        <v>46083</v>
      </c>
      <c r="L3467" s="13" t="n">
        <v>1</v>
      </c>
      <c r="M3467" s="8">
        <f>L3467*G3467</f>
        <v/>
      </c>
      <c r="P3467" s="9" t="n"/>
    </row>
    <row r="3468">
      <c r="A3468" s="13" t="inlineStr">
        <is>
          <t>Whitemane Lion / Leão de Juba Branca</t>
        </is>
      </c>
      <c r="B3468" s="13" t="inlineStr">
        <is>
          <t>Creature — Cat / Criatura — Felino</t>
        </is>
      </c>
      <c r="C3468" s="13" t="inlineStr">
        <is>
          <t>Common / Comum</t>
        </is>
      </c>
      <c r="D3468" s="13" t="inlineStr">
        <is>
          <t>Flash When this creature enters, return a creature you control to its owner's hand. / Lampejo Quando Leão de Juba Branca entrar no campo de batalha, devolva uma criatura que você controla para a mão de seu dono.</t>
        </is>
      </c>
      <c r="E3468" s="13" t="inlineStr">
        <is>
          <t>{1}{W}</t>
        </is>
      </c>
      <c r="F3468" s="13" t="inlineStr">
        <is>
          <t>Branco</t>
        </is>
      </c>
      <c r="G3468" s="8" t="n">
        <v>0.06</v>
      </c>
      <c r="H3468" s="13" t="inlineStr">
        <is>
          <t>Dominaria Remastered (DMR)</t>
        </is>
      </c>
      <c r="I3468" s="13" t="inlineStr">
        <is>
          <t>Não</t>
        </is>
      </c>
      <c r="J3468" s="13" t="n">
        <v>2023</v>
      </c>
      <c r="K3468" s="10" t="n">
        <v>46055</v>
      </c>
      <c r="L3468" s="13" t="n">
        <v>1</v>
      </c>
      <c r="M3468" s="8">
        <f>L3468*G3468</f>
        <v/>
      </c>
      <c r="P3468" s="9" t="n"/>
    </row>
    <row r="3469">
      <c r="A3469" s="13" t="inlineStr">
        <is>
          <t>Whitewater Naiads / Náiades das Corredeiras</t>
        </is>
      </c>
      <c r="B3469" s="13" t="inlineStr">
        <is>
          <t>Criatura Encantamento — Ninfa</t>
        </is>
      </c>
      <c r="C3469" s="13" t="inlineStr">
        <is>
          <t>Incomum</t>
        </is>
      </c>
      <c r="D3469" s="13" t="inlineStr">
        <is>
          <t>Constelação — Toda vez que Náiades das Corredeiras ou outro encantamento entrar no campo de batalha sob seu controle, a criatura alvo não poderá ser bloqueada neste turno.</t>
        </is>
      </c>
      <c r="E3469" s="13" t="inlineStr">
        <is>
          <t>3UU</t>
        </is>
      </c>
      <c r="F3469" s="13" t="inlineStr">
        <is>
          <t>Azul</t>
        </is>
      </c>
      <c r="G3469" s="8" t="n">
        <v>0.06</v>
      </c>
      <c r="H3469" s="13" t="inlineStr">
        <is>
          <t>Journey into Nyx</t>
        </is>
      </c>
      <c r="I3469" s="13" t="inlineStr">
        <is>
          <t>Não</t>
        </is>
      </c>
      <c r="J3469" s="13" t="n">
        <v>2014</v>
      </c>
      <c r="K3469" s="10" t="n">
        <v>46116</v>
      </c>
      <c r="L3469" s="13" t="n">
        <v>1</v>
      </c>
      <c r="M3469" s="8">
        <f>L3469*G3469</f>
        <v/>
      </c>
      <c r="P3469" s="9" t="n"/>
    </row>
    <row r="3470">
      <c r="A3470" s="13" t="inlineStr">
        <is>
          <t>Wicked Slumber / Sono Maldito</t>
        </is>
      </c>
      <c r="B3470" s="13" t="inlineStr">
        <is>
          <t>Instant / Mágica Instantânea</t>
        </is>
      </c>
      <c r="C3470" s="13" t="inlineStr">
        <is>
          <t>Uncommon / Incomum</t>
        </is>
      </c>
      <c r="D3470" s="13"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3470" s="13" t="inlineStr">
        <is>
          <t>{3}{U}</t>
        </is>
      </c>
      <c r="F3470" s="13" t="inlineStr">
        <is>
          <t>Azul</t>
        </is>
      </c>
      <c r="G3470" s="8" t="n">
        <v>0.04</v>
      </c>
      <c r="H3470" s="13" t="inlineStr">
        <is>
          <t>March of the Machine (MOM)</t>
        </is>
      </c>
      <c r="I3470" s="13" t="inlineStr">
        <is>
          <t>Não</t>
        </is>
      </c>
      <c r="J3470" s="13" t="n">
        <v>2023</v>
      </c>
      <c r="L3470" s="13" t="n">
        <v>1</v>
      </c>
      <c r="M3470" s="8">
        <f>L3470*G3470</f>
        <v/>
      </c>
      <c r="P3470" s="9" t="n"/>
    </row>
    <row r="3471">
      <c r="A3471" s="13" t="inlineStr">
        <is>
          <t>Wicker Witch / Bruxa de Vime</t>
        </is>
      </c>
      <c r="B3471" s="13" t="inlineStr">
        <is>
          <t>Artifact Creature — Scarecrow / Criatura Artefato — Espantalho</t>
        </is>
      </c>
      <c r="C3471" s="13" t="inlineStr">
        <is>
          <t>Common / Comum</t>
        </is>
      </c>
      <c r="E3471" s="13" t="inlineStr">
        <is>
          <t>{3}</t>
        </is>
      </c>
      <c r="F3471" s="13" t="inlineStr">
        <is>
          <t>Incolor</t>
        </is>
      </c>
      <c r="G3471" s="8" t="n">
        <v>0.05</v>
      </c>
      <c r="H3471" s="13" t="inlineStr">
        <is>
          <t>Shadows over Innistrad (SOI)</t>
        </is>
      </c>
      <c r="I3471" s="13" t="inlineStr">
        <is>
          <t>Não</t>
        </is>
      </c>
      <c r="J3471" s="13" t="n">
        <v>2016</v>
      </c>
      <c r="K3471" s="10" t="n">
        <v>46025</v>
      </c>
      <c r="L3471" s="13" t="n">
        <v>1</v>
      </c>
      <c r="M3471" s="8">
        <f>L3471*G3471</f>
        <v/>
      </c>
      <c r="N3471" s="13" t="inlineStr">
        <is>
          <t>Bulk Shopee</t>
        </is>
      </c>
      <c r="P3471" s="9" t="n"/>
    </row>
    <row r="3472">
      <c r="A3472" s="13" t="inlineStr">
        <is>
          <t>Wickerfolk Indomitable</t>
        </is>
      </c>
      <c r="B3472" s="13" t="inlineStr">
        <is>
          <t>Artifact Creature — Scarecrow</t>
        </is>
      </c>
      <c r="C3472" s="13" t="inlineStr">
        <is>
          <t>Uncommon / Incomum</t>
        </is>
      </c>
      <c r="D3472" s="13" t="inlineStr">
        <is>
          <t>You may cast this card from your graveyard by paying 2 life and sacrificing an artifact or creature in addition to paying its other costs.</t>
        </is>
      </c>
      <c r="E3472" s="13" t="inlineStr">
        <is>
          <t>{3}{B}</t>
        </is>
      </c>
      <c r="F3472" s="13" t="inlineStr">
        <is>
          <t>Preto</t>
        </is>
      </c>
      <c r="G3472" s="8" t="n">
        <v>0.1</v>
      </c>
      <c r="H3472" s="13" t="inlineStr">
        <is>
          <t>Aetherdrift (DFT)</t>
        </is>
      </c>
      <c r="I3472" s="13" t="inlineStr">
        <is>
          <t>Não</t>
        </is>
      </c>
      <c r="J3472" s="13" t="n">
        <v>2025</v>
      </c>
      <c r="K3472" s="10" t="n">
        <v>46085</v>
      </c>
      <c r="L3472" s="13" t="n">
        <v>1</v>
      </c>
      <c r="M3472" s="8">
        <f>L3472*G3472</f>
        <v/>
      </c>
      <c r="P3472" s="9" t="n"/>
    </row>
    <row r="3473">
      <c r="A3473" s="13" t="inlineStr">
        <is>
          <t>Wild Aesthir</t>
        </is>
      </c>
      <c r="B3473" s="13" t="inlineStr">
        <is>
          <t>Criatura — Aesthir / Summon Aesthir</t>
        </is>
      </c>
      <c r="C3473" s="13" t="inlineStr">
        <is>
          <t>Comum / Common</t>
        </is>
      </c>
      <c r="D3473" s="13" t="inlineStr">
        <is>
          <t>Flying, first strike {W}{W}: +2/+0 until end of turn. You cannot spend more than {W}{W} in this way each turn.</t>
        </is>
      </c>
      <c r="E3473" s="13" t="inlineStr">
        <is>
          <t>{2}{W}</t>
        </is>
      </c>
      <c r="F3473" s="13" t="inlineStr">
        <is>
          <t>Branco</t>
        </is>
      </c>
      <c r="G3473" s="8" t="n">
        <v>0.09</v>
      </c>
      <c r="H3473" s="13" t="inlineStr">
        <is>
          <t>Alliances (ALL)</t>
        </is>
      </c>
      <c r="I3473" s="13" t="inlineStr">
        <is>
          <t>Não</t>
        </is>
      </c>
      <c r="J3473" s="13" t="n">
        <v>1996</v>
      </c>
      <c r="K3473" s="10" t="n">
        <v>46023</v>
      </c>
      <c r="L3473" s="13" t="n">
        <v>1</v>
      </c>
      <c r="M3473" s="8">
        <f>L3473*G3473</f>
        <v/>
      </c>
      <c r="P3473" s="9" t="n"/>
    </row>
    <row r="3474">
      <c r="A3474" s="13" t="inlineStr">
        <is>
          <t>Wild Beastmaster / Mestra de Feras Selvagem</t>
        </is>
      </c>
      <c r="B3474" s="13" t="inlineStr">
        <is>
          <t>Creature — Human Shaman / Criatura — Humano Xamã</t>
        </is>
      </c>
      <c r="C3474" s="13" t="inlineStr">
        <is>
          <t>Rare / Rara</t>
        </is>
      </c>
      <c r="D3474" s="13"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3474" s="13" t="inlineStr">
        <is>
          <t>{2}{G}</t>
        </is>
      </c>
      <c r="F3474" s="13" t="inlineStr">
        <is>
          <t>Verde</t>
        </is>
      </c>
      <c r="G3474" s="8" t="n">
        <v>0.25</v>
      </c>
      <c r="H3474" s="13" t="inlineStr">
        <is>
          <t>Commander 2016 (C16)</t>
        </is>
      </c>
      <c r="I3474" s="13" t="inlineStr">
        <is>
          <t>Não</t>
        </is>
      </c>
      <c r="J3474" s="13" t="n">
        <v>2016</v>
      </c>
      <c r="K3474" s="10" t="n">
        <v>46023</v>
      </c>
      <c r="L3474" s="13" t="n">
        <v>1</v>
      </c>
      <c r="M3474" s="8">
        <f>L3474*G3474</f>
        <v/>
      </c>
      <c r="P3474" s="9" t="n"/>
    </row>
    <row r="3475">
      <c r="A3475" s="13" t="inlineStr">
        <is>
          <t>Wild Hypothesis / Hipótese Selvagem</t>
        </is>
      </c>
      <c r="B3475" s="13" t="inlineStr">
        <is>
          <t>Sorcery / Feitiço</t>
        </is>
      </c>
      <c r="C3475" s="13" t="inlineStr">
        <is>
          <t>Common / Comum</t>
        </is>
      </c>
      <c r="D3475" s="13"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3475" s="13" t="inlineStr">
        <is>
          <t>{X}{G}</t>
        </is>
      </c>
      <c r="F3475" s="13" t="inlineStr">
        <is>
          <t>Verde</t>
        </is>
      </c>
      <c r="G3475" s="8" t="n">
        <v>0.06</v>
      </c>
      <c r="H3475" s="13" t="inlineStr">
        <is>
          <t>Shadows of Sothia (SOS)</t>
        </is>
      </c>
      <c r="I3475" s="13" t="inlineStr">
        <is>
          <t>No</t>
        </is>
      </c>
      <c r="J3475" s="13" t="n">
        <v>2026</v>
      </c>
      <c r="L3475" s="13" t="n">
        <v>1</v>
      </c>
      <c r="M3475" s="8">
        <f>L3475*G3475</f>
        <v/>
      </c>
      <c r="P3475" s="9" t="n"/>
    </row>
    <row r="3476">
      <c r="A3476" s="13" t="inlineStr">
        <is>
          <t>Wildvine Pummeler</t>
        </is>
      </c>
      <c r="B3476" s="13" t="inlineStr">
        <is>
          <t>Creature — Giant Berserker</t>
        </is>
      </c>
      <c r="C3476" s="13" t="inlineStr">
        <is>
          <t>Common / Comum</t>
        </is>
      </c>
      <c r="D3476" s="13" t="inlineStr">
        <is>
          <t>Vivid — This spell costs {1} less to cast for each color among permanents you control. Reach, trample</t>
        </is>
      </c>
      <c r="E3476" s="13" t="inlineStr">
        <is>
          <t>{6}{G}</t>
        </is>
      </c>
      <c r="F3476" s="13" t="inlineStr">
        <is>
          <t>Verde</t>
        </is>
      </c>
      <c r="G3476" s="8" t="n">
        <v>0.1</v>
      </c>
      <c r="H3476" s="13" t="inlineStr">
        <is>
          <t>Lorwyn Eclipsed (ECL)</t>
        </is>
      </c>
      <c r="I3476" s="13" t="inlineStr">
        <is>
          <t>Não</t>
        </is>
      </c>
      <c r="J3476" s="13" t="n">
        <v>2026</v>
      </c>
      <c r="K3476" s="10" t="n">
        <v>46148</v>
      </c>
      <c r="L3476" s="13" t="n">
        <v>1</v>
      </c>
      <c r="M3476" s="8">
        <f>L3476*G3476</f>
        <v/>
      </c>
      <c r="P3476" s="9" t="n"/>
    </row>
    <row r="3477">
      <c r="A3477" s="13" t="inlineStr">
        <is>
          <t>Wildwood Tracker / Rastreador do Bosque Selvagem</t>
        </is>
      </c>
      <c r="B3477" s="13" t="inlineStr">
        <is>
          <t>Creature — Elf Warrior / Criatura — Elfo Guerreiro</t>
        </is>
      </c>
      <c r="C3477" s="13" t="inlineStr">
        <is>
          <t>Common / Comum</t>
        </is>
      </c>
      <c r="D3477" s="13"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3477" s="13" t="inlineStr">
        <is>
          <t>{G}</t>
        </is>
      </c>
      <c r="F3477" s="13" t="inlineStr">
        <is>
          <t>Verde</t>
        </is>
      </c>
      <c r="G3477" s="8" t="n">
        <v>0.25</v>
      </c>
      <c r="H3477" s="13" t="inlineStr">
        <is>
          <t>Throne of Eldraine (ELD)</t>
        </is>
      </c>
      <c r="I3477" s="13" t="inlineStr">
        <is>
          <t>Sim</t>
        </is>
      </c>
      <c r="J3477" s="13" t="n">
        <v>2019</v>
      </c>
      <c r="K3477" s="10" t="n">
        <v>46023</v>
      </c>
      <c r="L3477" s="13" t="n">
        <v>1</v>
      </c>
      <c r="M3477" s="8">
        <f>L3477*G3477</f>
        <v/>
      </c>
      <c r="P3477" s="9" t="n"/>
    </row>
    <row r="3478">
      <c r="A3478" s="13" t="inlineStr">
        <is>
          <t>Will of the All-Hunter / Vontade do Onicaçador</t>
        </is>
      </c>
      <c r="B3478" s="13" t="inlineStr">
        <is>
          <t>Instant / Mágica Instantânea</t>
        </is>
      </c>
      <c r="C3478" s="13" t="inlineStr">
        <is>
          <t>Uncommon / Incomum</t>
        </is>
      </c>
      <c r="D3478" s="13"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3478" s="13" t="inlineStr">
        <is>
          <t>{1}{W}</t>
        </is>
      </c>
      <c r="F3478" s="13" t="inlineStr">
        <is>
          <t>Branco</t>
        </is>
      </c>
      <c r="G3478" s="8" t="n">
        <v>0.09</v>
      </c>
      <c r="H3478" s="13" t="inlineStr">
        <is>
          <t>Ikoria: Lair of Behemoths (IKO)</t>
        </is>
      </c>
      <c r="I3478" s="13" t="inlineStr">
        <is>
          <t>Não</t>
        </is>
      </c>
      <c r="J3478" s="13" t="n">
        <v>2020</v>
      </c>
      <c r="L3478" s="13" t="n">
        <v>1</v>
      </c>
      <c r="M3478" s="8">
        <f>L3478*G3478</f>
        <v/>
      </c>
      <c r="P3478" s="9" t="n"/>
    </row>
    <row r="3479">
      <c r="A3479" s="13" t="inlineStr">
        <is>
          <t>Willbender / Dobrador de Vontades</t>
        </is>
      </c>
      <c r="B3479" s="13" t="inlineStr">
        <is>
          <t>Criatura — Humano Mago</t>
        </is>
      </c>
      <c r="C3479" s="13" t="inlineStr">
        <is>
          <t>Incomum</t>
        </is>
      </c>
      <c r="D3479" s="13"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3479" s="13" t="inlineStr">
        <is>
          <t>1U</t>
        </is>
      </c>
      <c r="F3479" s="13" t="inlineStr">
        <is>
          <t>Azul</t>
        </is>
      </c>
      <c r="G3479" s="8" t="n">
        <v>0.13</v>
      </c>
      <c r="H3479" s="13" t="inlineStr">
        <is>
          <t>Duel Decks: Speed vs. Cunning</t>
        </is>
      </c>
      <c r="I3479" s="13" t="inlineStr">
        <is>
          <t>Não</t>
        </is>
      </c>
      <c r="J3479" s="13" t="n">
        <v>2014</v>
      </c>
      <c r="K3479" s="10" t="n">
        <v>46054</v>
      </c>
      <c r="L3479" s="13" t="n">
        <v>1</v>
      </c>
      <c r="M3479" s="8">
        <f>L3479*G3479</f>
        <v/>
      </c>
      <c r="P3479" s="9" t="n"/>
    </row>
    <row r="3480">
      <c r="A3480" s="13" t="inlineStr">
        <is>
          <t>Wilt in the Heat / Murchar no Calor</t>
        </is>
      </c>
      <c r="B3480" s="13" t="inlineStr">
        <is>
          <t>Mágica Instantânea</t>
        </is>
      </c>
      <c r="C3480" s="13" t="inlineStr">
        <is>
          <t>Comum</t>
        </is>
      </c>
      <c r="D3480" s="13" t="inlineStr">
        <is>
          <t>Esta mágica custa {2} menos para ser conjurada se um ou mais cards tiverem deixado o seu cemitério neste turno. Murchar no Calor causa 5 pontos de dano à criatura alvo. Se aquela criatura fosse morrer neste turno, em vez disso, exile-a.</t>
        </is>
      </c>
      <c r="E3480" s="13" t="inlineStr">
        <is>
          <t>2{R}{W}</t>
        </is>
      </c>
      <c r="F3480" s="13" t="inlineStr">
        <is>
          <t>Multicolorido</t>
        </is>
      </c>
      <c r="G3480" s="8" t="n">
        <v>0.08</v>
      </c>
      <c r="H3480" s="13" t="inlineStr">
        <is>
          <t>Strixhaven: School of Mages (SOS)</t>
        </is>
      </c>
      <c r="I3480" s="13" t="inlineStr">
        <is>
          <t>Não</t>
        </is>
      </c>
      <c r="J3480" s="13" t="n">
        <v>2026</v>
      </c>
      <c r="L3480" s="13" t="n">
        <v>2</v>
      </c>
      <c r="M3480" s="8">
        <f>L3480*G3480</f>
        <v/>
      </c>
      <c r="P3480" s="9" t="n"/>
    </row>
    <row r="3481">
      <c r="A3481" s="13" t="inlineStr">
        <is>
          <t>Wind Drake / Dragonete do Vento</t>
        </is>
      </c>
      <c r="B3481" s="13" t="inlineStr">
        <is>
          <t>Creature — Drake / Criatura — Dragonete</t>
        </is>
      </c>
      <c r="C3481" s="13" t="inlineStr">
        <is>
          <t>Common / Comum</t>
        </is>
      </c>
      <c r="D3481" s="13" t="inlineStr">
        <is>
          <t>Flying / Voar</t>
        </is>
      </c>
      <c r="E3481" s="13" t="inlineStr">
        <is>
          <t>{2}{U}</t>
        </is>
      </c>
      <c r="F3481" s="13" t="inlineStr">
        <is>
          <t>Azul</t>
        </is>
      </c>
      <c r="G3481" s="8" t="n">
        <v>0.03</v>
      </c>
      <c r="H3481" s="13" t="inlineStr">
        <is>
          <t>Kaladesh (KLD)</t>
        </is>
      </c>
      <c r="I3481" s="13" t="inlineStr">
        <is>
          <t>Não</t>
        </is>
      </c>
      <c r="J3481" s="13" t="n">
        <v>2016</v>
      </c>
      <c r="K3481" s="10" t="n">
        <v>46055</v>
      </c>
      <c r="L3481" s="13" t="n">
        <v>2</v>
      </c>
      <c r="M3481" s="8">
        <f>L3481*G3481</f>
        <v/>
      </c>
      <c r="P3481" s="9" t="n"/>
    </row>
    <row r="3482">
      <c r="A3482" s="13" t="inlineStr">
        <is>
          <t>Wind Drake / Dragonete do Vento</t>
        </is>
      </c>
      <c r="B3482" s="13" t="inlineStr">
        <is>
          <t>Creature — Drake / Criatura — Dragonete</t>
        </is>
      </c>
      <c r="C3482" s="13" t="inlineStr">
        <is>
          <t>Common / Comum</t>
        </is>
      </c>
      <c r="D3482" s="13" t="inlineStr">
        <is>
          <t>Flying / Voar</t>
        </is>
      </c>
      <c r="E3482" s="13" t="inlineStr">
        <is>
          <t>{2}{U}</t>
        </is>
      </c>
      <c r="F3482" s="13" t="inlineStr">
        <is>
          <t>Azul</t>
        </is>
      </c>
      <c r="G3482" s="8" t="n">
        <v>0.25</v>
      </c>
      <c r="H3482" s="13" t="inlineStr">
        <is>
          <t>Labirinto do Dragão</t>
        </is>
      </c>
      <c r="I3482" s="13" t="inlineStr">
        <is>
          <t>Sim</t>
        </is>
      </c>
      <c r="J3482" s="13" t="n">
        <v>2013</v>
      </c>
      <c r="K3482" s="10" t="n">
        <v>46055</v>
      </c>
      <c r="L3482" s="13" t="n">
        <v>1</v>
      </c>
      <c r="M3482" s="8">
        <f>L3482*G3482</f>
        <v/>
      </c>
      <c r="P3482" s="9" t="n"/>
    </row>
    <row r="3483">
      <c r="A3483" s="13" t="inlineStr">
        <is>
          <t>Wind Drake / Dragonete do Vento</t>
        </is>
      </c>
      <c r="B3483" s="13" t="inlineStr">
        <is>
          <t>Creature — Drake / Criatura — Dragonete</t>
        </is>
      </c>
      <c r="C3483" s="13" t="inlineStr">
        <is>
          <t>Common / Comum</t>
        </is>
      </c>
      <c r="D3483" s="13" t="inlineStr">
        <is>
          <t>Flying / Voar</t>
        </is>
      </c>
      <c r="E3483" s="13" t="inlineStr">
        <is>
          <t>{2}{U}</t>
        </is>
      </c>
      <c r="F3483" s="13" t="inlineStr">
        <is>
          <t>Azul</t>
        </is>
      </c>
      <c r="G3483" s="8" t="n">
        <v>0.06</v>
      </c>
      <c r="H3483" s="13" t="inlineStr">
        <is>
          <t>The List (PLST)</t>
        </is>
      </c>
      <c r="I3483" s="13" t="inlineStr">
        <is>
          <t>Não</t>
        </is>
      </c>
      <c r="J3483" s="13" t="n">
        <v>2019</v>
      </c>
      <c r="K3483" s="10" t="n">
        <v>46055</v>
      </c>
      <c r="L3483" s="13" t="n">
        <v>2</v>
      </c>
      <c r="M3483" s="8">
        <f>L3483*G3483</f>
        <v/>
      </c>
      <c r="P3483" s="9" t="n"/>
    </row>
    <row r="3484">
      <c r="A3484" s="13" t="inlineStr">
        <is>
          <t>Windurst, Federation Center / Windurst, Centro da Federação</t>
        </is>
      </c>
      <c r="B3484" s="13" t="inlineStr">
        <is>
          <t>Terreno — Vila</t>
        </is>
      </c>
      <c r="C3484" s="13" t="inlineStr">
        <is>
          <t>Rara</t>
        </is>
      </c>
      <c r="D3484" s="13" t="inlineStr">
        <is>
          <t>Este terreno entra virado. {T}: Adicione {G} ou {W}.</t>
        </is>
      </c>
      <c r="E3484" s="13" t="inlineStr">
        <is>
          <t>Não encontrado</t>
        </is>
      </c>
      <c r="F3484" s="13" t="inlineStr">
        <is>
          <t>Incolor</t>
        </is>
      </c>
      <c r="G3484" s="8" t="n">
        <v>0.2</v>
      </c>
      <c r="H3484" s="13" t="inlineStr">
        <is>
          <t>Final Fantasy</t>
        </is>
      </c>
      <c r="I3484" s="13" t="inlineStr">
        <is>
          <t>Não</t>
        </is>
      </c>
      <c r="J3484" s="13" t="n">
        <v>2025</v>
      </c>
      <c r="L3484" s="13" t="n">
        <v>4</v>
      </c>
      <c r="M3484" s="8">
        <f>L3484*G3484</f>
        <v/>
      </c>
      <c r="P3484" s="9" t="n"/>
    </row>
    <row r="3485">
      <c r="A3485" s="13" t="inlineStr">
        <is>
          <t>Wingnut, Bat on the Belfry</t>
        </is>
      </c>
      <c r="B3485" s="13" t="inlineStr">
        <is>
          <t>Legendary Creature — Bat Mutant</t>
        </is>
      </c>
      <c r="C3485" s="13" t="inlineStr">
        <is>
          <t>Uncommon / Incomum</t>
        </is>
      </c>
      <c r="D3485" s="13" t="inlineStr">
        <is>
          <t>Alliance — Whenever another creature you control enters, Wingnut gains your choice of flying, menace, or haste until end of turn. Whenever Wingnut attacks, each other attacking creature gets +1/+0 until end of turn.</t>
        </is>
      </c>
      <c r="E3485" s="13" t="inlineStr">
        <is>
          <t>{1}{R}</t>
        </is>
      </c>
      <c r="F3485" s="13" t="inlineStr">
        <is>
          <t>Vermelho</t>
        </is>
      </c>
      <c r="G3485" s="8" t="n">
        <v>0.15</v>
      </c>
      <c r="H3485" s="13" t="inlineStr">
        <is>
          <t>Teenage Mutant Ninja Turtles (TMT)</t>
        </is>
      </c>
      <c r="I3485" s="13" t="inlineStr">
        <is>
          <t>Não</t>
        </is>
      </c>
      <c r="J3485" s="13" t="n">
        <v>2026</v>
      </c>
      <c r="K3485" s="10" t="n">
        <v>46054</v>
      </c>
      <c r="L3485" s="13" t="n">
        <v>1</v>
      </c>
      <c r="M3485" s="8">
        <f>L3485*G3485</f>
        <v/>
      </c>
      <c r="P3485" s="9" t="n"/>
    </row>
    <row r="3486">
      <c r="A3486" s="13" t="inlineStr">
        <is>
          <t>Wings of Aesthir / Asas de Aesthir</t>
        </is>
      </c>
      <c r="B3486" s="13" t="inlineStr">
        <is>
          <t>Enchantment — Aura</t>
        </is>
      </c>
      <c r="C3486" s="13" t="inlineStr">
        <is>
          <t>Uncommon / Incomum</t>
        </is>
      </c>
      <c r="D3486" s="13" t="inlineStr">
        <is>
          <t>Enchant creature Enchanted creature gets +1/+0 and has flying and first strike.</t>
        </is>
      </c>
      <c r="E3486" s="13" t="inlineStr">
        <is>
          <t>{W}{U}</t>
        </is>
      </c>
      <c r="F3486" s="13" t="inlineStr">
        <is>
          <t>Azul, Branco</t>
        </is>
      </c>
      <c r="G3486" s="8" t="n">
        <v>0.15</v>
      </c>
      <c r="H3486" s="13" t="inlineStr">
        <is>
          <t>Ice Age (ICE)</t>
        </is>
      </c>
      <c r="I3486" s="13" t="inlineStr">
        <is>
          <t>Não</t>
        </is>
      </c>
      <c r="J3486" s="13" t="n">
        <v>1995</v>
      </c>
      <c r="L3486" s="13" t="n">
        <v>1</v>
      </c>
      <c r="M3486" s="8">
        <f>L3486*G3486</f>
        <v/>
      </c>
      <c r="P3486" s="9" t="n"/>
    </row>
    <row r="3487">
      <c r="A3487" s="13" t="inlineStr">
        <is>
          <t>Winter's Intervention</t>
        </is>
      </c>
      <c r="B3487" s="13" t="inlineStr">
        <is>
          <t>Instant</t>
        </is>
      </c>
      <c r="C3487" s="13" t="inlineStr">
        <is>
          <t>Common / Comum</t>
        </is>
      </c>
      <c r="D3487" s="13" t="inlineStr">
        <is>
          <t>Winter's Intervention deals 2 damage to target creature. You gain 2 life.</t>
        </is>
      </c>
      <c r="E3487" s="13" t="inlineStr">
        <is>
          <t>{1}{B}</t>
        </is>
      </c>
      <c r="F3487" s="13" t="inlineStr">
        <is>
          <t>Preto</t>
        </is>
      </c>
      <c r="G3487" s="8" t="n">
        <v>0.05</v>
      </c>
      <c r="H3487" s="13" t="inlineStr">
        <is>
          <t>Duskmourn: House of Horror (DSK)</t>
        </is>
      </c>
      <c r="I3487" s="13" t="inlineStr">
        <is>
          <t>Não</t>
        </is>
      </c>
      <c r="J3487" s="13" t="n">
        <v>2024</v>
      </c>
      <c r="L3487" s="13" t="n">
        <v>1</v>
      </c>
      <c r="M3487" s="8">
        <f>L3487*G3487</f>
        <v/>
      </c>
      <c r="P3487" s="9" t="n"/>
    </row>
    <row r="3488">
      <c r="A3488" s="13" t="inlineStr">
        <is>
          <t>Witch Hunter</t>
        </is>
      </c>
      <c r="B3488" s="13" t="inlineStr">
        <is>
          <t>Criatura — Caçador / Summon Hunter</t>
        </is>
      </c>
      <c r="C3488" s="13" t="inlineStr">
        <is>
          <t>Incomum / Uncommon</t>
        </is>
      </c>
      <c r="D3488" s="13" t="inlineStr">
        <is>
          <t>{T}: Witch Hunter deals 1 damage to target player. {1}{W}{W}, {T}: Return target creature any opponent controls to owner's hand.</t>
        </is>
      </c>
      <c r="E3488" s="13" t="inlineStr">
        <is>
          <t>{2}{W}{W}</t>
        </is>
      </c>
      <c r="F3488" s="13" t="inlineStr">
        <is>
          <t>Branco</t>
        </is>
      </c>
      <c r="G3488" s="8" t="n">
        <v>0.32</v>
      </c>
      <c r="H3488" s="13" t="inlineStr">
        <is>
          <t>Legends (LEG)</t>
        </is>
      </c>
      <c r="I3488" s="13" t="inlineStr">
        <is>
          <t>Não</t>
        </is>
      </c>
      <c r="J3488" s="13" t="n">
        <v>1995</v>
      </c>
      <c r="K3488" s="10" t="n">
        <v>46023</v>
      </c>
      <c r="L3488" s="13" t="n">
        <v>1</v>
      </c>
      <c r="M3488" s="8">
        <f>L3488*G3488</f>
        <v/>
      </c>
      <c r="P3488" s="9" t="n"/>
    </row>
    <row r="3489">
      <c r="A3489" s="13" t="inlineStr">
        <is>
          <t>Witch's Cauldron / Caldeirão da Bruxa</t>
        </is>
      </c>
      <c r="B3489" s="13" t="inlineStr">
        <is>
          <t>Artifact / Artefato</t>
        </is>
      </c>
      <c r="C3489" s="13" t="inlineStr">
        <is>
          <t>Common / Comum</t>
        </is>
      </c>
      <c r="D3489" s="13" t="inlineStr">
        <is>
          <t>{1}{B}, {T}, Sacrifice a creature: You gain 1 life and draw a card. / {1}{B}, {T}: sacrifique uma criatura: Você ganha 1 ponto de vida e compra um card.</t>
        </is>
      </c>
      <c r="E3489" s="13" t="inlineStr">
        <is>
          <t>{B}</t>
        </is>
      </c>
      <c r="F3489" s="13" t="inlineStr">
        <is>
          <t>Preto</t>
        </is>
      </c>
      <c r="G3489" s="8" t="n">
        <v>0.25</v>
      </c>
      <c r="H3489" s="13" t="inlineStr">
        <is>
          <t>Commander Masters (CMM)</t>
        </is>
      </c>
      <c r="I3489" s="13" t="inlineStr">
        <is>
          <t>Não</t>
        </is>
      </c>
      <c r="J3489" s="13" t="n">
        <v>2023</v>
      </c>
      <c r="L3489" s="13" t="n">
        <v>1</v>
      </c>
      <c r="M3489" s="8">
        <f>L3489*G3489</f>
        <v/>
      </c>
      <c r="P3489" s="9" t="n"/>
    </row>
    <row r="3490">
      <c r="A3490" s="13" t="inlineStr">
        <is>
          <t>Witch's Familiar / Familiar da Bruxa</t>
        </is>
      </c>
      <c r="B3490" s="13" t="inlineStr">
        <is>
          <t>Creature — Frog / Criatura — Sapo</t>
        </is>
      </c>
      <c r="C3490" s="13" t="inlineStr">
        <is>
          <t>Common / Comum</t>
        </is>
      </c>
      <c r="E3490" s="13" t="inlineStr">
        <is>
          <t>{2}{B}</t>
        </is>
      </c>
      <c r="F3490" s="13" t="inlineStr">
        <is>
          <t>Preto</t>
        </is>
      </c>
      <c r="G3490" s="8" t="n">
        <v>0.06</v>
      </c>
      <c r="H3490" s="13" t="inlineStr">
        <is>
          <t>Magic 2015 (M15)</t>
        </is>
      </c>
      <c r="I3490" s="13" t="inlineStr">
        <is>
          <t>Não</t>
        </is>
      </c>
      <c r="J3490" s="13" t="n">
        <v>2014</v>
      </c>
      <c r="K3490" s="10" t="n">
        <v>46083</v>
      </c>
      <c r="L3490" s="13" t="n">
        <v>1</v>
      </c>
      <c r="M3490" s="8">
        <f>L3490*G3490</f>
        <v/>
      </c>
      <c r="P3490" s="9" t="n"/>
    </row>
    <row r="3491">
      <c r="A3491" s="13" t="inlineStr">
        <is>
          <t>Witch's Web / Teia da Bruxa</t>
        </is>
      </c>
      <c r="B3491" s="13" t="inlineStr">
        <is>
          <t>Instant / Mágica Instantânea</t>
        </is>
      </c>
      <c r="C3491" s="13" t="inlineStr">
        <is>
          <t>Common / Comum</t>
        </is>
      </c>
      <c r="D3491" s="13" t="inlineStr">
        <is>
          <t>Target creature gets +3/+3 and gains reach until end of turn. Untap it. / A criatura alvo recebe +3/+3 e ganha alcance até o final do turno. Desvire-a.</t>
        </is>
      </c>
      <c r="E3491" s="13" t="inlineStr">
        <is>
          <t>{1}{G}</t>
        </is>
      </c>
      <c r="F3491" s="13" t="inlineStr">
        <is>
          <t>Verde</t>
        </is>
      </c>
      <c r="G3491" s="8" t="n">
        <v>0.08</v>
      </c>
      <c r="H3491" s="13" t="inlineStr">
        <is>
          <t>Innistrad: Crimson Vow (VOW)</t>
        </is>
      </c>
      <c r="I3491" s="13" t="inlineStr">
        <is>
          <t>Não</t>
        </is>
      </c>
      <c r="J3491" s="13" t="n">
        <v>2021</v>
      </c>
      <c r="L3491" s="13" t="n">
        <v>3</v>
      </c>
      <c r="M3491" s="8">
        <f>L3491*G3491</f>
        <v/>
      </c>
      <c r="P3491" s="9" t="n"/>
    </row>
    <row r="3492">
      <c r="A3492" s="13" t="inlineStr">
        <is>
          <t>Witching Well / Poço das Bruxarias</t>
        </is>
      </c>
      <c r="B3492" s="13" t="inlineStr">
        <is>
          <t>Artifact / Artefato</t>
        </is>
      </c>
      <c r="C3492" s="13" t="inlineStr">
        <is>
          <t>Common / Comum</t>
        </is>
      </c>
      <c r="D3492" s="13"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3492" s="13" t="inlineStr">
        <is>
          <t>{U}</t>
        </is>
      </c>
      <c r="F3492" s="13" t="inlineStr">
        <is>
          <t>Azul</t>
        </is>
      </c>
      <c r="G3492" s="8" t="n">
        <v>0.05</v>
      </c>
      <c r="H3492" s="13" t="inlineStr">
        <is>
          <t>Throne of Eldraine (ELD)</t>
        </is>
      </c>
      <c r="I3492" s="13" t="inlineStr">
        <is>
          <t>Não</t>
        </is>
      </c>
      <c r="J3492" s="13" t="n">
        <v>2019</v>
      </c>
      <c r="L3492" s="13" t="n">
        <v>1</v>
      </c>
      <c r="M3492" s="8">
        <f>L3492*G3492</f>
        <v/>
      </c>
      <c r="P3492" s="9" t="n"/>
    </row>
    <row r="3493">
      <c r="A3493" s="13" t="inlineStr">
        <is>
          <t>Withering Wisps / Ardentias Mortíferas</t>
        </is>
      </c>
      <c r="B3493" s="13" t="inlineStr">
        <is>
          <t>Enchantment</t>
        </is>
      </c>
      <c r="C3493" s="13" t="inlineStr">
        <is>
          <t>Uncommon / Incomum</t>
        </is>
      </c>
      <c r="D3493" s="13" t="inlineStr">
        <is>
          <t>At the beginning of the end step, if no creatures are on the battlefield, sacrifice this enchantment. {B}: This enchantment deals 1 damage to each creature and each player. Activate no more times each turn than the number of snow Swamps you control.</t>
        </is>
      </c>
      <c r="E3493" s="13" t="inlineStr">
        <is>
          <t>{1}{B}{B}</t>
        </is>
      </c>
      <c r="F3493" s="13" t="inlineStr">
        <is>
          <t>Preto</t>
        </is>
      </c>
      <c r="G3493" s="8" t="n">
        <v>0.86</v>
      </c>
      <c r="H3493" s="13" t="inlineStr">
        <is>
          <t>Ice Age (ICE)</t>
        </is>
      </c>
      <c r="I3493" s="13" t="inlineStr">
        <is>
          <t>Não</t>
        </is>
      </c>
      <c r="J3493" s="13" t="n">
        <v>1995</v>
      </c>
      <c r="L3493" s="13" t="n">
        <v>1</v>
      </c>
      <c r="M3493" s="8">
        <f>L3493*G3493</f>
        <v/>
      </c>
      <c r="P3493" s="9" t="n"/>
    </row>
    <row r="3494">
      <c r="A3494" s="13" t="inlineStr">
        <is>
          <t>Witness Protection / Proteção de Testemunhas</t>
        </is>
      </c>
      <c r="B3494" s="13" t="inlineStr">
        <is>
          <t>Enchantment — Aura / Encantamento — Aura</t>
        </is>
      </c>
      <c r="C3494" s="13" t="inlineStr">
        <is>
          <t>Common / Comum</t>
        </is>
      </c>
      <c r="D3494" s="13"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3494" s="13" t="inlineStr">
        <is>
          <t>{U}</t>
        </is>
      </c>
      <c r="F3494" s="13" t="inlineStr">
        <is>
          <t>Azul</t>
        </is>
      </c>
      <c r="G3494" s="8" t="n">
        <v>0.14</v>
      </c>
      <c r="H3494" s="13" t="inlineStr">
        <is>
          <t>Foundations (FDN)</t>
        </is>
      </c>
      <c r="I3494" s="13" t="inlineStr">
        <is>
          <t>Não</t>
        </is>
      </c>
      <c r="J3494" s="13" t="n">
        <v>2024</v>
      </c>
      <c r="L3494" s="13" t="n">
        <v>1</v>
      </c>
      <c r="M3494" s="8">
        <f>L3494*G3494</f>
        <v/>
      </c>
      <c r="P3494" s="9" t="n"/>
    </row>
    <row r="3495">
      <c r="A3495" s="13" t="inlineStr">
        <is>
          <t>Woeleecher / Suga-Desgraça</t>
        </is>
      </c>
      <c r="B3495" s="13" t="inlineStr">
        <is>
          <t>Creature — Elemental / Criatura — Elemental</t>
        </is>
      </c>
      <c r="C3495" s="13" t="inlineStr">
        <is>
          <t>Common / Comum</t>
        </is>
      </c>
      <c r="D3495" s="13" t="inlineStr">
        <is>
          <t>{W}, {T}: Remove a -1/-1 counter from target creature. If you do, you gain 2 life. / {W}, {T}: Remova um marcador -1/-1 da criatura alvo. Se fizer isso, você ganhará 2 pontos de vida.</t>
        </is>
      </c>
      <c r="E3495" s="13" t="inlineStr">
        <is>
          <t>{5}{W}</t>
        </is>
      </c>
      <c r="F3495" s="13" t="inlineStr">
        <is>
          <t>Branco</t>
        </is>
      </c>
      <c r="G3495" s="8" t="n">
        <v>0.05</v>
      </c>
      <c r="H3495" s="13" t="inlineStr">
        <is>
          <t>Shadowmoor (SHM)</t>
        </is>
      </c>
      <c r="I3495" s="13" t="inlineStr">
        <is>
          <t>Não</t>
        </is>
      </c>
      <c r="J3495" s="13" t="n">
        <v>2008</v>
      </c>
      <c r="K3495" s="10" t="n">
        <v>46145</v>
      </c>
      <c r="L3495" s="13" t="n">
        <v>2</v>
      </c>
      <c r="M3495" s="8">
        <f>L3495*G3495</f>
        <v/>
      </c>
      <c r="P3495" s="9" t="n"/>
    </row>
    <row r="3496">
      <c r="A3496" s="13" t="inlineStr">
        <is>
          <t>Wolfbat</t>
        </is>
      </c>
      <c r="B3496" s="13" t="inlineStr">
        <is>
          <t>Creature — Wolf Bat</t>
        </is>
      </c>
      <c r="C3496" s="13" t="inlineStr">
        <is>
          <t>Uncommon / Incomum</t>
        </is>
      </c>
      <c r="D3496" s="13" t="inlineStr">
        <is>
          <t>Flying Whenever you draw your second card each turn, you may pay {B}. If you do, return this card from your graveyard to the battlefield with a finality counter on it. (If a creature with a finality counter on it would die, exile it instead.)</t>
        </is>
      </c>
      <c r="E3496" s="13" t="inlineStr">
        <is>
          <t>{2}{B}</t>
        </is>
      </c>
      <c r="F3496" s="13" t="inlineStr">
        <is>
          <t>Preto</t>
        </is>
      </c>
      <c r="G3496" s="8" t="n">
        <v>0.09</v>
      </c>
      <c r="H3496" s="13" t="inlineStr">
        <is>
          <t>Avatar: The Last Airbender (TLA)</t>
        </is>
      </c>
      <c r="I3496" s="13" t="inlineStr">
        <is>
          <t>Não</t>
        </is>
      </c>
      <c r="J3496" s="13" t="n">
        <v>2025</v>
      </c>
      <c r="K3496" s="10" t="n">
        <v>46055</v>
      </c>
      <c r="L3496" s="13" t="n">
        <v>1</v>
      </c>
      <c r="M3496" s="8">
        <f>L3496*G3496</f>
        <v/>
      </c>
      <c r="P3496" s="9" t="n"/>
    </row>
    <row r="3497">
      <c r="A3497" s="13" t="inlineStr">
        <is>
          <t>Wolfbitten Captive / Prisioneiro Mordido</t>
        </is>
      </c>
      <c r="B3497" s="13" t="inlineStr">
        <is>
          <t>Creature — Human Werewolf / Criatura — Humano Lobisomem</t>
        </is>
      </c>
      <c r="C3497" s="13" t="inlineStr">
        <is>
          <t>Rare / Rara</t>
        </is>
      </c>
      <c r="D3497" s="13"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3497" s="13" t="inlineStr">
        <is>
          <t>{G}</t>
        </is>
      </c>
      <c r="F3497" s="13" t="inlineStr">
        <is>
          <t>Verde</t>
        </is>
      </c>
      <c r="G3497" s="8" t="n">
        <v>0.65</v>
      </c>
      <c r="H3497" s="13" t="inlineStr">
        <is>
          <t>Dark Ascension (DKA)</t>
        </is>
      </c>
      <c r="I3497" s="13" t="inlineStr">
        <is>
          <t>Não</t>
        </is>
      </c>
      <c r="J3497" s="13" t="n">
        <v>2012</v>
      </c>
      <c r="K3497" s="10" t="n">
        <v>46023</v>
      </c>
      <c r="L3497" s="13" t="n">
        <v>1</v>
      </c>
      <c r="M3497" s="8">
        <f>L3497*G3497</f>
        <v/>
      </c>
      <c r="P3497" s="9" t="n"/>
    </row>
    <row r="3498">
      <c r="A3498" s="13" t="inlineStr">
        <is>
          <t>Wood Elves / Elfos da Floresta</t>
        </is>
      </c>
      <c r="B3498" s="13" t="inlineStr">
        <is>
          <t>Creature — Elf Scout / Criatura — Elfo Batedor</t>
        </is>
      </c>
      <c r="C3498" s="13" t="inlineStr">
        <is>
          <t>Common / Comum</t>
        </is>
      </c>
      <c r="D3498" s="13"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3498" s="13" t="inlineStr">
        <is>
          <t>{2}{G}</t>
        </is>
      </c>
      <c r="F3498" s="13" t="inlineStr">
        <is>
          <t>Verde</t>
        </is>
      </c>
      <c r="G3498" s="8" t="n">
        <v>2.5</v>
      </c>
      <c r="H3498" s="13" t="inlineStr">
        <is>
          <t>Commander 2014 (C14)</t>
        </is>
      </c>
      <c r="I3498" s="13" t="inlineStr">
        <is>
          <t>Não</t>
        </is>
      </c>
      <c r="J3498" s="13" t="n">
        <v>2014</v>
      </c>
      <c r="K3498" s="10" t="n">
        <v>46023</v>
      </c>
      <c r="L3498" s="13" t="n">
        <v>1</v>
      </c>
      <c r="M3498" s="8">
        <f>L3498*G3498</f>
        <v/>
      </c>
      <c r="P3498" s="9" t="n"/>
    </row>
    <row r="3499">
      <c r="A3499" s="13" t="inlineStr">
        <is>
          <t>Wooden Cane / Bengala de Madeira</t>
        </is>
      </c>
      <c r="B3499" s="13" t="inlineStr">
        <is>
          <t>Artefato — Equipamento</t>
        </is>
      </c>
      <c r="C3499" s="13" t="inlineStr">
        <is>
          <t>Incomum</t>
        </is>
      </c>
      <c r="D3499" s="13" t="inlineStr">
        <is>
          <t>Quando este Equipamento entrar, crie uma ficha de criatura Mutante vermelha 2/2 e depois anexe este Equipamento a ela. A criatura equipada recebe +2/+1. Equipar {3} ({3}: Anexe à criatura alvo que você controla. Equipe somente como um feitiço.)</t>
        </is>
      </c>
      <c r="E3499" s="13" t="inlineStr">
        <is>
          <t>3{W}</t>
        </is>
      </c>
      <c r="F3499" s="13" t="inlineStr">
        <is>
          <t>Branco</t>
        </is>
      </c>
      <c r="G3499" s="8" t="n">
        <v>0.98</v>
      </c>
      <c r="H3499" s="13" t="inlineStr">
        <is>
          <t>Teenage Mutant Ninja Turtles</t>
        </is>
      </c>
      <c r="I3499" s="13" t="inlineStr">
        <is>
          <t>Não</t>
        </is>
      </c>
      <c r="J3499" s="13" t="n">
        <v>2026</v>
      </c>
      <c r="L3499" s="13" t="n">
        <v>2</v>
      </c>
      <c r="M3499" s="8">
        <f>L3499*G3499</f>
        <v/>
      </c>
      <c r="P3499" s="9" t="n"/>
    </row>
    <row r="3500">
      <c r="A3500" s="13" t="inlineStr">
        <is>
          <t>Wooden Sphere / Esfera de Madeira</t>
        </is>
      </c>
      <c r="B3500" s="13" t="inlineStr">
        <is>
          <t>Artifact / Artefato</t>
        </is>
      </c>
      <c r="C3500" s="13" t="inlineStr">
        <is>
          <t>Uncommon / Incomum</t>
        </is>
      </c>
      <c r="D3500" s="13" t="inlineStr">
        <is>
          <t>Whenever a player casts a green spell, you may pay {1}. If you do, you gain 1 life. / Toda vez que um jogador jogar uma mágica verde, você pode pagar {1}. Se o fizer, você ganha 1 ponto de vida.</t>
        </is>
      </c>
      <c r="E3500" s="13" t="inlineStr">
        <is>
          <t>{1}</t>
        </is>
      </c>
      <c r="F3500" s="13" t="inlineStr">
        <is>
          <t>Incolor</t>
        </is>
      </c>
      <c r="G3500" s="8" t="n">
        <v>0.1</v>
      </c>
      <c r="H3500" s="13" t="inlineStr">
        <is>
          <t>Fourth Edition</t>
        </is>
      </c>
      <c r="I3500" s="13" t="inlineStr">
        <is>
          <t>Não</t>
        </is>
      </c>
      <c r="J3500" s="13" t="n">
        <v>1995</v>
      </c>
      <c r="L3500" s="13" t="n">
        <v>1</v>
      </c>
      <c r="M3500" s="8">
        <f>L3500*G3500</f>
        <v/>
      </c>
      <c r="P3500" s="9" t="n"/>
    </row>
    <row r="3501">
      <c r="A3501" s="13" t="inlineStr">
        <is>
          <t>Wooden Sphere / Esfera de Madeira</t>
        </is>
      </c>
      <c r="B3501" s="13" t="inlineStr">
        <is>
          <t>Artifact / Artefato</t>
        </is>
      </c>
      <c r="C3501" s="13" t="inlineStr">
        <is>
          <t>Uncommon / Incomum</t>
        </is>
      </c>
      <c r="D3501" s="13" t="inlineStr">
        <is>
          <t>Whenever a player casts a green spell, you may pay {1}. If you do, you gain 1 life. / Toda vez que um jogador jogar uma mágica verde, você pode pagar {1}. Se o fizer, você ganha 1 ponto de vida.</t>
        </is>
      </c>
      <c r="E3501" s="13" t="inlineStr">
        <is>
          <t>{1}</t>
        </is>
      </c>
      <c r="F3501" s="13" t="inlineStr">
        <is>
          <t>Incolor</t>
        </is>
      </c>
      <c r="G3501" s="8" t="n">
        <v>0.43</v>
      </c>
      <c r="H3501" s="13" t="inlineStr">
        <is>
          <t>Fourth Edition (BB)</t>
        </is>
      </c>
      <c r="I3501" s="13" t="inlineStr">
        <is>
          <t>Não</t>
        </is>
      </c>
      <c r="J3501" s="13" t="n">
        <v>1995</v>
      </c>
      <c r="L3501" s="13" t="n">
        <v>1</v>
      </c>
      <c r="M3501" s="8">
        <f>L3501*G3501</f>
        <v/>
      </c>
      <c r="P3501" s="9" t="n"/>
    </row>
    <row r="3502">
      <c r="A3502" s="13" t="inlineStr">
        <is>
          <t>Word of Binding / Palavras de Poder</t>
        </is>
      </c>
      <c r="B3502" s="13" t="inlineStr">
        <is>
          <t>Sorcery</t>
        </is>
      </c>
      <c r="C3502" s="13" t="inlineStr">
        <is>
          <t>Common / Comum</t>
        </is>
      </c>
      <c r="D3502" s="13" t="inlineStr">
        <is>
          <t>Tap X target creatures.</t>
        </is>
      </c>
      <c r="E3502" s="13" t="inlineStr">
        <is>
          <t>{X}{B}{B}</t>
        </is>
      </c>
      <c r="F3502" s="13" t="inlineStr">
        <is>
          <t>Preto</t>
        </is>
      </c>
      <c r="G3502" s="8" t="n">
        <v>0.06</v>
      </c>
      <c r="H3502" s="13" t="inlineStr">
        <is>
          <t>Quarta Edição</t>
        </is>
      </c>
      <c r="I3502" s="13" t="inlineStr">
        <is>
          <t>Não</t>
        </is>
      </c>
      <c r="J3502" s="13" t="n">
        <v>1995</v>
      </c>
      <c r="L3502" s="13" t="n">
        <v>2</v>
      </c>
      <c r="M3502" s="8">
        <f>L3502*G3502</f>
        <v/>
      </c>
      <c r="P3502" s="9" t="n"/>
    </row>
    <row r="3503">
      <c r="A3503" s="13" t="inlineStr">
        <is>
          <t>Word of Binding / Palavras de Poder</t>
        </is>
      </c>
      <c r="B3503" s="13" t="inlineStr">
        <is>
          <t>Sorcery</t>
        </is>
      </c>
      <c r="C3503" s="13" t="inlineStr">
        <is>
          <t>Common / Comum</t>
        </is>
      </c>
      <c r="D3503" s="13" t="inlineStr">
        <is>
          <t>Tap X target creatures.</t>
        </is>
      </c>
      <c r="E3503" s="13" t="inlineStr">
        <is>
          <t>{X}{B}{B}</t>
        </is>
      </c>
      <c r="F3503" s="13" t="inlineStr">
        <is>
          <t>Preto</t>
        </is>
      </c>
      <c r="G3503" s="8" t="n">
        <v>0.08</v>
      </c>
      <c r="H3503" s="13" t="inlineStr">
        <is>
          <t>Quarta Edição (BB)</t>
        </is>
      </c>
      <c r="I3503" s="13" t="inlineStr">
        <is>
          <t>Não</t>
        </is>
      </c>
      <c r="J3503" s="13" t="n">
        <v>1995</v>
      </c>
      <c r="L3503" s="13" t="n">
        <v>3</v>
      </c>
      <c r="M3503" s="8">
        <f>L3503*G3503</f>
        <v/>
      </c>
      <c r="P3503" s="9" t="n"/>
    </row>
    <row r="3504">
      <c r="A3504" s="13" t="inlineStr">
        <is>
          <t>Word of Blasting / Palavra de Detonação</t>
        </is>
      </c>
      <c r="B3504" s="13" t="inlineStr">
        <is>
          <t>Instant</t>
        </is>
      </c>
      <c r="C3504" s="13" t="inlineStr">
        <is>
          <t>Uncommon / Incomum</t>
        </is>
      </c>
      <c r="D3504" s="13" t="inlineStr">
        <is>
          <t>Destroy target Wall. It can't be regenerated. Word of Blasting deals damage equal to that Wall's mana value to the Wall's controller.</t>
        </is>
      </c>
      <c r="E3504" s="13" t="inlineStr">
        <is>
          <t>{1}{R}</t>
        </is>
      </c>
      <c r="F3504" s="13" t="inlineStr">
        <is>
          <t>Vermelho</t>
        </is>
      </c>
      <c r="G3504" s="8" t="n">
        <v>0.16</v>
      </c>
      <c r="H3504" s="13" t="inlineStr">
        <is>
          <t>Ice Age (ICE)</t>
        </is>
      </c>
      <c r="I3504" s="13" t="inlineStr">
        <is>
          <t>Não</t>
        </is>
      </c>
      <c r="J3504" s="13" t="n">
        <v>1995</v>
      </c>
      <c r="L3504" s="13" t="n">
        <v>1</v>
      </c>
      <c r="M3504" s="8">
        <f>L3504*G3504</f>
        <v/>
      </c>
      <c r="P3504" s="9" t="n"/>
    </row>
    <row r="3505">
      <c r="A3505" s="13" t="inlineStr">
        <is>
          <t>World Map</t>
        </is>
      </c>
      <c r="B3505" s="13" t="inlineStr">
        <is>
          <t>Artifact</t>
        </is>
      </c>
      <c r="C3505" s="13" t="inlineStr">
        <is>
          <t>Comum</t>
        </is>
      </c>
      <c r="D3505" s="13" t="inlineStr">
        <is>
          <t>1, T, Sacrifice this artifact: Search your library for a basic land card, reveal it, put it into your hand, then shuffle. 3, T, Sacrifice this artifact: Search your library for a land card, reveal it, put it into your hand, then shuffle.</t>
        </is>
      </c>
      <c r="E3505" s="13" t="n">
        <v>1</v>
      </c>
      <c r="F3505" s="13" t="inlineStr">
        <is>
          <t>Incolor</t>
        </is>
      </c>
      <c r="G3505" s="8" t="n">
        <v>0.05</v>
      </c>
      <c r="H3505" s="13" t="inlineStr">
        <is>
          <t>Final Fantasy (FFI)</t>
        </is>
      </c>
      <c r="I3505" s="13" t="inlineStr">
        <is>
          <t>Não</t>
        </is>
      </c>
      <c r="J3505" s="13" t="n">
        <v>2025</v>
      </c>
      <c r="L3505" s="13" t="n">
        <v>8</v>
      </c>
      <c r="M3505" s="8">
        <f>L3505*G3505</f>
        <v/>
      </c>
      <c r="P3505" s="9" t="n"/>
    </row>
    <row r="3506">
      <c r="A3506" s="13" t="inlineStr">
        <is>
          <t>World Map</t>
        </is>
      </c>
      <c r="B3506" s="13" t="inlineStr">
        <is>
          <t>Artifact</t>
        </is>
      </c>
      <c r="C3506" s="13" t="inlineStr">
        <is>
          <t>Comum</t>
        </is>
      </c>
      <c r="D3506" s="13" t="inlineStr">
        <is>
          <t>1, T, Sacrifice this artifact: Search your library for a basic land card, reveal it, put it into your hand, then shuffle. 3, T, Sacrifice this artifact: Search your library for a land card, reveal it, put it into your hand, then shuffle.</t>
        </is>
      </c>
      <c r="E3506" s="13" t="n">
        <v>1</v>
      </c>
      <c r="F3506" s="13" t="inlineStr">
        <is>
          <t>Incolor</t>
        </is>
      </c>
      <c r="G3506" s="8" t="n">
        <v>1</v>
      </c>
      <c r="H3506" s="13" t="inlineStr">
        <is>
          <t>Final Fantasy (FFI)</t>
        </is>
      </c>
      <c r="I3506" s="13" t="inlineStr">
        <is>
          <t>Sim</t>
        </is>
      </c>
      <c r="J3506" s="13" t="n">
        <v>2025</v>
      </c>
      <c r="L3506" s="13" t="n">
        <v>2</v>
      </c>
      <c r="M3506" s="8">
        <f>L3506*G3506</f>
        <v/>
      </c>
      <c r="P3506" s="9" t="n"/>
    </row>
    <row r="3507">
      <c r="A3507" s="13" t="inlineStr">
        <is>
          <t>Worship / Adoração</t>
        </is>
      </c>
      <c r="B3507" s="13" t="inlineStr">
        <is>
          <t>Enchantment / Encantamento</t>
        </is>
      </c>
      <c r="C3507" s="13" t="inlineStr">
        <is>
          <t>Rare / Rara</t>
        </is>
      </c>
      <c r="D3507" s="13" t="inlineStr">
        <is>
          <t>If you control a creature, damage that would reduce your life total to less than 1 reduces it to 1 instead. / Se você controlar uma criatura, o dano que reduziria seu total de pontos de vida para menos do que 1, em vez disso, o reduzirá para 1.</t>
        </is>
      </c>
      <c r="E3507" s="13" t="inlineStr">
        <is>
          <t>{3}{W}</t>
        </is>
      </c>
      <c r="F3507" s="13" t="inlineStr">
        <is>
          <t>Branco</t>
        </is>
      </c>
      <c r="G3507" s="8" t="n">
        <v>1.19</v>
      </c>
      <c r="H3507" s="13" t="inlineStr">
        <is>
          <t>Signature Spellbook: Gideon (SS2)</t>
        </is>
      </c>
      <c r="I3507" s="13" t="inlineStr">
        <is>
          <t>Não</t>
        </is>
      </c>
      <c r="J3507" s="13" t="n">
        <v>2019</v>
      </c>
      <c r="L3507" s="13" t="n">
        <v>1</v>
      </c>
      <c r="M3507" s="8">
        <f>L3507*G3507</f>
        <v/>
      </c>
      <c r="P3507" s="9" t="n"/>
    </row>
    <row r="3508">
      <c r="A3508" s="13" t="inlineStr">
        <is>
          <t>Worthy Knight / Cavaleira Digna</t>
        </is>
      </c>
      <c r="B3508" s="13" t="inlineStr">
        <is>
          <t>Creature — Human Knight / Criatura — Humano Cavaleiro</t>
        </is>
      </c>
      <c r="C3508" s="13" t="inlineStr">
        <is>
          <t>Rare / Rara</t>
        </is>
      </c>
      <c r="D3508" s="13" t="inlineStr">
        <is>
          <t>Whenever you cast a Knight spell, create a 1/1 white Human creature token. / Toda vez que você conjurar uma mágica de Cavaleiro, crie uma ficha de criatura branca 1/1 do tipo Humano.</t>
        </is>
      </c>
      <c r="E3508" s="13" t="inlineStr">
        <is>
          <t>{1}{W}</t>
        </is>
      </c>
      <c r="F3508" s="13" t="inlineStr">
        <is>
          <t>Branco</t>
        </is>
      </c>
      <c r="G3508" s="8" t="n">
        <v>0.4</v>
      </c>
      <c r="H3508" s="13" t="inlineStr">
        <is>
          <t>Throne of Eldraine (ELD)</t>
        </is>
      </c>
      <c r="I3508" s="13" t="inlineStr">
        <is>
          <t>Não</t>
        </is>
      </c>
      <c r="J3508" s="13" t="n">
        <v>2019</v>
      </c>
      <c r="K3508" s="10" t="n">
        <v>46055</v>
      </c>
      <c r="L3508" s="13" t="n">
        <v>1</v>
      </c>
      <c r="M3508" s="8">
        <f>L3508*G3508</f>
        <v/>
      </c>
      <c r="P3508" s="9" t="n"/>
    </row>
    <row r="3509">
      <c r="A3509" s="13" t="inlineStr">
        <is>
          <t>Worthy Knight / Cavaleira Digna</t>
        </is>
      </c>
      <c r="B3509" s="13" t="inlineStr">
        <is>
          <t>Creature — Human Knight / Criatura — Humano Cavaleiro</t>
        </is>
      </c>
      <c r="C3509" s="13" t="inlineStr">
        <is>
          <t>Rare / Rara</t>
        </is>
      </c>
      <c r="D3509" s="13" t="inlineStr">
        <is>
          <t>Whenever you cast a Knight spell, create a 1/1 white Human creature token. / Toda vez que você conjurar uma mágica de Cavaleiro, crie uma ficha de criatura branca 1/1 do tipo Humano.</t>
        </is>
      </c>
      <c r="E3509" s="13" t="inlineStr">
        <is>
          <t>{1}{W}</t>
        </is>
      </c>
      <c r="F3509" s="13" t="inlineStr">
        <is>
          <t>Branco</t>
        </is>
      </c>
      <c r="G3509" s="8" t="n">
        <v>0.7</v>
      </c>
      <c r="H3509" s="13" t="inlineStr">
        <is>
          <t>Throne of Eldraine (ELD)</t>
        </is>
      </c>
      <c r="I3509" s="13" t="inlineStr">
        <is>
          <t>Sim</t>
        </is>
      </c>
      <c r="J3509" s="13" t="n">
        <v>2019</v>
      </c>
      <c r="K3509" s="10" t="n">
        <v>46055</v>
      </c>
      <c r="L3509" s="13" t="n">
        <v>1</v>
      </c>
      <c r="M3509" s="8">
        <f>L3509*G3509</f>
        <v/>
      </c>
      <c r="P3509" s="9" t="n"/>
    </row>
    <row r="3510">
      <c r="A3510" s="13" t="inlineStr">
        <is>
          <t>Wrench / Chave Ajustável</t>
        </is>
      </c>
      <c r="B3510" s="13" t="inlineStr">
        <is>
          <t>Artifact — Clue Equipment / Artefato — Pista Equipamento</t>
        </is>
      </c>
      <c r="C3510" s="13" t="inlineStr">
        <is>
          <t>Uncommon / Incomum</t>
        </is>
      </c>
      <c r="D3510" s="13" t="inlineStr">
        <is>
          <t>Equipped creature gets +1/+1 and has vigilance and "{3}, {T}: Tap target creature." {2}, Sacrifice this Equipment: Draw a card. Equip {2} / A criatura equipada recebe +1/+1 e tem vigilância e "{3}, {T}: Vire a criatura alvo". {2}, sacrifique Chave Ajustável: Compre um card. Equipar {2}</t>
        </is>
      </c>
      <c r="E3510" s="13" t="inlineStr">
        <is>
          <t>{W}</t>
        </is>
      </c>
      <c r="F3510" s="13" t="inlineStr">
        <is>
          <t>Branco</t>
        </is>
      </c>
      <c r="G3510" s="8" t="n">
        <v>0.09</v>
      </c>
      <c r="H3510" s="13" t="inlineStr">
        <is>
          <t>Murders at Karlov Manor (MKM)</t>
        </is>
      </c>
      <c r="I3510" s="13" t="inlineStr">
        <is>
          <t>Não</t>
        </is>
      </c>
      <c r="J3510" s="13" t="n">
        <v>2024</v>
      </c>
      <c r="L3510" s="13" t="n">
        <v>1</v>
      </c>
      <c r="M3510" s="8">
        <f>L3510*G3510</f>
        <v/>
      </c>
      <c r="P3510" s="9" t="n"/>
    </row>
    <row r="3511">
      <c r="A3511" s="13" t="inlineStr">
        <is>
          <t>Wretched Throng / Multidão Abominável</t>
        </is>
      </c>
      <c r="B3511" s="13" t="inlineStr">
        <is>
          <t>Creature — Zombie Horror / Criatura — Zumbi Horror</t>
        </is>
      </c>
      <c r="C3511" s="13" t="inlineStr">
        <is>
          <t>Common / Comum</t>
        </is>
      </c>
      <c r="D3511" s="13"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3511" s="13" t="inlineStr">
        <is>
          <t>{1}{U}</t>
        </is>
      </c>
      <c r="F3511" s="13" t="inlineStr">
        <is>
          <t>Azul</t>
        </is>
      </c>
      <c r="G3511" s="8" t="n">
        <v>0.07000000000000001</v>
      </c>
      <c r="H3511" s="13" t="inlineStr">
        <is>
          <t>Innistrad: Crimson Vow (VOW)</t>
        </is>
      </c>
      <c r="I3511" s="13" t="inlineStr">
        <is>
          <t>Não</t>
        </is>
      </c>
      <c r="J3511" s="13" t="n">
        <v>2021</v>
      </c>
      <c r="K3511" s="10" t="n">
        <v>46024</v>
      </c>
      <c r="L3511" s="13" t="n">
        <v>4</v>
      </c>
      <c r="M3511" s="8">
        <f>L3511*G3511</f>
        <v/>
      </c>
      <c r="P3511" s="9" t="n"/>
    </row>
    <row r="3512">
      <c r="A3512" s="13" t="inlineStr">
        <is>
          <t>Writhing Necromass / Necromassa Contorcida</t>
        </is>
      </c>
      <c r="B3512" s="13" t="inlineStr">
        <is>
          <t>Creature — Zombie Giant / Criatura — Zumbi Gigante</t>
        </is>
      </c>
      <c r="C3512" s="13" t="inlineStr">
        <is>
          <t>Common / Comum</t>
        </is>
      </c>
      <c r="D3512" s="13" t="inlineStr">
        <is>
          <t>This spell costs {1} less to cast for each creature card in your graveyard. Deathtouch / Esta mágica custa {1} a menos para ser conjurada para cada card de criatura em seu cemitério. Toque mortífero</t>
        </is>
      </c>
      <c r="E3512" s="13" t="inlineStr">
        <is>
          <t>{6}{B}</t>
        </is>
      </c>
      <c r="F3512" s="13" t="inlineStr">
        <is>
          <t>Preto</t>
        </is>
      </c>
      <c r="G3512" s="8" t="n">
        <v>0.16</v>
      </c>
      <c r="H3512" s="13" t="inlineStr">
        <is>
          <t>Dominaria United (DMU)</t>
        </is>
      </c>
      <c r="I3512" s="13" t="inlineStr">
        <is>
          <t>Não</t>
        </is>
      </c>
      <c r="J3512" s="13" t="n">
        <v>2022</v>
      </c>
      <c r="K3512" s="10" t="n">
        <v>46147</v>
      </c>
      <c r="L3512" s="13" t="n">
        <v>1</v>
      </c>
      <c r="M3512" s="8">
        <f>L3512*G3512</f>
        <v/>
      </c>
      <c r="P3512" s="9" t="n"/>
    </row>
    <row r="3513">
      <c r="A3513" s="13" t="inlineStr">
        <is>
          <t>Wumpus Aberration / Wumpus Aberração</t>
        </is>
      </c>
      <c r="B3513" s="13" t="inlineStr">
        <is>
          <t>Creature — Eldrazi Beast / Criatura — Eldrazi Besta</t>
        </is>
      </c>
      <c r="C3513" s="13" t="inlineStr">
        <is>
          <t>Uncommon / Incomum</t>
        </is>
      </c>
      <c r="D3513" s="13"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3513" s="13" t="inlineStr">
        <is>
          <t>{3}{G}</t>
        </is>
      </c>
      <c r="F3513" s="13" t="inlineStr">
        <is>
          <t>Verde</t>
        </is>
      </c>
      <c r="G3513" s="8" t="n">
        <v>0.1</v>
      </c>
      <c r="H3513" s="13" t="inlineStr">
        <is>
          <t>Modern Horizons 3 (MH3)</t>
        </is>
      </c>
      <c r="I3513" s="13" t="inlineStr">
        <is>
          <t>Não</t>
        </is>
      </c>
      <c r="J3513" s="13" t="n">
        <v>2024</v>
      </c>
      <c r="K3513" s="10" t="n">
        <v>46179</v>
      </c>
      <c r="L3513" s="13" t="n">
        <v>1</v>
      </c>
      <c r="M3513" s="8">
        <f>L3513*G3513</f>
        <v/>
      </c>
      <c r="P3513" s="9" t="n"/>
    </row>
    <row r="3514">
      <c r="A3514" s="13" t="inlineStr">
        <is>
          <t>Wurmwall Sweeper</t>
        </is>
      </c>
      <c r="B3514" s="13" t="inlineStr">
        <is>
          <t>Artifact — Spacecraft</t>
        </is>
      </c>
      <c r="C3514" s="13" t="inlineStr">
        <is>
          <t>Common</t>
        </is>
      </c>
      <c r="D3514" s="13" t="inlineStr">
        <is>
          <t>When this Spacecraft enters, surveil 2. Station (Tap another creature you control: Put charge counters equal to its power on this Spacecraft. Station only as a sorcery. It's an artifact creature at 4+.) Flying</t>
        </is>
      </c>
      <c r="E3514" s="13" t="inlineStr">
        <is>
          <t>{2}</t>
        </is>
      </c>
      <c r="F3514" s="13" t="inlineStr">
        <is>
          <t>Colorless</t>
        </is>
      </c>
      <c r="G3514" s="8" t="n">
        <v>0.07000000000000001</v>
      </c>
      <c r="H3514" s="13" t="inlineStr">
        <is>
          <t>Edge of Eternity (EOE)</t>
        </is>
      </c>
      <c r="I3514" s="13" t="inlineStr">
        <is>
          <t>Não</t>
        </is>
      </c>
      <c r="J3514" s="13" t="n">
        <v>2025</v>
      </c>
      <c r="K3514" s="10" t="n">
        <v>46055</v>
      </c>
      <c r="L3514" s="13" t="n">
        <v>1</v>
      </c>
      <c r="M3514" s="8">
        <f>L3514*G3514</f>
        <v/>
      </c>
      <c r="P3514" s="9" t="n"/>
    </row>
    <row r="3515">
      <c r="A3515" s="13" t="inlineStr">
        <is>
          <t>Wurmwall Sweeper / Varredor da Muralha de Vermes</t>
        </is>
      </c>
      <c r="B3515" s="13" t="inlineStr">
        <is>
          <t>Artefato — Nave Espacial</t>
        </is>
      </c>
      <c r="C3515" s="13" t="inlineStr">
        <is>
          <t>Comum</t>
        </is>
      </c>
      <c r="D3515" s="13" t="inlineStr">
        <is>
          <t>Quando esta Nave Espacial entrar, vigie 2. Estação (Vire outra criatura que você controla: Coloque marcadores de carga iguais ao poder dela nesta Nave Espacial. Estacione somente como um feitiço. É uma criatura artefato enquanto tiver 4+.) Voar</t>
        </is>
      </c>
      <c r="E3515" s="13" t="inlineStr">
        <is>
          <t>{2}</t>
        </is>
      </c>
      <c r="F3515" s="13" t="inlineStr">
        <is>
          <t>Incolor</t>
        </is>
      </c>
      <c r="G3515" s="8" t="n">
        <v>0.07000000000000001</v>
      </c>
      <c r="H3515" s="13" t="inlineStr">
        <is>
          <t>Edge of Eternity</t>
        </is>
      </c>
      <c r="I3515" s="13" t="inlineStr">
        <is>
          <t>Não</t>
        </is>
      </c>
      <c r="J3515" s="13" t="n">
        <v>2025</v>
      </c>
      <c r="K3515" s="10" t="n">
        <v>46055</v>
      </c>
      <c r="L3515" s="13" t="n">
        <v>1</v>
      </c>
      <c r="M3515" s="8">
        <f>L3515*G3515</f>
        <v/>
      </c>
      <c r="P3515" s="9" t="n"/>
    </row>
    <row r="3516">
      <c r="A3516" s="13" t="inlineStr">
        <is>
          <t>Xu-Ifit, Osteoharmonist</t>
        </is>
      </c>
      <c r="B3516" s="13" t="inlineStr">
        <is>
          <t>Legendary Creature — Human Wizard</t>
        </is>
      </c>
      <c r="C3516" s="13" t="inlineStr">
        <is>
          <t>Rare</t>
        </is>
      </c>
      <c r="D3516" s="13" t="inlineStr">
        <is>
          <t>{T}: Return target creature card from your graveyard to the battlefield. It's a Skeleton in addition to its other types and has no abilities. Activate only as a sorcery.</t>
        </is>
      </c>
      <c r="E3516" s="13" t="inlineStr">
        <is>
          <t>{1}{B}{B}</t>
        </is>
      </c>
      <c r="F3516" s="13" t="inlineStr">
        <is>
          <t>Preto</t>
        </is>
      </c>
      <c r="G3516" s="8" t="n">
        <v>0.71</v>
      </c>
      <c r="H3516" s="13" t="inlineStr">
        <is>
          <t>EOE</t>
        </is>
      </c>
      <c r="I3516" s="13" t="inlineStr">
        <is>
          <t>Não</t>
        </is>
      </c>
      <c r="J3516" s="13" t="n">
        <v>2025</v>
      </c>
      <c r="K3516" s="10" t="n">
        <v>46083</v>
      </c>
      <c r="L3516" s="13" t="n">
        <v>1</v>
      </c>
      <c r="M3516" s="8">
        <f>L3516*G3516</f>
        <v/>
      </c>
      <c r="P3516" s="9" t="n"/>
    </row>
    <row r="3517">
      <c r="A3517" s="13" t="inlineStr">
        <is>
          <t>Yahenni, Undying Partisan / Yahenni, Guerrilheiro Imortal</t>
        </is>
      </c>
      <c r="B3517" s="13" t="inlineStr">
        <is>
          <t>Legendary Creature — Aetherborn Vampire / Criatura Lendária — Etergênito Vampiro</t>
        </is>
      </c>
      <c r="C3517" s="13" t="inlineStr">
        <is>
          <t>Uncommon / Incomum</t>
        </is>
      </c>
      <c r="D3517" s="13"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3517" s="13" t="inlineStr">
        <is>
          <t>{2}{B}</t>
        </is>
      </c>
      <c r="F3517" s="13" t="inlineStr">
        <is>
          <t>Preto</t>
        </is>
      </c>
      <c r="G3517" s="8" t="n">
        <v>1.7</v>
      </c>
      <c r="H3517" s="13" t="inlineStr">
        <is>
          <t>Commander Masters (CMM)</t>
        </is>
      </c>
      <c r="I3517" s="13" t="inlineStr">
        <is>
          <t>Não</t>
        </is>
      </c>
      <c r="J3517" s="13" t="n">
        <v>2023</v>
      </c>
      <c r="K3517" s="10" t="n">
        <v>46055</v>
      </c>
      <c r="L3517" s="13" t="n">
        <v>1</v>
      </c>
      <c r="M3517" s="8">
        <f>L3517*G3517</f>
        <v/>
      </c>
      <c r="N3517" s="13" t="inlineStr">
        <is>
          <t>Pasta</t>
        </is>
      </c>
      <c r="P3517" s="9" t="n"/>
    </row>
    <row r="3518">
      <c r="A3518" s="13" t="inlineStr">
        <is>
          <t>Yahenni's Expertise / Especialidade de Yahenni</t>
        </is>
      </c>
      <c r="B3518" s="13" t="inlineStr">
        <is>
          <t>Sorcery / Feitiço</t>
        </is>
      </c>
      <c r="C3518" s="13" t="inlineStr">
        <is>
          <t>Rare / Rara</t>
        </is>
      </c>
      <c r="D3518" s="13"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3518" s="13" t="inlineStr">
        <is>
          <t>{2}{B}{B}</t>
        </is>
      </c>
      <c r="F3518" s="13" t="inlineStr">
        <is>
          <t>Preto</t>
        </is>
      </c>
      <c r="G3518" s="8" t="n">
        <v>2</v>
      </c>
      <c r="H3518" s="13" t="inlineStr">
        <is>
          <t>Aether Revolt (AER)</t>
        </is>
      </c>
      <c r="I3518" s="13" t="inlineStr">
        <is>
          <t>Não</t>
        </is>
      </c>
      <c r="J3518" s="13" t="n">
        <v>2017</v>
      </c>
      <c r="L3518" s="13" t="n">
        <v>1</v>
      </c>
      <c r="M3518" s="8">
        <f>L3518*G3518</f>
        <v/>
      </c>
      <c r="N3518" s="13" t="inlineStr">
        <is>
          <t>Pasta</t>
        </is>
      </c>
      <c r="P3518" s="9" t="n"/>
    </row>
    <row r="3519">
      <c r="A3519" s="13" t="inlineStr">
        <is>
          <t>Yargle, Glutton of Urborg / Yargle, Glutão de Urborg</t>
        </is>
      </c>
      <c r="B3519" s="13" t="inlineStr">
        <is>
          <t>Legendary Creature — Frog Spirit / Criatura Lendária — Sapo Espírito</t>
        </is>
      </c>
      <c r="C3519" s="13" t="inlineStr">
        <is>
          <t>Uncommon / Incomum</t>
        </is>
      </c>
      <c r="E3519" s="13" t="inlineStr">
        <is>
          <t>{4}{B}</t>
        </is>
      </c>
      <c r="F3519" s="13" t="inlineStr">
        <is>
          <t>Preto</t>
        </is>
      </c>
      <c r="G3519" s="8" t="n">
        <v>0.15</v>
      </c>
      <c r="H3519" s="13" t="inlineStr">
        <is>
          <t>Commander Masters (CMM)</t>
        </is>
      </c>
      <c r="I3519" s="13" t="inlineStr">
        <is>
          <t>Não</t>
        </is>
      </c>
      <c r="J3519" s="13" t="n">
        <v>2023</v>
      </c>
      <c r="K3519" s="10" t="n">
        <v>46090</v>
      </c>
      <c r="L3519" s="13" t="n">
        <v>1</v>
      </c>
      <c r="M3519" s="8">
        <f>L3519*G3519</f>
        <v/>
      </c>
      <c r="P3519" s="9" t="n"/>
    </row>
    <row r="3520">
      <c r="A3520" s="13" t="inlineStr">
        <is>
          <t>Yargle, Glutton of Urborg / Yargle, Glutão de Urborg</t>
        </is>
      </c>
      <c r="B3520" s="13" t="inlineStr">
        <is>
          <t>Legendary Creature — Frog Spirit / Criatura Lendária — Sapo Espírito</t>
        </is>
      </c>
      <c r="C3520" s="13" t="inlineStr">
        <is>
          <t>Uncommon / Incomum</t>
        </is>
      </c>
      <c r="E3520" s="13" t="inlineStr">
        <is>
          <t>{4}{B}</t>
        </is>
      </c>
      <c r="F3520" s="13" t="inlineStr">
        <is>
          <t>Preto</t>
        </is>
      </c>
      <c r="G3520" s="8" t="n">
        <v>0.02</v>
      </c>
      <c r="H3520" s="13" t="inlineStr">
        <is>
          <t>Multiverse Legends (MUL)</t>
        </is>
      </c>
      <c r="I3520" s="13" t="inlineStr">
        <is>
          <t>Sim</t>
        </is>
      </c>
      <c r="J3520" s="13" t="n">
        <v>2023</v>
      </c>
      <c r="K3520" s="10" t="n">
        <v>46090</v>
      </c>
      <c r="L3520" s="13" t="n">
        <v>1</v>
      </c>
      <c r="M3520" s="8">
        <f>L3520*G3520</f>
        <v/>
      </c>
      <c r="P3520" s="9" t="n"/>
    </row>
    <row r="3521">
      <c r="A3521" s="13" t="inlineStr">
        <is>
          <t>Yavimaya Elder / Ancião de Yavimaya</t>
        </is>
      </c>
      <c r="B3521" s="13" t="inlineStr">
        <is>
          <t>Creature — Human Druid / Criatura — Humano Druida</t>
        </is>
      </c>
      <c r="C3521" s="13" t="inlineStr">
        <is>
          <t>Uncommon / Incomum</t>
        </is>
      </c>
      <c r="D3521" s="13"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3521" s="13" t="inlineStr">
        <is>
          <t>{1}{G}{G}</t>
        </is>
      </c>
      <c r="F3521" s="13" t="inlineStr">
        <is>
          <t>Verde</t>
        </is>
      </c>
      <c r="G3521" s="8" t="n">
        <v>0.17</v>
      </c>
      <c r="H3521" s="13" t="inlineStr">
        <is>
          <t>Modern Horizons 2 (MH2)</t>
        </is>
      </c>
      <c r="I3521" s="13" t="inlineStr">
        <is>
          <t>Não</t>
        </is>
      </c>
      <c r="J3521" s="13" t="n">
        <v>2021</v>
      </c>
      <c r="K3521" s="10" t="n">
        <v>46024</v>
      </c>
      <c r="L3521" s="13" t="n">
        <v>1</v>
      </c>
      <c r="M3521" s="8">
        <f>L3521*G3521</f>
        <v/>
      </c>
      <c r="P3521" s="9" t="n"/>
    </row>
    <row r="3522">
      <c r="A3522" s="13" t="inlineStr">
        <is>
          <t>Yavimaya Iconoclast / Iconoclasta de Yavimaya</t>
        </is>
      </c>
      <c r="B3522" s="13" t="inlineStr">
        <is>
          <t>Creature — Elf / Criatura — Elfo</t>
        </is>
      </c>
      <c r="C3522" s="13" t="inlineStr">
        <is>
          <t>Uncommon / Incomum</t>
        </is>
      </c>
      <c r="D3522" s="13"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3522" s="13" t="inlineStr">
        <is>
          <t>{1}{G}</t>
        </is>
      </c>
      <c r="F3522" s="13" t="inlineStr">
        <is>
          <t>Verde</t>
        </is>
      </c>
      <c r="G3522" s="8" t="n">
        <v>0.08</v>
      </c>
      <c r="H3522" s="13" t="inlineStr">
        <is>
          <t>Dominaria United (DMU)</t>
        </is>
      </c>
      <c r="I3522" s="13" t="inlineStr">
        <is>
          <t>Não</t>
        </is>
      </c>
      <c r="J3522" s="13" t="n">
        <v>2022</v>
      </c>
      <c r="K3522" s="10" t="n">
        <v>46056</v>
      </c>
      <c r="L3522" s="13" t="n">
        <v>1</v>
      </c>
      <c r="M3522" s="8">
        <f>L3522*G3522</f>
        <v/>
      </c>
      <c r="P3522" s="9" t="n"/>
    </row>
    <row r="3523">
      <c r="A3523" s="13" t="inlineStr">
        <is>
          <t>Yawgmoth's Vile Offering / Oferenda Vil de Yawgmoth</t>
        </is>
      </c>
      <c r="B3523" s="13" t="inlineStr">
        <is>
          <t>Legendary Sorcery / Feitiço Lendário</t>
        </is>
      </c>
      <c r="C3523" s="13" t="inlineStr">
        <is>
          <t>Rare / Rara</t>
        </is>
      </c>
      <c r="D3523" s="13"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3523" s="13" t="inlineStr">
        <is>
          <t>{4}{B}</t>
        </is>
      </c>
      <c r="F3523" s="13" t="inlineStr">
        <is>
          <t>Preto</t>
        </is>
      </c>
      <c r="G3523" s="8" t="n">
        <v>1.98</v>
      </c>
      <c r="H3523" s="13" t="inlineStr">
        <is>
          <t>Dominaria (DOM)</t>
        </is>
      </c>
      <c r="I3523" s="13" t="inlineStr">
        <is>
          <t>Sim</t>
        </is>
      </c>
      <c r="J3523" s="13" t="n">
        <v>2018</v>
      </c>
      <c r="L3523" s="13" t="n">
        <v>1</v>
      </c>
      <c r="M3523" s="8">
        <f>L3523*G3523</f>
        <v/>
      </c>
      <c r="N3523" s="13" t="inlineStr">
        <is>
          <t>Pasta</t>
        </is>
      </c>
      <c r="P3523" s="9" t="n"/>
    </row>
    <row r="3524">
      <c r="A3524" s="13" t="inlineStr">
        <is>
          <t>Yip Yip!</t>
        </is>
      </c>
      <c r="B3524" s="13" t="inlineStr">
        <is>
          <t>Instant — Lesson</t>
        </is>
      </c>
      <c r="C3524" s="13" t="inlineStr">
        <is>
          <t>Common / Comum</t>
        </is>
      </c>
      <c r="D3524" s="13" t="inlineStr">
        <is>
          <t>Target creature you control gets +2/+2 until end of turn. If that creature is an Ally, it also gains flying until end of turn.</t>
        </is>
      </c>
      <c r="E3524" s="13" t="inlineStr">
        <is>
          <t>{W}</t>
        </is>
      </c>
      <c r="F3524" s="13" t="inlineStr">
        <is>
          <t>Branco</t>
        </is>
      </c>
      <c r="G3524" s="8" t="n">
        <v>0.06</v>
      </c>
      <c r="H3524" s="13" t="inlineStr">
        <is>
          <t>Avatar: The Last Airbender (TLA)</t>
        </is>
      </c>
      <c r="I3524" s="13" t="inlineStr">
        <is>
          <t>Não</t>
        </is>
      </c>
      <c r="J3524" s="13" t="n">
        <v>2025</v>
      </c>
      <c r="L3524" s="13" t="n">
        <v>1</v>
      </c>
      <c r="M3524" s="8">
        <f>L3524*G3524</f>
        <v/>
      </c>
      <c r="P3524" s="9" t="n"/>
    </row>
    <row r="3525">
      <c r="A3525" s="13" t="inlineStr">
        <is>
          <t>Yip Yip!</t>
        </is>
      </c>
      <c r="B3525" s="13" t="inlineStr">
        <is>
          <t>Instant — Lesson</t>
        </is>
      </c>
      <c r="C3525" s="13" t="inlineStr">
        <is>
          <t>Common / Comum</t>
        </is>
      </c>
      <c r="D3525" s="13" t="inlineStr">
        <is>
          <t>Target creature you control gets +2/+2 until end of turn. If that creature is an Ally, it also gains flying until end of turn.</t>
        </is>
      </c>
      <c r="E3525" s="13" t="inlineStr">
        <is>
          <t>{W}</t>
        </is>
      </c>
      <c r="F3525" s="13" t="inlineStr">
        <is>
          <t>Branco</t>
        </is>
      </c>
      <c r="G3525" s="8" t="n">
        <v>0.06</v>
      </c>
      <c r="H3525" s="13" t="inlineStr">
        <is>
          <t>Avatar: The Last Airbender (TLA)</t>
        </is>
      </c>
      <c r="I3525" s="13" t="inlineStr">
        <is>
          <t>Não</t>
        </is>
      </c>
      <c r="J3525" s="13" t="n">
        <v>2025</v>
      </c>
      <c r="L3525" s="13" t="n">
        <v>3</v>
      </c>
      <c r="M3525" s="8">
        <f>L3525*G3525</f>
        <v/>
      </c>
      <c r="P3525" s="9" t="n"/>
    </row>
    <row r="3526">
      <c r="A3526" s="13" t="inlineStr">
        <is>
          <t>Yoked Plowbeast / Besta Lavradora Bridada</t>
        </is>
      </c>
      <c r="B3526" s="13" t="inlineStr">
        <is>
          <t>Creature — Beast / Criatura — Besta</t>
        </is>
      </c>
      <c r="C3526" s="13" t="inlineStr">
        <is>
          <t>Common / Comum</t>
        </is>
      </c>
      <c r="D3526" s="13" t="inlineStr">
        <is>
          <t>Cycling {2} ({2}, Discard this card: Draw a card.) / Reciclar {2} ({2}, Descarte este card: Compre um card.)</t>
        </is>
      </c>
      <c r="E3526" s="13" t="inlineStr">
        <is>
          <t>{5}{W}{W}</t>
        </is>
      </c>
      <c r="F3526" s="13" t="inlineStr">
        <is>
          <t>Branco</t>
        </is>
      </c>
      <c r="G3526" s="8" t="n">
        <v>0.09</v>
      </c>
      <c r="H3526" s="13" t="inlineStr">
        <is>
          <t>Shards of Alara (ALA)</t>
        </is>
      </c>
      <c r="I3526" s="13" t="inlineStr">
        <is>
          <t>Não</t>
        </is>
      </c>
      <c r="J3526" s="13" t="n">
        <v>2008</v>
      </c>
      <c r="K3526" s="10" t="n">
        <v>46147</v>
      </c>
      <c r="L3526" s="13" t="n">
        <v>1</v>
      </c>
      <c r="M3526" s="8">
        <f>L3526*G3526</f>
        <v/>
      </c>
      <c r="P3526" s="9" t="n"/>
    </row>
    <row r="3527">
      <c r="A3527" s="13" t="inlineStr">
        <is>
          <t>Yotia Declares War / Yotia Declara Guerra</t>
        </is>
      </c>
      <c r="B3527" s="13" t="inlineStr">
        <is>
          <t>Enchantment — Saga / Encantamento — Saga</t>
        </is>
      </c>
      <c r="C3527" s="13" t="inlineStr">
        <is>
          <t>Uncommon / Incomum</t>
        </is>
      </c>
      <c r="D3527" s="13"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3527" s="13" t="inlineStr">
        <is>
          <t>{1}{R}</t>
        </is>
      </c>
      <c r="F3527" s="13" t="inlineStr">
        <is>
          <t>Vermelho</t>
        </is>
      </c>
      <c r="G3527" s="8" t="n">
        <v>0.04</v>
      </c>
      <c r="H3527" s="13" t="inlineStr">
        <is>
          <t>Dominaria United (DMU)</t>
        </is>
      </c>
      <c r="I3527" s="13" t="inlineStr">
        <is>
          <t>Não</t>
        </is>
      </c>
      <c r="J3527" s="13" t="n">
        <v>2022</v>
      </c>
      <c r="L3527" s="13" t="n">
        <v>1</v>
      </c>
      <c r="M3527" s="8">
        <f>L3527*G3527</f>
        <v/>
      </c>
      <c r="P3527" s="9" t="n"/>
    </row>
    <row r="3528">
      <c r="A3528" s="13" t="inlineStr">
        <is>
          <t>Yotian Soldier / Soldado Yotiano</t>
        </is>
      </c>
      <c r="B3528" s="13" t="inlineStr">
        <is>
          <t>Artifact Creature — Soldier / Criatura Artefato — Soldado</t>
        </is>
      </c>
      <c r="C3528" s="13" t="inlineStr">
        <is>
          <t>Common / Comum</t>
        </is>
      </c>
      <c r="D3528" s="13" t="inlineStr">
        <is>
          <t>Vigilance / Soldado Yotiano não é virado para atacar.</t>
        </is>
      </c>
      <c r="E3528" s="13" t="inlineStr">
        <is>
          <t>{3}</t>
        </is>
      </c>
      <c r="F3528" s="13" t="inlineStr">
        <is>
          <t>Incolor</t>
        </is>
      </c>
      <c r="G3528" s="8" t="n">
        <v>0.05</v>
      </c>
      <c r="H3528" s="13" t="inlineStr">
        <is>
          <t>Fourth Edition</t>
        </is>
      </c>
      <c r="I3528" s="13" t="inlineStr">
        <is>
          <t>Não</t>
        </is>
      </c>
      <c r="J3528" s="13" t="n">
        <v>1995</v>
      </c>
      <c r="K3528" s="10" t="n">
        <v>46113</v>
      </c>
      <c r="L3528" s="13" t="n">
        <v>2</v>
      </c>
      <c r="M3528" s="8">
        <f>L3528*G3528</f>
        <v/>
      </c>
      <c r="P3528" s="9" t="n"/>
    </row>
    <row r="3529">
      <c r="A3529" s="13" t="inlineStr">
        <is>
          <t>Yotian Soldier / Soldado Yotiano</t>
        </is>
      </c>
      <c r="B3529" s="13" t="inlineStr">
        <is>
          <t>Artifact Creature — Soldier / Criatura Artefato — Soldado</t>
        </is>
      </c>
      <c r="C3529" s="13" t="inlineStr">
        <is>
          <t>Common / Comum</t>
        </is>
      </c>
      <c r="D3529" s="13" t="inlineStr">
        <is>
          <t>Vigilance / Soldado Yotiano não é virado para atacar.</t>
        </is>
      </c>
      <c r="E3529" s="13" t="inlineStr">
        <is>
          <t>{3}</t>
        </is>
      </c>
      <c r="F3529" s="13" t="inlineStr">
        <is>
          <t>Incolor</t>
        </is>
      </c>
      <c r="G3529" s="8" t="n">
        <v>0.08</v>
      </c>
      <c r="H3529" s="13" t="inlineStr">
        <is>
          <t>Fourth Edition (BB)</t>
        </is>
      </c>
      <c r="I3529" s="13" t="inlineStr">
        <is>
          <t>Não</t>
        </is>
      </c>
      <c r="J3529" s="13" t="n">
        <v>1995</v>
      </c>
      <c r="K3529" s="10" t="n">
        <v>46113</v>
      </c>
      <c r="L3529" s="13" t="n">
        <v>3</v>
      </c>
      <c r="M3529" s="8">
        <f>L3529*G3529</f>
        <v/>
      </c>
      <c r="P3529" s="9" t="n"/>
    </row>
    <row r="3530">
      <c r="A3530" s="13" t="inlineStr">
        <is>
          <t>You Hear Something on Watch / Vocês Ouvem Algo Enquanto Vigiam</t>
        </is>
      </c>
      <c r="B3530" s="13" t="inlineStr">
        <is>
          <t>Instant / Mágica Instantânea</t>
        </is>
      </c>
      <c r="C3530" s="13" t="inlineStr">
        <is>
          <t>Common / Comum</t>
        </is>
      </c>
      <c r="D3530" s="13"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3530" s="13" t="inlineStr">
        <is>
          <t>{1}{W}</t>
        </is>
      </c>
      <c r="F3530" s="13" t="inlineStr">
        <is>
          <t>Branco</t>
        </is>
      </c>
      <c r="G3530" s="8" t="n">
        <v>0.14</v>
      </c>
      <c r="H3530" s="13" t="inlineStr">
        <is>
          <t>Adventures in the Forgotten Realms (AFR)</t>
        </is>
      </c>
      <c r="I3530" s="13" t="inlineStr">
        <is>
          <t>Sim</t>
        </is>
      </c>
      <c r="J3530" s="13" t="n">
        <v>2021</v>
      </c>
      <c r="L3530" s="13" t="n">
        <v>4</v>
      </c>
      <c r="M3530" s="8">
        <f>L3530*G3530</f>
        <v/>
      </c>
      <c r="P3530" s="9" t="n"/>
    </row>
    <row r="3531">
      <c r="A3531" s="13" t="inlineStr">
        <is>
          <t>You Meet in a Tavern / Vocês se Encontram numa Taverna</t>
        </is>
      </c>
      <c r="B3531" s="13" t="inlineStr">
        <is>
          <t>Sorcery / Feitiço</t>
        </is>
      </c>
      <c r="C3531" s="13" t="inlineStr">
        <is>
          <t>Uncommon / Incomum</t>
        </is>
      </c>
      <c r="D3531" s="13"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3531" s="13" t="inlineStr">
        <is>
          <t>{2}{G}{G}</t>
        </is>
      </c>
      <c r="F3531" s="13" t="inlineStr">
        <is>
          <t>Verde</t>
        </is>
      </c>
      <c r="G3531" s="8" t="n">
        <v>0.18</v>
      </c>
      <c r="H3531" s="13" t="inlineStr">
        <is>
          <t>Adventures in the Forgotten Realms (AFR)</t>
        </is>
      </c>
      <c r="I3531" s="13" t="inlineStr">
        <is>
          <t>Não</t>
        </is>
      </c>
      <c r="J3531" s="13" t="n">
        <v>2021</v>
      </c>
      <c r="L3531" s="13" t="n">
        <v>2</v>
      </c>
      <c r="M3531" s="8">
        <f>L3531*G3531</f>
        <v/>
      </c>
      <c r="P3531" s="9" t="n"/>
    </row>
    <row r="3532">
      <c r="A3532" s="13" t="inlineStr">
        <is>
          <t>You're Not Alone</t>
        </is>
      </c>
      <c r="B3532" s="13" t="inlineStr">
        <is>
          <t>Instant</t>
        </is>
      </c>
      <c r="C3532" s="13" t="inlineStr">
        <is>
          <t>Comum</t>
        </is>
      </c>
      <c r="D3532" s="13" t="inlineStr">
        <is>
          <t>Target creature gets +2/+2 until end of turn. If you control three or more creatures, it gets +4/+4 until end of turn instead.</t>
        </is>
      </c>
      <c r="E3532" s="13" t="inlineStr">
        <is>
          <t>W</t>
        </is>
      </c>
      <c r="F3532" s="13" t="inlineStr">
        <is>
          <t>Branca</t>
        </is>
      </c>
      <c r="G3532" s="8" t="n">
        <v>0.1</v>
      </c>
      <c r="H3532" s="13" t="inlineStr">
        <is>
          <t>Final Fantasy (FFIX)</t>
        </is>
      </c>
      <c r="I3532" s="13" t="inlineStr">
        <is>
          <t>Não</t>
        </is>
      </c>
      <c r="J3532" s="13" t="n">
        <v>2025</v>
      </c>
      <c r="L3532" s="13" t="n">
        <v>8</v>
      </c>
      <c r="M3532" s="8">
        <f>L3532*G3532</f>
        <v/>
      </c>
      <c r="P3532" s="9" t="n"/>
    </row>
    <row r="3533">
      <c r="A3533" s="13" t="inlineStr">
        <is>
          <t>Young Pyromancer / Piromante Jovem</t>
        </is>
      </c>
      <c r="B3533" s="13" t="inlineStr">
        <is>
          <t>Creature — Human Shaman / Criatura — Humano Xamã</t>
        </is>
      </c>
      <c r="C3533" s="13" t="inlineStr">
        <is>
          <t>Uncommon / Incomum</t>
        </is>
      </c>
      <c r="D3533" s="13" t="inlineStr">
        <is>
          <t>Whenever you cast an instant or sorcery spell, create a 1/1 red Elemental creature token. / Toda vez que você conjurar uma mágica instantânea ou feitiço, coloque no campo de batalha uma ficha de criatura vermelha 1/1 do tipo Elemental.</t>
        </is>
      </c>
      <c r="E3533" s="13" t="inlineStr">
        <is>
          <t>{1}{R}</t>
        </is>
      </c>
      <c r="F3533" s="13" t="inlineStr">
        <is>
          <t>Vermelho</t>
        </is>
      </c>
      <c r="G3533" s="8" t="n">
        <v>1.89</v>
      </c>
      <c r="H3533" s="13" t="inlineStr">
        <is>
          <t>Foundations Jumpstart (J25)</t>
        </is>
      </c>
      <c r="I3533" s="13" t="inlineStr">
        <is>
          <t>Não</t>
        </is>
      </c>
      <c r="J3533" s="13" t="n">
        <v>2024</v>
      </c>
      <c r="K3533" s="10" t="n">
        <v>46024</v>
      </c>
      <c r="L3533" s="13" t="n">
        <v>1</v>
      </c>
      <c r="M3533" s="8">
        <f>L3533*G3533</f>
        <v/>
      </c>
      <c r="N3533" s="13" t="inlineStr">
        <is>
          <t>Pasta</t>
        </is>
      </c>
      <c r="P3533" s="9" t="n"/>
    </row>
    <row r="3534">
      <c r="A3534" s="13" t="inlineStr">
        <is>
          <t>Your Temple Is Under Attack / Seu Templo Está Sendo Atacado</t>
        </is>
      </c>
      <c r="B3534" s="13" t="inlineStr">
        <is>
          <t>Instant / Mágica Instantânea</t>
        </is>
      </c>
      <c r="C3534" s="13" t="inlineStr">
        <is>
          <t>Common / Comum</t>
        </is>
      </c>
      <c r="D3534" s="13"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3534" s="13" t="inlineStr">
        <is>
          <t>{2}{W}</t>
        </is>
      </c>
      <c r="F3534" s="13" t="inlineStr">
        <is>
          <t>Branco</t>
        </is>
      </c>
      <c r="G3534" s="8" t="n">
        <v>3.15</v>
      </c>
      <c r="H3534" s="13" t="inlineStr">
        <is>
          <t>Commander Legends: Battle for Baldur's Gate (CLB)</t>
        </is>
      </c>
      <c r="I3534" s="13" t="inlineStr">
        <is>
          <t>Não</t>
        </is>
      </c>
      <c r="J3534" s="13" t="n">
        <v>2022</v>
      </c>
      <c r="L3534" s="13" t="n">
        <v>1</v>
      </c>
      <c r="M3534" s="8">
        <f>L3534*G3534</f>
        <v/>
      </c>
      <c r="P3534" s="9" t="n"/>
    </row>
    <row r="3535">
      <c r="A3535" s="13" t="inlineStr">
        <is>
          <t>Yuyan Archers</t>
        </is>
      </c>
      <c r="B3535" s="13" t="inlineStr">
        <is>
          <t>Creature — Human Archer</t>
        </is>
      </c>
      <c r="C3535" s="13" t="inlineStr">
        <is>
          <t>Common / Comum</t>
        </is>
      </c>
      <c r="D3535" s="13" t="inlineStr">
        <is>
          <t>Reach When this creature enters, you may discard a card. If you do, draw a card.</t>
        </is>
      </c>
      <c r="E3535" s="13" t="inlineStr">
        <is>
          <t>{1}{R}</t>
        </is>
      </c>
      <c r="F3535" s="13" t="inlineStr">
        <is>
          <t>Vermelho</t>
        </is>
      </c>
      <c r="G3535" s="8" t="n">
        <v>0.09</v>
      </c>
      <c r="H3535" s="13" t="inlineStr">
        <is>
          <t>Avatar: The Last Airbender (TLA)</t>
        </is>
      </c>
      <c r="I3535" s="13" t="inlineStr">
        <is>
          <t>Não</t>
        </is>
      </c>
      <c r="J3535" s="13" t="n">
        <v>2025</v>
      </c>
      <c r="K3535" s="10" t="n">
        <v>46025</v>
      </c>
      <c r="L3535" s="13" t="n">
        <v>2</v>
      </c>
      <c r="M3535" s="8">
        <f>L3535*G3535</f>
        <v/>
      </c>
      <c r="P3535" s="9" t="n"/>
    </row>
    <row r="3536">
      <c r="A3536" s="13" t="inlineStr">
        <is>
          <t>Zack Fair / Zack Fair</t>
        </is>
      </c>
      <c r="B3536" s="13" t="inlineStr">
        <is>
          <t>Criatura Lendária — Humano Soldado</t>
        </is>
      </c>
      <c r="C3536" s="13" t="inlineStr">
        <is>
          <t>Incomum</t>
        </is>
      </c>
      <c r="D3536" s="13"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3536" s="13" t="inlineStr">
        <is>
          <t>{W}</t>
        </is>
      </c>
      <c r="F3536" s="13" t="inlineStr">
        <is>
          <t>Branco</t>
        </is>
      </c>
      <c r="G3536" s="8" t="n">
        <v>0.45</v>
      </c>
      <c r="H3536" s="13" t="inlineStr">
        <is>
          <t>Final Fantasy</t>
        </is>
      </c>
      <c r="I3536" s="13" t="inlineStr">
        <is>
          <t>Não</t>
        </is>
      </c>
      <c r="J3536" s="13" t="n">
        <v>2025</v>
      </c>
      <c r="K3536" s="13" t="inlineStr">
        <is>
          <t>0/1</t>
        </is>
      </c>
      <c r="L3536" s="13" t="n">
        <v>2</v>
      </c>
      <c r="M3536" s="8">
        <f>L3536*G3536</f>
        <v/>
      </c>
      <c r="P3536" s="9" t="n"/>
    </row>
    <row r="3537">
      <c r="A3537" s="13" t="inlineStr">
        <is>
          <t>Zack Fair / Zack Fair</t>
        </is>
      </c>
      <c r="B3537" s="13" t="inlineStr">
        <is>
          <t>Criatura Lendária — Humano Soldado</t>
        </is>
      </c>
      <c r="C3537" s="13" t="inlineStr">
        <is>
          <t>Incomum</t>
        </is>
      </c>
      <c r="D3537" s="13"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3537" s="13" t="inlineStr">
        <is>
          <t>{W}</t>
        </is>
      </c>
      <c r="F3537" s="13" t="inlineStr">
        <is>
          <t>Branco</t>
        </is>
      </c>
      <c r="G3537" s="8" t="n">
        <v>0.1</v>
      </c>
      <c r="H3537" s="13" t="inlineStr">
        <is>
          <t>Final Fantasy</t>
        </is>
      </c>
      <c r="I3537" s="13" t="inlineStr">
        <is>
          <t>Não</t>
        </is>
      </c>
      <c r="J3537" s="13" t="n">
        <v>2025</v>
      </c>
      <c r="K3537" s="13" t="inlineStr">
        <is>
          <t>0/1</t>
        </is>
      </c>
      <c r="L3537" s="13" t="n">
        <v>4</v>
      </c>
      <c r="M3537" s="8">
        <f>L3537*G3537</f>
        <v/>
      </c>
      <c r="P3537" s="9" t="n"/>
    </row>
    <row r="3538">
      <c r="A3538" s="13" t="inlineStr">
        <is>
          <t>Zaffai and the Tempests</t>
        </is>
      </c>
      <c r="B3538" s="13" t="inlineStr">
        <is>
          <t>Legendary Creature — Human Bard Sorcerer</t>
        </is>
      </c>
      <c r="C3538" s="13" t="inlineStr">
        <is>
          <t>Rare / Rara</t>
        </is>
      </c>
      <c r="D3538" s="13" t="inlineStr">
        <is>
          <t>Once during each of your turns, you may cast an instant or sorcery spell from your hand without paying its mana cost.</t>
        </is>
      </c>
      <c r="E3538" s="13" t="inlineStr">
        <is>
          <t>{5}{U}{R}</t>
        </is>
      </c>
      <c r="F3538" s="13" t="inlineStr">
        <is>
          <t>Vermelho, Azul</t>
        </is>
      </c>
      <c r="G3538" s="8" t="n">
        <v>0.89</v>
      </c>
      <c r="H3538" s="13" t="inlineStr">
        <is>
          <t>Secrets of Strixhaven (SOS)</t>
        </is>
      </c>
      <c r="I3538" s="13" t="inlineStr">
        <is>
          <t>Não</t>
        </is>
      </c>
      <c r="J3538" s="13" t="n">
        <v>2026</v>
      </c>
      <c r="K3538" s="10" t="n">
        <v>46208</v>
      </c>
      <c r="L3538" s="13" t="n">
        <v>1</v>
      </c>
      <c r="M3538" s="8">
        <f>L3538*G3538</f>
        <v/>
      </c>
      <c r="P3538" s="9" t="n"/>
    </row>
    <row r="3539">
      <c r="A3539" s="13" t="inlineStr">
        <is>
          <t>Zahid, Djinn of the Lamp / Zahid, Gênio da Lâmpada</t>
        </is>
      </c>
      <c r="B3539" s="13" t="inlineStr">
        <is>
          <t>Legendary Creature — Djinn / Criatura Lendária — Gênio</t>
        </is>
      </c>
      <c r="C3539" s="13" t="inlineStr">
        <is>
          <t>Rare / Rara</t>
        </is>
      </c>
      <c r="D3539" s="13" t="inlineStr">
        <is>
          <t>You may pay {3}{U} and tap an untapped artifact you control rather than pay this spell's mana cost. Flying / Você pode pagar {3}{U} e virar um artefato desvirado sob seu controle em vez de pagar o custo de mana desta mágica. Voar</t>
        </is>
      </c>
      <c r="E3539" s="13" t="inlineStr">
        <is>
          <t>{4}{U}{U}</t>
        </is>
      </c>
      <c r="F3539" s="13" t="inlineStr">
        <is>
          <t>Azul</t>
        </is>
      </c>
      <c r="G3539" s="8" t="n">
        <v>0.2</v>
      </c>
      <c r="H3539" s="13" t="inlineStr">
        <is>
          <t>Dominaria (DOM)</t>
        </is>
      </c>
      <c r="I3539" s="13" t="inlineStr">
        <is>
          <t>Sim</t>
        </is>
      </c>
      <c r="J3539" s="13" t="n">
        <v>2018</v>
      </c>
      <c r="K3539" s="10" t="n">
        <v>46178</v>
      </c>
      <c r="L3539" s="13" t="n">
        <v>3</v>
      </c>
      <c r="M3539" s="8">
        <f>L3539*G3539</f>
        <v/>
      </c>
      <c r="P3539" s="9" t="n"/>
    </row>
    <row r="3540">
      <c r="A3540" s="13" t="inlineStr">
        <is>
          <t>Zealous Lorecaster / Transmissor de Conhecimento Zeloso</t>
        </is>
      </c>
      <c r="B3540" s="13" t="inlineStr">
        <is>
          <t>Creature — Giant Sorcerer / Criatura — Gigante Feiticeiro</t>
        </is>
      </c>
      <c r="C3540" s="13" t="inlineStr">
        <is>
          <t>Common / Comum</t>
        </is>
      </c>
      <c r="D3540" s="13" t="inlineStr">
        <is>
          <t>When this creature enters, return target instant or sorcery card from your graveyard to your hand. / Quando esta criatura entra, devolva o card de mágica instantânea ou de feitiço alvo de seu cemitério para sua mão.</t>
        </is>
      </c>
      <c r="E3540" s="13" t="inlineStr">
        <is>
          <t>{5}{R}</t>
        </is>
      </c>
      <c r="F3540" s="13" t="inlineStr">
        <is>
          <t>Vermelho</t>
        </is>
      </c>
      <c r="G3540" s="8" t="n">
        <v>0.06</v>
      </c>
      <c r="H3540" s="13" t="inlineStr">
        <is>
          <t>Shadows of Sothia (SOS)</t>
        </is>
      </c>
      <c r="I3540" s="13" t="inlineStr">
        <is>
          <t>No</t>
        </is>
      </c>
      <c r="J3540" s="13" t="n">
        <v>2026</v>
      </c>
      <c r="K3540" s="10" t="n">
        <v>46116</v>
      </c>
      <c r="L3540" s="13" t="n">
        <v>2</v>
      </c>
      <c r="M3540" s="8">
        <f>L3540*G3540</f>
        <v/>
      </c>
      <c r="P3540" s="9" t="n"/>
    </row>
    <row r="3541">
      <c r="A3541" s="13" t="inlineStr">
        <is>
          <t>Zealous Persecution / Perseguição Fervorosa</t>
        </is>
      </c>
      <c r="B3541" s="13" t="inlineStr">
        <is>
          <t>Instant / Mágica Instantânea</t>
        </is>
      </c>
      <c r="C3541" s="13" t="inlineStr">
        <is>
          <t>Uncommon / Incomum</t>
        </is>
      </c>
      <c r="D3541" s="13" t="inlineStr">
        <is>
          <t>Until end of turn, creatures you control get +1/+1 and creatures your opponents control get -1/-1. / Até o final do turno, as criaturas que você controla recebem +1/+1 e as criaturas que seus oponentes controlam recebem -1/-1.</t>
        </is>
      </c>
      <c r="E3541" s="13" t="inlineStr">
        <is>
          <t>{W}{B}</t>
        </is>
      </c>
      <c r="F3541" s="13" t="inlineStr">
        <is>
          <t>Preto, Branco</t>
        </is>
      </c>
      <c r="G3541" s="8" t="n">
        <v>0.09</v>
      </c>
      <c r="H3541" s="13" t="inlineStr">
        <is>
          <t>Eternal Masters (EMA)</t>
        </is>
      </c>
      <c r="I3541" s="13" t="inlineStr">
        <is>
          <t>Não</t>
        </is>
      </c>
      <c r="J3541" s="13" t="n">
        <v>2016</v>
      </c>
      <c r="L3541" s="13" t="n">
        <v>2</v>
      </c>
      <c r="M3541" s="8">
        <f>L3541*G3541</f>
        <v/>
      </c>
      <c r="P3541" s="9" t="n"/>
    </row>
    <row r="3542">
      <c r="A3542" s="13" t="inlineStr">
        <is>
          <t>Zealous Strike / Golpe Zeloso</t>
        </is>
      </c>
      <c r="B3542" s="13" t="inlineStr">
        <is>
          <t>Instant / Mágica Instantânea</t>
        </is>
      </c>
      <c r="C3542" s="13" t="inlineStr">
        <is>
          <t>Common / Comum</t>
        </is>
      </c>
      <c r="D3542" s="13" t="inlineStr">
        <is>
          <t>Target creature gets +2/+2 and gains first strike until end of turn. / A criatura alvo recebe +2/+2 e ganha iniciativa até o final do turno.</t>
        </is>
      </c>
      <c r="E3542" s="13" t="inlineStr">
        <is>
          <t>{1}{W}</t>
        </is>
      </c>
      <c r="F3542" s="13" t="inlineStr">
        <is>
          <t>Branco</t>
        </is>
      </c>
      <c r="G3542" s="8" t="n">
        <v>0.05</v>
      </c>
      <c r="H3542" s="13" t="inlineStr">
        <is>
          <t>Avacyn Restored (AVR)</t>
        </is>
      </c>
      <c r="I3542" s="13" t="inlineStr">
        <is>
          <t>Não</t>
        </is>
      </c>
      <c r="J3542" s="13" t="n">
        <v>2012</v>
      </c>
      <c r="L3542" s="13" t="n">
        <v>1</v>
      </c>
      <c r="M3542" s="8">
        <f>L3542*G3542</f>
        <v/>
      </c>
      <c r="P3542" s="9" t="n"/>
    </row>
    <row r="3543">
      <c r="A3543" s="13" t="inlineStr">
        <is>
          <t>Zelyon Sword</t>
        </is>
      </c>
      <c r="B3543" s="13" t="inlineStr">
        <is>
          <t>Artifact / Artefato</t>
        </is>
      </c>
      <c r="C3543" s="13" t="inlineStr">
        <is>
          <t>Rare / Rara</t>
        </is>
      </c>
      <c r="D3543" s="13" t="inlineStr">
        <is>
          <t>You may choose not to untap this artifact during your untap step. {3}, {T}: Target creature gets +2/+0 for as long as this artifact remains tapped.</t>
        </is>
      </c>
      <c r="E3543" s="13" t="inlineStr">
        <is>
          <t>{3}</t>
        </is>
      </c>
      <c r="F3543" s="13" t="inlineStr">
        <is>
          <t>Incolor</t>
        </is>
      </c>
      <c r="G3543" s="8" t="n">
        <v>4</v>
      </c>
      <c r="H3543" s="13" t="inlineStr">
        <is>
          <t>Fallen Empires (FEM)</t>
        </is>
      </c>
      <c r="I3543" s="13" t="inlineStr">
        <is>
          <t>Não</t>
        </is>
      </c>
      <c r="J3543" s="13" t="n">
        <v>1994</v>
      </c>
      <c r="L3543" s="13" t="n">
        <v>1</v>
      </c>
      <c r="M3543" s="8">
        <f>L3543*G3543</f>
        <v/>
      </c>
      <c r="N3543" s="13" t="inlineStr">
        <is>
          <t>Pasta</t>
        </is>
      </c>
      <c r="P3543" s="9" t="n"/>
    </row>
    <row r="3544">
      <c r="A3544" s="13" t="inlineStr">
        <is>
          <t>Zero Point Ballad / Balada do Ponto Zero</t>
        </is>
      </c>
      <c r="B3544" s="13" t="inlineStr">
        <is>
          <t>Feitiço</t>
        </is>
      </c>
      <c r="C3544" s="13" t="inlineStr">
        <is>
          <t>Rara</t>
        </is>
      </c>
      <c r="D3544" s="13" t="inlineStr">
        <is>
          <t>Destrua todas as criaturas com resistência X ou menos. Você perde X pontos de vida. Se X for 6 ou mais, devolva um card de criatura colocado em um cemitério desta forma para o campo de batalha sob o seu controle.</t>
        </is>
      </c>
      <c r="E3544" s="13" t="inlineStr">
        <is>
          <t>{X}{B}</t>
        </is>
      </c>
      <c r="F3544" s="13" t="inlineStr">
        <is>
          <t>Preto</t>
        </is>
      </c>
      <c r="G3544" s="8" t="n">
        <v>0.95</v>
      </c>
      <c r="H3544" s="13" t="inlineStr">
        <is>
          <t>Edge of Eternity</t>
        </is>
      </c>
      <c r="I3544" s="13" t="inlineStr">
        <is>
          <t>Não</t>
        </is>
      </c>
      <c r="J3544" s="13" t="n">
        <v>2025</v>
      </c>
      <c r="L3544" s="13" t="n">
        <v>1</v>
      </c>
      <c r="M3544" s="8">
        <f>L3544*G3544</f>
        <v/>
      </c>
      <c r="P3544" s="9" t="n"/>
    </row>
    <row r="3545">
      <c r="A3545" s="13" t="inlineStr">
        <is>
          <t>Zhalfirin Decoy / Chamariz Zhalfiriano</t>
        </is>
      </c>
      <c r="B3545" s="13" t="inlineStr">
        <is>
          <t>Creature — Human Soldier / Criatura — Humano Soldado</t>
        </is>
      </c>
      <c r="C3545" s="13" t="inlineStr">
        <is>
          <t>Uncommon / Incomum</t>
        </is>
      </c>
      <c r="D3545" s="13" t="inlineStr">
        <is>
          <t>{T}: Tap target creature. Activate only if you had a creature enter the battlefield under your control this turn. / {T}: Vire a criatura alvo. Ative esta habilidade somente se uma criatura tiver entrado no campo de batalha sob o seu controle neste turno.</t>
        </is>
      </c>
      <c r="E3545" s="13" t="inlineStr">
        <is>
          <t>{1}{W}</t>
        </is>
      </c>
      <c r="F3545" s="13" t="inlineStr">
        <is>
          <t>Branco</t>
        </is>
      </c>
      <c r="G3545" s="8" t="n">
        <v>0.04</v>
      </c>
      <c r="H3545" s="13" t="inlineStr">
        <is>
          <t>Modern Horizons (MH1)</t>
        </is>
      </c>
      <c r="I3545" s="13" t="inlineStr">
        <is>
          <t>Não</t>
        </is>
      </c>
      <c r="J3545" s="13" t="n">
        <v>2019</v>
      </c>
      <c r="K3545" s="10" t="n">
        <v>46082</v>
      </c>
      <c r="L3545" s="13" t="n">
        <v>1</v>
      </c>
      <c r="M3545" s="8">
        <f>L3545*G3545</f>
        <v/>
      </c>
      <c r="P3545" s="9" t="n"/>
    </row>
    <row r="3546">
      <c r="A3546" s="13" t="inlineStr">
        <is>
          <t>Zhalfirin Void / Vazio Zhalfiriano</t>
        </is>
      </c>
      <c r="B3546" s="13" t="inlineStr">
        <is>
          <t>Land / Terreno</t>
        </is>
      </c>
      <c r="C3546" s="13" t="inlineStr">
        <is>
          <t>Uncommon / Incomum</t>
        </is>
      </c>
      <c r="D3546" s="13"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3546" s="13" t="inlineStr">
        <is>
          <t>Incolor</t>
        </is>
      </c>
      <c r="G3546" s="8" t="n">
        <v>0.21</v>
      </c>
      <c r="H3546" s="13" t="inlineStr">
        <is>
          <t>Dominaria (DOM)</t>
        </is>
      </c>
      <c r="I3546" s="13" t="inlineStr">
        <is>
          <t>Não</t>
        </is>
      </c>
      <c r="J3546" s="13" t="n">
        <v>2018</v>
      </c>
      <c r="L3546" s="13" t="n">
        <v>1</v>
      </c>
      <c r="M3546" s="8">
        <f>L3546*G3546</f>
        <v/>
      </c>
      <c r="P3546" s="9" t="n"/>
    </row>
    <row r="3547">
      <c r="A3547" s="13" t="inlineStr">
        <is>
          <t>Zhentarim Bandit / Bandido Zentharim</t>
        </is>
      </c>
      <c r="B3547" s="13" t="inlineStr">
        <is>
          <t>Creature — Halfling Rogue / Criatura — Pequenino Ladino</t>
        </is>
      </c>
      <c r="C3547" s="13" t="inlineStr">
        <is>
          <t>Common / Comum</t>
        </is>
      </c>
      <c r="D3547" s="13"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3547" s="13" t="inlineStr">
        <is>
          <t>{1}{B}</t>
        </is>
      </c>
      <c r="F3547" s="13" t="inlineStr">
        <is>
          <t>Preto</t>
        </is>
      </c>
      <c r="G3547" s="8" t="n">
        <v>0.09</v>
      </c>
      <c r="H3547" s="13" t="inlineStr">
        <is>
          <t>Commander Legends: Battle for Baldur's Gate (CLB)</t>
        </is>
      </c>
      <c r="I3547" s="13" t="inlineStr">
        <is>
          <t>Não</t>
        </is>
      </c>
      <c r="J3547" s="13" t="n">
        <v>2022</v>
      </c>
      <c r="K3547" s="10" t="n">
        <v>46024</v>
      </c>
      <c r="L3547" s="13" t="n">
        <v>1</v>
      </c>
      <c r="M3547" s="8">
        <f>L3547*G3547</f>
        <v/>
      </c>
      <c r="P3547" s="9" t="n"/>
    </row>
    <row r="3548">
      <c r="A3548" s="13" t="inlineStr">
        <is>
          <t>Zhur-Taa Goblin / Goblin Zhur-Taa</t>
        </is>
      </c>
      <c r="B3548" s="13" t="inlineStr">
        <is>
          <t>Creature — Goblin Berserker / Criatura — Goblin Amoque</t>
        </is>
      </c>
      <c r="C3548" s="13" t="inlineStr">
        <is>
          <t>Uncommon / Incomum</t>
        </is>
      </c>
      <c r="D3548" s="13" t="inlineStr">
        <is>
          <t>Riot (This creature enters with your choice of a +1/+1 counter or haste.) / Tumulto (Esta criatura entra no campo de batalha com um marcador +1/+1 ou ímpeto, à sua escolha.)</t>
        </is>
      </c>
      <c r="E3548" s="13" t="inlineStr">
        <is>
          <t>{R}{G}</t>
        </is>
      </c>
      <c r="F3548" s="13" t="inlineStr">
        <is>
          <t>Verde, Vermelho</t>
        </is>
      </c>
      <c r="G3548" s="8" t="n">
        <v>0.7</v>
      </c>
      <c r="H3548" s="13" t="inlineStr">
        <is>
          <t>Ravnica Allegiance (RNA)</t>
        </is>
      </c>
      <c r="I3548" s="13" t="inlineStr">
        <is>
          <t>Sim</t>
        </is>
      </c>
      <c r="J3548" s="13" t="n">
        <v>2019</v>
      </c>
      <c r="K3548" s="10" t="n">
        <v>46055</v>
      </c>
      <c r="L3548" s="13" t="n">
        <v>1</v>
      </c>
      <c r="M3548" s="8">
        <f>L3548*G3548</f>
        <v/>
      </c>
      <c r="P3548" s="9" t="n"/>
    </row>
    <row r="3549">
      <c r="A3549" s="13" t="inlineStr">
        <is>
          <t>Zibelina de Bronze / Bronze Sable</t>
        </is>
      </c>
      <c r="B3549" s="13" t="inlineStr">
        <is>
          <t>Artifact Creature — Sable / Criatura Artefato — Zibelina</t>
        </is>
      </c>
      <c r="C3549" s="13" t="inlineStr">
        <is>
          <t>Common / Comum</t>
        </is>
      </c>
      <c r="D3549" s="13" t="inlineStr">
        <is>
          <t>Not found / Não encontrada</t>
        </is>
      </c>
      <c r="E3549" s="13" t="inlineStr">
        <is>
          <t>{2}</t>
        </is>
      </c>
      <c r="F3549" s="13" t="inlineStr">
        <is>
          <t>Incolor</t>
        </is>
      </c>
      <c r="G3549" s="8" t="n">
        <v>0.06</v>
      </c>
      <c r="H3549" s="13" t="inlineStr">
        <is>
          <t>Magic 2015 (M15)</t>
        </is>
      </c>
      <c r="I3549" s="13" t="inlineStr">
        <is>
          <t>No</t>
        </is>
      </c>
      <c r="J3549" s="13" t="n">
        <v>2014</v>
      </c>
      <c r="K3549" s="10" t="n">
        <v>46024</v>
      </c>
      <c r="L3549" s="13" t="n">
        <v>1</v>
      </c>
      <c r="M3549" s="8">
        <f>L3549*G3549</f>
        <v/>
      </c>
      <c r="P3549" s="9" t="n"/>
    </row>
    <row r="3550">
      <c r="A3550" s="13" t="inlineStr">
        <is>
          <t>Zidane, Tantalus Thief / Zidane, Ladrão do Tantalus</t>
        </is>
      </c>
      <c r="B3550" s="13" t="inlineStr">
        <is>
          <t>Criatura Lendária — Humano Mutante Batedor</t>
        </is>
      </c>
      <c r="C3550" s="13" t="inlineStr">
        <is>
          <t>Incomum</t>
        </is>
      </c>
      <c r="D3550" s="13"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3550" s="13" t="inlineStr">
        <is>
          <t>3RW</t>
        </is>
      </c>
      <c r="F3550" s="13" t="inlineStr">
        <is>
          <t>Vermelho e Branco</t>
        </is>
      </c>
      <c r="G3550" s="8" t="n">
        <v>31.9</v>
      </c>
      <c r="H3550" s="13" t="inlineStr">
        <is>
          <t>Final Fantasy</t>
        </is>
      </c>
      <c r="I3550" s="13" t="inlineStr">
        <is>
          <t>Não</t>
        </is>
      </c>
      <c r="J3550" s="13" t="n">
        <v>2025</v>
      </c>
      <c r="K3550" s="10" t="n">
        <v>46084</v>
      </c>
      <c r="L3550" s="13" t="n">
        <v>1</v>
      </c>
      <c r="M3550" s="8">
        <f>L3550*G3550</f>
        <v/>
      </c>
      <c r="P3550" s="9" t="n"/>
    </row>
    <row r="3551">
      <c r="A3551" s="13" t="inlineStr">
        <is>
          <t>Zidane, Tantalus Thief / Zidane, Ladrão do Tantalus</t>
        </is>
      </c>
      <c r="B3551" s="13" t="inlineStr">
        <is>
          <t>Criatura Lendária — Humano Mutante Batedor</t>
        </is>
      </c>
      <c r="C3551" s="13" t="inlineStr">
        <is>
          <t>Incomum</t>
        </is>
      </c>
      <c r="D3551" s="13"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3551" s="13" t="inlineStr">
        <is>
          <t>3RW</t>
        </is>
      </c>
      <c r="F3551" s="13" t="inlineStr">
        <is>
          <t>Vermelho e Branco</t>
        </is>
      </c>
      <c r="G3551" s="8" t="n">
        <v>1</v>
      </c>
      <c r="H3551" s="13" t="inlineStr">
        <is>
          <t>Final Fantasy</t>
        </is>
      </c>
      <c r="I3551" s="13" t="inlineStr">
        <is>
          <t>Sim</t>
        </is>
      </c>
      <c r="J3551" s="13" t="n">
        <v>2025</v>
      </c>
      <c r="K3551" s="10" t="n">
        <v>46084</v>
      </c>
      <c r="L3551" s="13" t="n">
        <v>1</v>
      </c>
      <c r="M3551" s="8">
        <f>L3551*G3551</f>
        <v/>
      </c>
      <c r="P3551" s="9" t="n"/>
    </row>
    <row r="3552">
      <c r="A3552" s="13" t="inlineStr">
        <is>
          <t>Zidane, Tantalus Thief / Zidane, Ladrão do Tantalus</t>
        </is>
      </c>
      <c r="B3552" s="13" t="inlineStr">
        <is>
          <t>Criatura Lendária — Humano Mutante Batedor</t>
        </is>
      </c>
      <c r="C3552" s="13" t="inlineStr">
        <is>
          <t>Incomum</t>
        </is>
      </c>
      <c r="D3552" s="13"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3552" s="13" t="inlineStr">
        <is>
          <t>3RW</t>
        </is>
      </c>
      <c r="F3552" s="13" t="inlineStr">
        <is>
          <t>Vermelho e Branco</t>
        </is>
      </c>
      <c r="G3552" s="8" t="n">
        <v>0.27</v>
      </c>
      <c r="H3552" s="13" t="inlineStr">
        <is>
          <t>Final Fantasy</t>
        </is>
      </c>
      <c r="I3552" s="13" t="inlineStr">
        <is>
          <t>Não</t>
        </is>
      </c>
      <c r="J3552" s="13" t="n">
        <v>2025</v>
      </c>
      <c r="K3552" s="10" t="n">
        <v>46084</v>
      </c>
      <c r="L3552" s="13" t="n">
        <v>1</v>
      </c>
      <c r="M3552" s="8">
        <f>L3552*G3552</f>
        <v/>
      </c>
      <c r="P3552" s="9" t="n"/>
    </row>
    <row r="3553">
      <c r="A3553" s="13" t="inlineStr">
        <is>
          <t>Zoetic Cavern / Caverna Zoética</t>
        </is>
      </c>
      <c r="B3553" s="13" t="inlineStr">
        <is>
          <t>Land / Terreno</t>
        </is>
      </c>
      <c r="C3553" s="13" t="inlineStr">
        <is>
          <t>Uncommon / Incomum</t>
        </is>
      </c>
      <c r="D3553" s="13"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3553" s="13" t="inlineStr">
        <is>
          <t>Incolor</t>
        </is>
      </c>
      <c r="G3553" s="8" t="n">
        <v>0.5</v>
      </c>
      <c r="H3553" s="13" t="inlineStr">
        <is>
          <t>Masters 25 (A25)</t>
        </is>
      </c>
      <c r="I3553" s="13" t="inlineStr">
        <is>
          <t>Sim</t>
        </is>
      </c>
      <c r="J3553" s="13" t="n">
        <v>2018</v>
      </c>
      <c r="L3553" s="13" t="n">
        <v>1</v>
      </c>
      <c r="M3553" s="8">
        <f>L3553*G3553</f>
        <v/>
      </c>
      <c r="P3553" s="9" t="n"/>
    </row>
    <row r="3554">
      <c r="A3554" s="13" t="inlineStr">
        <is>
          <t>Zog, Triceraton Castaway</t>
        </is>
      </c>
      <c r="B3554" s="13" t="inlineStr">
        <is>
          <t>Legendary Creature — Dinosaur Soldier</t>
        </is>
      </c>
      <c r="C3554" s="13" t="inlineStr">
        <is>
          <t>Common / Comum</t>
        </is>
      </c>
      <c r="D3554" s="13" t="inlineStr">
        <is>
          <t>Reach, trample When Zog enters, target creature can't block this turn. Mountaincycling {2} ({2}, Discard this card: Search your library for a Mountain card, reveal it, put it into your hand, then shuffle.)</t>
        </is>
      </c>
      <c r="E3554" s="13" t="inlineStr">
        <is>
          <t>{4}{R}</t>
        </is>
      </c>
      <c r="F3554" s="13" t="inlineStr">
        <is>
          <t>Vermelho</t>
        </is>
      </c>
      <c r="G3554" s="8" t="n">
        <v>0.1</v>
      </c>
      <c r="H3554" s="13" t="inlineStr">
        <is>
          <t>Teenage Mutant Ninja Turtles (TMT)</t>
        </is>
      </c>
      <c r="I3554" s="13" t="inlineStr">
        <is>
          <t>Não</t>
        </is>
      </c>
      <c r="J3554" s="13" t="n">
        <v>2026</v>
      </c>
      <c r="K3554" s="10" t="n">
        <v>46117</v>
      </c>
      <c r="L3554" s="13" t="n">
        <v>3</v>
      </c>
      <c r="M3554" s="8">
        <f>L3554*G3554</f>
        <v/>
      </c>
      <c r="P3554" s="9" t="n"/>
    </row>
    <row r="3555">
      <c r="A3555" s="13" t="inlineStr">
        <is>
          <t>Zombie Goliath / Golias Zumbi</t>
        </is>
      </c>
      <c r="B3555" s="13" t="inlineStr">
        <is>
          <t>Creature — Zombie Giant / Criatura — Zumbi Gigante</t>
        </is>
      </c>
      <c r="C3555" s="13" t="inlineStr">
        <is>
          <t>Common / Comum</t>
        </is>
      </c>
      <c r="E3555" s="13" t="inlineStr">
        <is>
          <t>{4}{B}</t>
        </is>
      </c>
      <c r="F3555" s="13" t="inlineStr">
        <is>
          <t>Preto</t>
        </is>
      </c>
      <c r="G3555" s="8" t="n">
        <v>0.05</v>
      </c>
      <c r="H3555" s="13" t="inlineStr">
        <is>
          <t>Magic 2012 (M12)</t>
        </is>
      </c>
      <c r="I3555" s="13" t="inlineStr">
        <is>
          <t>Não</t>
        </is>
      </c>
      <c r="J3555" s="13" t="n">
        <v>2011</v>
      </c>
      <c r="K3555" s="10" t="n">
        <v>46085</v>
      </c>
      <c r="L3555" s="13" t="n">
        <v>1</v>
      </c>
      <c r="M3555" s="8">
        <f>L3555*G3555</f>
        <v/>
      </c>
      <c r="P3555" s="9" t="n"/>
    </row>
    <row r="3556">
      <c r="A3556" s="13" t="inlineStr">
        <is>
          <t>Zombie Musher</t>
        </is>
      </c>
      <c r="B3556" s="13" t="inlineStr">
        <is>
          <t>Snow Creature — Zombie</t>
        </is>
      </c>
      <c r="C3556" s="13" t="inlineStr">
        <is>
          <t>Comum / Common</t>
        </is>
      </c>
      <c r="D3556" s="13" t="inlineStr">
        <is>
          <t>Snow landwalk. {S}: Regenerate Zombie Musher. ({S} can be paid with one mana from a snow permanent.)</t>
        </is>
      </c>
      <c r="E3556" s="13" t="inlineStr">
        <is>
          <t>{3}{B}</t>
        </is>
      </c>
      <c r="F3556" s="13" t="inlineStr">
        <is>
          <t>Preto / Black</t>
        </is>
      </c>
      <c r="G3556" s="8" t="n">
        <v>0.09</v>
      </c>
      <c r="H3556" s="13" t="inlineStr">
        <is>
          <t>Coldsnap (CSP)</t>
        </is>
      </c>
      <c r="I3556" s="13" t="inlineStr">
        <is>
          <t>Não</t>
        </is>
      </c>
      <c r="J3556" s="13" t="n">
        <v>2006</v>
      </c>
      <c r="K3556" s="10" t="n">
        <v>46083</v>
      </c>
      <c r="L3556" s="13" t="n">
        <v>3</v>
      </c>
      <c r="M3556" s="8">
        <f>L3556*G3556</f>
        <v/>
      </c>
      <c r="P3556" s="9" t="n"/>
    </row>
    <row r="3557">
      <c r="A3557" s="13" t="inlineStr">
        <is>
          <t>Zoo Escapees</t>
        </is>
      </c>
      <c r="B3557" s="13" t="inlineStr">
        <is>
          <t>Creature — Boar Rhino</t>
        </is>
      </c>
      <c r="C3557" s="13" t="inlineStr">
        <is>
          <t>Common / Comum</t>
        </is>
      </c>
      <c r="D3557" s="13" t="inlineStr">
        <is>
          <t>When this creature leaves the battlefield, create a Mutagen token. (It's an artifact with "{1}, {T}, Sacrifice this token: Put a +1/+1 counter on target creature. Activate only as a sorcery.")</t>
        </is>
      </c>
      <c r="E3557" s="13" t="inlineStr">
        <is>
          <t>{1}{G}</t>
        </is>
      </c>
      <c r="F3557" s="13" t="inlineStr">
        <is>
          <t>Verde</t>
        </is>
      </c>
      <c r="G3557" s="8" t="n">
        <v>0.05</v>
      </c>
      <c r="H3557" s="13" t="inlineStr">
        <is>
          <t>Teenage Mutant Ninja Turtles (TMT)</t>
        </is>
      </c>
      <c r="I3557" s="13" t="inlineStr">
        <is>
          <t>Não</t>
        </is>
      </c>
      <c r="J3557" s="13" t="n">
        <v>2026</v>
      </c>
      <c r="K3557" s="10" t="n">
        <v>46055</v>
      </c>
      <c r="L3557" s="13" t="n">
        <v>5</v>
      </c>
      <c r="M3557" s="8">
        <f>L3557*G3557</f>
        <v/>
      </c>
      <c r="P3557" s="9" t="n"/>
    </row>
    <row r="3558">
      <c r="A3558" s="13" t="inlineStr">
        <is>
          <t>Zuko, Conflicted</t>
        </is>
      </c>
      <c r="B3558" s="13" t="inlineStr">
        <is>
          <t>Legendary Creature — Human Rogue</t>
        </is>
      </c>
      <c r="C3558" s="13" t="inlineStr">
        <is>
          <t>Rare / Rara</t>
        </is>
      </c>
      <c r="D3558" s="13" t="inlineStr">
        <is>
          <t>At the beginning of your first main phase, choose one that hasn't been chosen and you lose 2 life — • Draw a card. • Put a +1/+1 counter on Zuko. • Add {R}. • Exile Zuko, then return him to the battlefield under an opponent's control.</t>
        </is>
      </c>
      <c r="E3558" s="13" t="inlineStr">
        <is>
          <t>{B}{R}</t>
        </is>
      </c>
      <c r="F3558" s="13" t="inlineStr">
        <is>
          <t>Preto, Vermelho</t>
        </is>
      </c>
      <c r="G3558" s="8" t="n">
        <v>0.99</v>
      </c>
      <c r="H3558" s="13" t="inlineStr">
        <is>
          <t>Avatar: The Last Airbender (TLA)</t>
        </is>
      </c>
      <c r="I3558" s="13" t="inlineStr">
        <is>
          <t>Não</t>
        </is>
      </c>
      <c r="J3558" s="13" t="n">
        <v>2025</v>
      </c>
      <c r="K3558" s="10" t="n">
        <v>46083</v>
      </c>
      <c r="L3558" s="13" t="n">
        <v>1</v>
      </c>
      <c r="M3558" s="8">
        <f>L3558*G3558</f>
        <v/>
      </c>
      <c r="P3558" s="9" t="n"/>
    </row>
    <row r="3559">
      <c r="A3559" s="13" t="inlineStr">
        <is>
          <t>Zuko, Exiled Prince</t>
        </is>
      </c>
      <c r="B3559" s="13" t="inlineStr">
        <is>
          <t>Legendary Creature — Human Noble</t>
        </is>
      </c>
      <c r="C3559" s="13" t="inlineStr">
        <is>
          <t>Uncommon / Incomum</t>
        </is>
      </c>
      <c r="D3559" s="13" t="inlineStr">
        <is>
          <t>Firebending 3 (Whenever this creature attacks, add {R}{R}{R}. This mana lasts until end of combat.) {3}: Exile the top card of your library. You may play that card this turn.</t>
        </is>
      </c>
      <c r="E3559" s="13" t="inlineStr">
        <is>
          <t>{3}{R}</t>
        </is>
      </c>
      <c r="F3559" s="13" t="inlineStr">
        <is>
          <t>Vermelho</t>
        </is>
      </c>
      <c r="G3559" s="8" t="n">
        <v>0.2</v>
      </c>
      <c r="H3559" s="13" t="inlineStr">
        <is>
          <t>Avatar: The Last Airbender (TLA)</t>
        </is>
      </c>
      <c r="I3559" s="13" t="inlineStr">
        <is>
          <t>Não</t>
        </is>
      </c>
      <c r="J3559" s="13" t="n">
        <v>2025</v>
      </c>
      <c r="K3559" s="10" t="n">
        <v>46085</v>
      </c>
      <c r="L3559" s="13" t="n">
        <v>1</v>
      </c>
      <c r="M3559" s="8">
        <f>L3559*G3559</f>
        <v/>
      </c>
      <c r="P3559" s="9" t="n"/>
    </row>
    <row r="3560">
      <c r="A3560" s="13" t="inlineStr">
        <is>
          <t>Zurgo Helmsmasher / Zurgo Destruidor de Elmos</t>
        </is>
      </c>
      <c r="B3560" s="13" t="inlineStr">
        <is>
          <t>Criatura Lendária — Orc Guerreiro</t>
        </is>
      </c>
      <c r="C3560" s="13" t="inlineStr">
        <is>
          <t>Mítica</t>
        </is>
      </c>
      <c r="D3560" s="13"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3560" s="13" t="inlineStr">
        <is>
          <t>2RWB</t>
        </is>
      </c>
      <c r="F3560" s="13" t="inlineStr">
        <is>
          <t>Multicolorido</t>
        </is>
      </c>
      <c r="G3560" s="8" t="n">
        <v>3.48</v>
      </c>
      <c r="H3560" s="13" t="inlineStr">
        <is>
          <t>Duel Decks: Speed vs. Cunning</t>
        </is>
      </c>
      <c r="I3560" s="13" t="inlineStr">
        <is>
          <t>Não</t>
        </is>
      </c>
      <c r="J3560" s="13" t="n">
        <v>2014</v>
      </c>
      <c r="K3560" s="10" t="n">
        <v>46060</v>
      </c>
      <c r="L3560" s="13" t="n">
        <v>1</v>
      </c>
      <c r="M3560" s="8">
        <f>L3560*G3560</f>
        <v/>
      </c>
      <c r="P3560" s="9" t="n"/>
    </row>
    <row r="3561">
      <c r="A3561" s="13" t="inlineStr">
        <is>
          <t>Nettle Swine / Suíno da Urtiga</t>
        </is>
      </c>
      <c r="B3561" s="13" t="inlineStr">
        <is>
          <t>Creature — Boar / Criatura — Javali</t>
        </is>
      </c>
      <c r="C3561" s="13" t="inlineStr">
        <is>
          <t>Common / Comum</t>
        </is>
      </c>
      <c r="E3561" s="13" t="inlineStr">
        <is>
          <t>{3}{G}</t>
        </is>
      </c>
      <c r="F3561" s="13" t="inlineStr">
        <is>
          <t>Verde</t>
        </is>
      </c>
      <c r="G3561" s="8" t="n">
        <v>0.05</v>
      </c>
      <c r="H3561" s="13" t="inlineStr">
        <is>
          <t>Avacyn Restored (AVR)</t>
        </is>
      </c>
      <c r="I3561" s="13" t="inlineStr">
        <is>
          <t>Não</t>
        </is>
      </c>
      <c r="J3561" s="13" t="n">
        <v>2012</v>
      </c>
      <c r="K3561" s="10" t="n">
        <v>46085</v>
      </c>
      <c r="L3561" s="13" t="n">
        <v>1</v>
      </c>
      <c r="M3561" s="8">
        <f>L3561*G3561</f>
        <v/>
      </c>
      <c r="P3561" s="9" t="n"/>
    </row>
    <row r="3562">
      <c r="A3562" s="13" t="inlineStr">
        <is>
          <t>Druid of the Cowl / Druida do Capote</t>
        </is>
      </c>
      <c r="B3562" s="13" t="inlineStr">
        <is>
          <t>Creature — Elf Druid / Criatura — Elfo Druida</t>
        </is>
      </c>
      <c r="C3562" s="13" t="inlineStr">
        <is>
          <t>Common / Comum</t>
        </is>
      </c>
      <c r="D3562" s="13" t="inlineStr">
        <is>
          <t>{T}: Add {G}. / {T}: Adicione {G} à sua reserva de mana.</t>
        </is>
      </c>
      <c r="E3562" s="13" t="inlineStr">
        <is>
          <t>{1}{G}</t>
        </is>
      </c>
      <c r="F3562" s="13" t="inlineStr">
        <is>
          <t>Verde</t>
        </is>
      </c>
      <c r="G3562" s="8" t="n">
        <v>0.03</v>
      </c>
      <c r="H3562" s="13" t="inlineStr">
        <is>
          <t>Aether Revolt (AER)</t>
        </is>
      </c>
      <c r="I3562" s="13" t="inlineStr">
        <is>
          <t>Não</t>
        </is>
      </c>
      <c r="J3562" s="13" t="n">
        <v>2017</v>
      </c>
      <c r="K3562" s="10" t="n">
        <v>46082</v>
      </c>
      <c r="L3562" s="13" t="n">
        <v>3</v>
      </c>
      <c r="M3562" s="8">
        <f>L3562*G3562</f>
        <v/>
      </c>
      <c r="P3562" s="9" t="n"/>
    </row>
    <row r="3563">
      <c r="A3563" s="13" t="inlineStr">
        <is>
          <t>Krosan Druid / Druida Krosana</t>
        </is>
      </c>
      <c r="B3563" s="13" t="inlineStr">
        <is>
          <t>Creature — Centaur Druid / Criatura — Centauro Druida</t>
        </is>
      </c>
      <c r="C3563" s="13" t="inlineStr">
        <is>
          <t>Common / Comum</t>
        </is>
      </c>
      <c r="D3563" s="13"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3563" s="13" t="inlineStr">
        <is>
          <t>{2}{G}</t>
        </is>
      </c>
      <c r="F3563" s="13" t="inlineStr">
        <is>
          <t>Verde</t>
        </is>
      </c>
      <c r="G3563" s="8" t="n">
        <v>0.03</v>
      </c>
      <c r="H3563" s="13" t="inlineStr">
        <is>
          <t>Dominaria (DOM)</t>
        </is>
      </c>
      <c r="I3563" s="13" t="inlineStr">
        <is>
          <t>Não</t>
        </is>
      </c>
      <c r="J3563" s="13" t="n">
        <v>2018</v>
      </c>
      <c r="K3563" s="10" t="n">
        <v>46083</v>
      </c>
      <c r="L3563" s="13" t="n">
        <v>1</v>
      </c>
      <c r="M3563" s="8">
        <f>L3563*G3563</f>
        <v/>
      </c>
      <c r="P3563" s="9" t="n"/>
    </row>
    <row r="3564">
      <c r="A3564" s="13" t="inlineStr">
        <is>
          <t>Baloth Gorger / Devorador Baloth</t>
        </is>
      </c>
      <c r="B3564" s="13" t="inlineStr">
        <is>
          <t>Creature — Beast / Criatura — Besta</t>
        </is>
      </c>
      <c r="C3564" s="13" t="inlineStr">
        <is>
          <t>Common / Comum</t>
        </is>
      </c>
      <c r="D3564" s="13"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3564" s="13" t="inlineStr">
        <is>
          <t>{2}{G}{G}</t>
        </is>
      </c>
      <c r="F3564" s="13" t="inlineStr">
        <is>
          <t>Verde</t>
        </is>
      </c>
      <c r="G3564" s="8" t="n">
        <v>0.03</v>
      </c>
      <c r="H3564" s="13" t="inlineStr">
        <is>
          <t>Dominaria (DOM)</t>
        </is>
      </c>
      <c r="I3564" s="13" t="inlineStr">
        <is>
          <t>Não</t>
        </is>
      </c>
      <c r="J3564" s="13" t="n">
        <v>2018</v>
      </c>
      <c r="K3564" s="10" t="n">
        <v>46116</v>
      </c>
      <c r="L3564" s="13" t="n">
        <v>1</v>
      </c>
      <c r="M3564" s="8">
        <f>L3564*G3564</f>
        <v/>
      </c>
      <c r="P3564" s="9" t="n"/>
    </row>
    <row r="3565">
      <c r="A3565" s="13" t="inlineStr">
        <is>
          <t>Corrosive Ooze / Lodo Corrosivo</t>
        </is>
      </c>
      <c r="B3565" s="13" t="inlineStr">
        <is>
          <t>Creature — Ooze / Criatura — Lodo</t>
        </is>
      </c>
      <c r="C3565" s="13" t="inlineStr">
        <is>
          <t>Common / Comum</t>
        </is>
      </c>
      <c r="D3565" s="13"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3565" s="13" t="inlineStr">
        <is>
          <t>{1}{G}</t>
        </is>
      </c>
      <c r="F3565" s="13" t="inlineStr">
        <is>
          <t>Verde</t>
        </is>
      </c>
      <c r="G3565" s="8" t="n">
        <v>0.03</v>
      </c>
      <c r="H3565" s="13" t="inlineStr">
        <is>
          <t>Dominaria (DOM)</t>
        </is>
      </c>
      <c r="I3565" s="13" t="inlineStr">
        <is>
          <t>Não</t>
        </is>
      </c>
      <c r="J3565" s="13" t="n">
        <v>2018</v>
      </c>
      <c r="K3565" s="10" t="n">
        <v>46055</v>
      </c>
      <c r="L3565" s="13" t="n">
        <v>1</v>
      </c>
      <c r="M3565" s="8">
        <f>L3565*G3565</f>
        <v/>
      </c>
      <c r="P3565" s="9" t="n"/>
    </row>
    <row r="3566">
      <c r="A3566" s="13" t="inlineStr">
        <is>
          <t>Axebane Beast / Fera de Danação dos Machados</t>
        </is>
      </c>
      <c r="B3566" s="13" t="inlineStr">
        <is>
          <t>Creature — Beast / Criatura — Besta</t>
        </is>
      </c>
      <c r="C3566" s="13" t="inlineStr">
        <is>
          <t>Common / Comum</t>
        </is>
      </c>
      <c r="E3566" s="13" t="inlineStr">
        <is>
          <t>{3}{G}</t>
        </is>
      </c>
      <c r="F3566" s="13" t="inlineStr">
        <is>
          <t>Verde</t>
        </is>
      </c>
      <c r="G3566" s="8" t="n">
        <v>0.03</v>
      </c>
      <c r="H3566" s="13" t="inlineStr">
        <is>
          <t>Ravnica Allegiance (RNA)</t>
        </is>
      </c>
      <c r="I3566" s="13" t="inlineStr">
        <is>
          <t>Não</t>
        </is>
      </c>
      <c r="J3566" s="13" t="n">
        <v>2019</v>
      </c>
      <c r="K3566" s="10" t="n">
        <v>46115</v>
      </c>
      <c r="L3566" s="13" t="n">
        <v>1</v>
      </c>
      <c r="M3566" s="8">
        <f>L3566*G3566</f>
        <v/>
      </c>
      <c r="P3566" s="9" t="n"/>
    </row>
    <row r="3567">
      <c r="A3567" s="13" t="inlineStr">
        <is>
          <t>Winding Way / Caminho Tortuoso</t>
        </is>
      </c>
      <c r="B3567" s="13" t="inlineStr">
        <is>
          <t>Sorcery / Feitiço</t>
        </is>
      </c>
      <c r="C3567" s="13" t="inlineStr">
        <is>
          <t>Common / Comum</t>
        </is>
      </c>
      <c r="D3567" s="13"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3567" s="13" t="inlineStr">
        <is>
          <t>{1}{G}</t>
        </is>
      </c>
      <c r="F3567" s="13" t="inlineStr">
        <is>
          <t>Verde</t>
        </is>
      </c>
      <c r="G3567" s="8" t="n">
        <v>7.58</v>
      </c>
      <c r="H3567" s="13" t="inlineStr">
        <is>
          <t>Modern Horizons (MH1)</t>
        </is>
      </c>
      <c r="I3567" s="13" t="inlineStr">
        <is>
          <t>Não</t>
        </is>
      </c>
      <c r="J3567" s="13" t="n">
        <v>2019</v>
      </c>
      <c r="L3567" s="13" t="n">
        <v>1</v>
      </c>
      <c r="M3567" s="8">
        <f>L3567*G3567</f>
        <v/>
      </c>
      <c r="N3567" s="13" t="inlineStr">
        <is>
          <t>Pasta</t>
        </is>
      </c>
      <c r="P3567" s="9" t="n"/>
    </row>
    <row r="3568">
      <c r="A3568" s="13" t="inlineStr">
        <is>
          <t>Plummet / Tombar</t>
        </is>
      </c>
      <c r="B3568" s="13" t="inlineStr">
        <is>
          <t>Instant / Mágica Instantânea</t>
        </is>
      </c>
      <c r="C3568" s="13" t="inlineStr">
        <is>
          <t>Common / Comum</t>
        </is>
      </c>
      <c r="D3568" s="13" t="inlineStr">
        <is>
          <t>Destroy target creature with flying. / Destrua a criatura alvo com voar.</t>
        </is>
      </c>
      <c r="E3568" s="13" t="inlineStr">
        <is>
          <t>{1}{G}</t>
        </is>
      </c>
      <c r="F3568" s="13" t="inlineStr">
        <is>
          <t>Verde</t>
        </is>
      </c>
      <c r="G3568" s="8" t="n">
        <v>0.13</v>
      </c>
      <c r="H3568" s="13" t="inlineStr">
        <is>
          <t>Rivals of Ixalan (RIX)</t>
        </is>
      </c>
      <c r="I3568" s="13" t="inlineStr">
        <is>
          <t>Não</t>
        </is>
      </c>
      <c r="J3568" s="13" t="n">
        <v>2018</v>
      </c>
      <c r="L3568" s="13" t="n">
        <v>1</v>
      </c>
      <c r="M3568" s="8">
        <f>L3568*G3568</f>
        <v/>
      </c>
      <c r="P3568" s="9" t="n"/>
    </row>
    <row r="3569">
      <c r="A3569" s="13" t="inlineStr">
        <is>
          <t>Ancient Brontodon / Brontodonte Ancestral</t>
        </is>
      </c>
      <c r="B3569" s="13" t="inlineStr">
        <is>
          <t>Creature — Dinosaur / Criatura — Dinossauro</t>
        </is>
      </c>
      <c r="C3569" s="13" t="inlineStr">
        <is>
          <t>Common / Comum</t>
        </is>
      </c>
      <c r="E3569" s="13" t="inlineStr">
        <is>
          <t>{6}{G}{G}</t>
        </is>
      </c>
      <c r="F3569" s="13" t="inlineStr">
        <is>
          <t>Verde</t>
        </is>
      </c>
      <c r="G3569" s="8" t="n">
        <v>0.03</v>
      </c>
      <c r="H3569" s="13" t="inlineStr">
        <is>
          <t>Ixalan (XLN)</t>
        </is>
      </c>
      <c r="I3569" s="13" t="inlineStr">
        <is>
          <t>Não</t>
        </is>
      </c>
      <c r="J3569" s="13" t="n">
        <v>2017</v>
      </c>
      <c r="K3569" s="10" t="n">
        <v>46274</v>
      </c>
      <c r="L3569" s="13" t="n">
        <v>2</v>
      </c>
      <c r="M3569" s="8">
        <f>L3569*G3569</f>
        <v/>
      </c>
      <c r="P3569" s="9" t="n"/>
    </row>
    <row r="3570">
      <c r="A3570" s="13" t="inlineStr">
        <is>
          <t>Pounce / Dar o Bote</t>
        </is>
      </c>
      <c r="B3570" s="13" t="inlineStr">
        <is>
          <t>Instant / Mágica Instantânea</t>
        </is>
      </c>
      <c r="C3570" s="13" t="inlineStr">
        <is>
          <t>Common / Comum</t>
        </is>
      </c>
      <c r="D3570" s="13"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3570" s="13" t="inlineStr">
        <is>
          <t>{1}{G}</t>
        </is>
      </c>
      <c r="F3570" s="13" t="inlineStr">
        <is>
          <t>Verde</t>
        </is>
      </c>
      <c r="G3570" s="8" t="n">
        <v>0.03</v>
      </c>
      <c r="H3570" s="13" t="inlineStr">
        <is>
          <t>Ixalan (XLN)</t>
        </is>
      </c>
      <c r="I3570" s="13" t="inlineStr">
        <is>
          <t>Não</t>
        </is>
      </c>
      <c r="J3570" s="13" t="n">
        <v>2017</v>
      </c>
      <c r="L3570" s="13" t="n">
        <v>1</v>
      </c>
      <c r="M3570" s="8">
        <f>L3570*G3570</f>
        <v/>
      </c>
      <c r="P3570" s="9" t="n"/>
    </row>
    <row r="3571">
      <c r="A3571" s="13" t="inlineStr">
        <is>
          <t>Jungle Delver / Incursor das Selvas</t>
        </is>
      </c>
      <c r="B3571" s="13" t="inlineStr">
        <is>
          <t>Creature — Merfolk Warrior / Criatura — Tritão Guerreiro</t>
        </is>
      </c>
      <c r="C3571" s="13" t="inlineStr">
        <is>
          <t>Common / Comum</t>
        </is>
      </c>
      <c r="D3571" s="13" t="inlineStr">
        <is>
          <t>{3}{G}: Put a +1/+1 counter on this creature. / {3}{G}: Coloque um marcador +1/+1 em Incursor das Selvas.</t>
        </is>
      </c>
      <c r="E3571" s="13" t="inlineStr">
        <is>
          <t>{G}</t>
        </is>
      </c>
      <c r="F3571" s="13" t="inlineStr">
        <is>
          <t>Verde</t>
        </is>
      </c>
      <c r="G3571" s="8" t="n">
        <v>0.03</v>
      </c>
      <c r="H3571" s="13" t="inlineStr">
        <is>
          <t>Ixalan (XLN)</t>
        </is>
      </c>
      <c r="I3571" s="13" t="inlineStr">
        <is>
          <t>Não</t>
        </is>
      </c>
      <c r="J3571" s="13" t="n">
        <v>2017</v>
      </c>
      <c r="K3571" s="10" t="n">
        <v>46023</v>
      </c>
      <c r="L3571" s="13" t="n">
        <v>1</v>
      </c>
      <c r="M3571" s="8">
        <f>L3571*G3571</f>
        <v/>
      </c>
      <c r="P3571" s="9" t="n"/>
    </row>
    <row r="3572">
      <c r="A3572" s="13" t="inlineStr">
        <is>
          <t>Ixalli's Diviner / Adivinha de Ixalli</t>
        </is>
      </c>
      <c r="B3572" s="13" t="inlineStr">
        <is>
          <t>Creature — Human Druid / Criatura — Humano Druida</t>
        </is>
      </c>
      <c r="C3572" s="13" t="inlineStr">
        <is>
          <t>Common / Comum</t>
        </is>
      </c>
      <c r="D3572" s="13"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3572" s="13" t="inlineStr">
        <is>
          <t>{1}{G}</t>
        </is>
      </c>
      <c r="F3572" s="13" t="inlineStr">
        <is>
          <t>Verde</t>
        </is>
      </c>
      <c r="G3572" s="8" t="n">
        <v>0.03</v>
      </c>
      <c r="H3572" s="13" t="inlineStr">
        <is>
          <t>Ixalan (XLN)</t>
        </is>
      </c>
      <c r="I3572" s="13" t="inlineStr">
        <is>
          <t>Não</t>
        </is>
      </c>
      <c r="J3572" s="13" t="n">
        <v>2017</v>
      </c>
      <c r="K3572" s="13" t="inlineStr">
        <is>
          <t>0/3</t>
        </is>
      </c>
      <c r="L3572" s="13" t="n">
        <v>1</v>
      </c>
      <c r="M3572" s="8">
        <f>L3572*G3572</f>
        <v/>
      </c>
      <c r="P3572" s="9" t="n"/>
    </row>
    <row r="3573">
      <c r="A3573" s="13" t="inlineStr">
        <is>
          <t>Tishana's Wayfinder / Trilheira de Tishana</t>
        </is>
      </c>
      <c r="B3573" s="13" t="inlineStr">
        <is>
          <t>Creature — Merfolk Scout / Criatura — Tritão Batedor</t>
        </is>
      </c>
      <c r="C3573" s="13" t="inlineStr">
        <is>
          <t>Common / Comum</t>
        </is>
      </c>
      <c r="D3573" s="13"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3573" s="13" t="inlineStr">
        <is>
          <t>{2}{G}</t>
        </is>
      </c>
      <c r="F3573" s="13" t="inlineStr">
        <is>
          <t>Verde</t>
        </is>
      </c>
      <c r="G3573" s="8" t="n">
        <v>0.03</v>
      </c>
      <c r="H3573" s="13" t="inlineStr">
        <is>
          <t>Ixalan (XLN)</t>
        </is>
      </c>
      <c r="I3573" s="13" t="inlineStr">
        <is>
          <t>Não</t>
        </is>
      </c>
      <c r="J3573" s="13" t="n">
        <v>2017</v>
      </c>
      <c r="K3573" s="10" t="n">
        <v>46055</v>
      </c>
      <c r="L3573" s="13" t="n">
        <v>1</v>
      </c>
      <c r="M3573" s="8">
        <f>L3573*G3573</f>
        <v/>
      </c>
      <c r="P3573" s="9" t="n"/>
    </row>
    <row r="3574">
      <c r="A3574" s="13" t="inlineStr">
        <is>
          <t>Aerial Predation / Predação Aérea</t>
        </is>
      </c>
      <c r="B3574" s="13" t="inlineStr">
        <is>
          <t>Instant / Mágica Instantânea</t>
        </is>
      </c>
      <c r="C3574" s="13" t="inlineStr">
        <is>
          <t>Common / Comum</t>
        </is>
      </c>
      <c r="D3574" s="13" t="inlineStr">
        <is>
          <t>Destroy target creature with flying. You gain 2 life. / Destrua a criatura alvo com voar. Você ganha 2 pontos de vida.</t>
        </is>
      </c>
      <c r="E3574" s="13" t="inlineStr">
        <is>
          <t>{2}{G}</t>
        </is>
      </c>
      <c r="F3574" s="13" t="inlineStr">
        <is>
          <t>Verde</t>
        </is>
      </c>
      <c r="G3574" s="8" t="n">
        <v>0.06</v>
      </c>
      <c r="H3574" s="13" t="inlineStr">
        <is>
          <t>Return to Ravnica (RTR)</t>
        </is>
      </c>
      <c r="I3574" s="13" t="inlineStr">
        <is>
          <t>Não</t>
        </is>
      </c>
      <c r="J3574" s="13" t="n">
        <v>2012</v>
      </c>
      <c r="L3574" s="13" t="n">
        <v>2</v>
      </c>
      <c r="M3574" s="8">
        <f>L3574*G3574</f>
        <v/>
      </c>
      <c r="P3574" s="9" t="n"/>
    </row>
    <row r="3575">
      <c r="A3575" s="13" t="inlineStr">
        <is>
          <t>Trollhide / Couro de Trol</t>
        </is>
      </c>
      <c r="B3575" s="13" t="inlineStr">
        <is>
          <t>Enchantment — Aura / Encantamento — Aura</t>
        </is>
      </c>
      <c r="C3575" s="13" t="inlineStr">
        <is>
          <t>Common / Comum</t>
        </is>
      </c>
      <c r="D3575" s="13"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3575" s="13" t="inlineStr">
        <is>
          <t>{2}{G}</t>
        </is>
      </c>
      <c r="F3575" s="13" t="inlineStr">
        <is>
          <t>Verde</t>
        </is>
      </c>
      <c r="G3575" s="8" t="n">
        <v>0.05</v>
      </c>
      <c r="H3575" s="13" t="inlineStr">
        <is>
          <t>Magic 2012 (M12)</t>
        </is>
      </c>
      <c r="I3575" s="13" t="inlineStr">
        <is>
          <t>Não</t>
        </is>
      </c>
      <c r="J3575" s="13" t="n">
        <v>2011</v>
      </c>
      <c r="L3575" s="13" t="n">
        <v>3</v>
      </c>
      <c r="M3575" s="8">
        <f>L3575*G3575</f>
        <v/>
      </c>
      <c r="P3575" s="9" t="n"/>
    </row>
    <row r="3576">
      <c r="A3576" s="13" t="inlineStr">
        <is>
          <t>Stonefare Crocodile / Crocodilo de Petreovila</t>
        </is>
      </c>
      <c r="B3576" s="13" t="inlineStr">
        <is>
          <t>Creature — Crocodile / Criatura — Crocodilo</t>
        </is>
      </c>
      <c r="C3576" s="13" t="inlineStr">
        <is>
          <t>Common / Comum</t>
        </is>
      </c>
      <c r="D3576" s="13"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3576" s="13" t="inlineStr">
        <is>
          <t>{2}{G}</t>
        </is>
      </c>
      <c r="F3576" s="13" t="inlineStr">
        <is>
          <t>Verde</t>
        </is>
      </c>
      <c r="G3576" s="8" t="n">
        <v>0.04</v>
      </c>
      <c r="H3576" s="13" t="inlineStr">
        <is>
          <t>Return to Ravnica (RTR)</t>
        </is>
      </c>
      <c r="I3576" s="13" t="inlineStr">
        <is>
          <t>Não</t>
        </is>
      </c>
      <c r="J3576" s="13" t="n">
        <v>2012</v>
      </c>
      <c r="K3576" s="10" t="n">
        <v>46056</v>
      </c>
      <c r="L3576" s="13" t="n">
        <v>1</v>
      </c>
      <c r="M3576" s="8">
        <f>L3576*G3576</f>
        <v/>
      </c>
      <c r="P3576" s="9" t="n"/>
    </row>
    <row r="3577">
      <c r="A3577" s="13" t="inlineStr">
        <is>
          <t>Predator's Rapport / Afinidade do Predador</t>
        </is>
      </c>
      <c r="B3577" s="13" t="inlineStr">
        <is>
          <t>Instant / Mágica Instantânea</t>
        </is>
      </c>
      <c r="C3577" s="13" t="inlineStr">
        <is>
          <t>Common / Comum</t>
        </is>
      </c>
      <c r="D3577" s="13" t="inlineStr">
        <is>
          <t>Choose target creature you control. You gain life equal to that creature's power plus its toughness. / Escolha uma criatura alvo que você controla. Você ganha uma quantidade de pontos de vida igual à soma do poder e da resistência daquela criatura.</t>
        </is>
      </c>
      <c r="E3577" s="13" t="inlineStr">
        <is>
          <t>{2}{G}</t>
        </is>
      </c>
      <c r="F3577" s="13" t="inlineStr">
        <is>
          <t>Verde</t>
        </is>
      </c>
      <c r="G3577" s="8" t="n">
        <v>0.08</v>
      </c>
      <c r="H3577" s="13" t="inlineStr">
        <is>
          <t>Gatecrash (GTC)</t>
        </is>
      </c>
      <c r="I3577" s="13" t="inlineStr">
        <is>
          <t>Não</t>
        </is>
      </c>
      <c r="J3577" s="13" t="n">
        <v>2013</v>
      </c>
      <c r="L3577" s="13" t="n">
        <v>1</v>
      </c>
      <c r="M3577" s="8">
        <f>L3577*G3577</f>
        <v/>
      </c>
      <c r="P3577" s="9" t="n"/>
    </row>
    <row r="3578">
      <c r="A3578" s="13" t="inlineStr">
        <is>
          <t>Greenside Watcher / Vigia do Verde</t>
        </is>
      </c>
      <c r="B3578" s="13" t="inlineStr">
        <is>
          <t>Creature — Elf Druid / Criatura — Elfo Druida</t>
        </is>
      </c>
      <c r="C3578" s="13" t="inlineStr">
        <is>
          <t>Common / Comum</t>
        </is>
      </c>
      <c r="D3578" s="13" t="inlineStr">
        <is>
          <t>{T}: Untap target Gate. / {T}: Desvire o Portão alvo.</t>
        </is>
      </c>
      <c r="E3578" s="13" t="inlineStr">
        <is>
          <t>{1}{G}</t>
        </is>
      </c>
      <c r="F3578" s="13" t="inlineStr">
        <is>
          <t>Verde</t>
        </is>
      </c>
      <c r="G3578" s="8" t="n">
        <v>0.05</v>
      </c>
      <c r="H3578" s="13" t="inlineStr">
        <is>
          <t>Gatecrash (GTC)</t>
        </is>
      </c>
      <c r="I3578" s="13" t="inlineStr">
        <is>
          <t>Não</t>
        </is>
      </c>
      <c r="J3578" s="13" t="n">
        <v>2013</v>
      </c>
      <c r="K3578" s="10" t="n">
        <v>46024</v>
      </c>
      <c r="L3578" s="13" t="n">
        <v>1</v>
      </c>
      <c r="M3578" s="8">
        <f>L3578*G3578</f>
        <v/>
      </c>
      <c r="P3578" s="9" t="n"/>
    </row>
    <row r="3579">
      <c r="A3579" s="13" t="inlineStr">
        <is>
          <t>Spiked Baloth / Baloth Espiculado</t>
        </is>
      </c>
      <c r="B3579" s="13" t="inlineStr">
        <is>
          <t>Creature — Beast / Criatura — Besta</t>
        </is>
      </c>
      <c r="C3579" s="13" t="inlineStr">
        <is>
          <t>Common / Comum</t>
        </is>
      </c>
      <c r="D3579" s="13"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3579" s="13" t="inlineStr">
        <is>
          <t>{3}{G}</t>
        </is>
      </c>
      <c r="F3579" s="13" t="inlineStr">
        <is>
          <t>Verde</t>
        </is>
      </c>
      <c r="G3579" s="8" t="n">
        <v>0.05</v>
      </c>
      <c r="H3579" s="13" t="inlineStr">
        <is>
          <t>Magic 2013 (M13)</t>
        </is>
      </c>
      <c r="I3579" s="13" t="inlineStr">
        <is>
          <t>Não</t>
        </is>
      </c>
      <c r="J3579" s="13" t="n">
        <v>2012</v>
      </c>
      <c r="K3579" s="10" t="n">
        <v>46057</v>
      </c>
      <c r="L3579" s="13" t="n">
        <v>2</v>
      </c>
      <c r="M3579" s="8">
        <f>L3579*G3579</f>
        <v/>
      </c>
      <c r="P3579" s="9" t="n"/>
    </row>
    <row r="3580">
      <c r="A3580" s="13" t="inlineStr">
        <is>
          <t>Jade Bearer / Portadora do Jade</t>
        </is>
      </c>
      <c r="B3580" s="13" t="inlineStr">
        <is>
          <t>Creature — Merfolk Shaman / Criatura — Tritão Xamã</t>
        </is>
      </c>
      <c r="C3580" s="13" t="inlineStr">
        <is>
          <t>Common / Comum</t>
        </is>
      </c>
      <c r="D3580" s="13" t="inlineStr">
        <is>
          <t>When this creature enters, put a +1/+1 counter on another target Merfolk you control. / Quando Portadora do Jade entrar no campo de batalha, coloque um marcador +1/+1 em outro Tritão alvo que você controla.</t>
        </is>
      </c>
      <c r="E3580" s="13" t="inlineStr">
        <is>
          <t>{G}</t>
        </is>
      </c>
      <c r="F3580" s="13" t="inlineStr">
        <is>
          <t>Verde</t>
        </is>
      </c>
      <c r="G3580" s="8" t="n">
        <v>0.03</v>
      </c>
      <c r="H3580" s="13" t="inlineStr">
        <is>
          <t>Rivals of Ixalan (RIX)</t>
        </is>
      </c>
      <c r="I3580" s="13" t="inlineStr">
        <is>
          <t>Não</t>
        </is>
      </c>
      <c r="J3580" s="13" t="n">
        <v>2018</v>
      </c>
      <c r="K3580" s="10" t="n">
        <v>46023</v>
      </c>
      <c r="L3580" s="13" t="n">
        <v>2</v>
      </c>
      <c r="M3580" s="8">
        <f>L3580*G3580</f>
        <v/>
      </c>
      <c r="P3580" s="9" t="n"/>
    </row>
    <row r="3581">
      <c r="A3581" s="13" t="inlineStr">
        <is>
          <t>Orazca Frillback / Dorso-frisado de Orazca</t>
        </is>
      </c>
      <c r="B3581" s="13" t="inlineStr">
        <is>
          <t>Creature — Dinosaur / Criatura — Dinossauro</t>
        </is>
      </c>
      <c r="C3581" s="13" t="inlineStr">
        <is>
          <t>Common / Comum</t>
        </is>
      </c>
      <c r="E3581" s="13" t="inlineStr">
        <is>
          <t>{2}{G}</t>
        </is>
      </c>
      <c r="F3581" s="13" t="inlineStr">
        <is>
          <t>Verde</t>
        </is>
      </c>
      <c r="G3581" s="8" t="n">
        <v>0.03</v>
      </c>
      <c r="H3581" s="13" t="inlineStr">
        <is>
          <t>Rivals of Ixalan (RIX)</t>
        </is>
      </c>
      <c r="I3581" s="13" t="inlineStr">
        <is>
          <t>Não</t>
        </is>
      </c>
      <c r="J3581" s="13" t="n">
        <v>2018</v>
      </c>
      <c r="K3581" s="10" t="n">
        <v>46057</v>
      </c>
      <c r="L3581" s="13" t="n">
        <v>1</v>
      </c>
      <c r="M3581" s="8">
        <f>L3581*G3581</f>
        <v/>
      </c>
      <c r="P3581" s="9" t="n"/>
    </row>
    <row r="3582">
      <c r="A3582" s="13" t="inlineStr">
        <is>
          <t>Colossal Dreadmaw / Bocarra Sinistra Colossal</t>
        </is>
      </c>
      <c r="B3582" s="13" t="inlineStr">
        <is>
          <t>Creature — Dinosaur / Criatura — Dinossauro</t>
        </is>
      </c>
      <c r="C3582" s="13" t="inlineStr">
        <is>
          <t>Common / Comum</t>
        </is>
      </c>
      <c r="D3582" s="13" t="inlineStr">
        <is>
          <t>Trample (This creature can deal excess combat damage to the player or planeswalker it's attacking.) / Atropelar</t>
        </is>
      </c>
      <c r="E3582" s="13" t="inlineStr">
        <is>
          <t>{4}{G}{G}</t>
        </is>
      </c>
      <c r="F3582" s="13" t="inlineStr">
        <is>
          <t>Verde</t>
        </is>
      </c>
      <c r="G3582" s="8" t="n">
        <v>0.05</v>
      </c>
      <c r="H3582" s="13" t="inlineStr">
        <is>
          <t>Rivals of Ixalan (RIX)</t>
        </is>
      </c>
      <c r="I3582" s="13" t="inlineStr">
        <is>
          <t>Não</t>
        </is>
      </c>
      <c r="J3582" s="13" t="n">
        <v>2018</v>
      </c>
      <c r="K3582" s="10" t="n">
        <v>46179</v>
      </c>
      <c r="L3582" s="13" t="n">
        <v>1</v>
      </c>
      <c r="M3582" s="8">
        <f>L3582*G3582</f>
        <v/>
      </c>
      <c r="P3582" s="9" t="n"/>
    </row>
    <row r="3583">
      <c r="A3583" s="13" t="inlineStr">
        <is>
          <t>Hunt the Weak / Caçar os Fracos</t>
        </is>
      </c>
      <c r="B3583" s="13" t="inlineStr">
        <is>
          <t>Sorcery / Feitiço</t>
        </is>
      </c>
      <c r="C3583" s="13" t="inlineStr">
        <is>
          <t>Common / Comum</t>
        </is>
      </c>
      <c r="D3583" s="13"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3583" s="13" t="inlineStr">
        <is>
          <t>{3}{G}</t>
        </is>
      </c>
      <c r="F3583" s="13" t="inlineStr">
        <is>
          <t>Verde</t>
        </is>
      </c>
      <c r="G3583" s="8" t="n">
        <v>0.03</v>
      </c>
      <c r="H3583" s="13" t="inlineStr">
        <is>
          <t>Rivals of Ixalan (RIX)</t>
        </is>
      </c>
      <c r="I3583" s="13" t="inlineStr">
        <is>
          <t>Não</t>
        </is>
      </c>
      <c r="J3583" s="13" t="n">
        <v>2018</v>
      </c>
      <c r="L3583" s="13" t="n">
        <v>2</v>
      </c>
      <c r="M3583" s="8">
        <f>L3583*G3583</f>
        <v/>
      </c>
      <c r="P3583" s="9" t="n"/>
    </row>
    <row r="3584">
      <c r="A3584" s="13" t="inlineStr">
        <is>
          <t>Naturalize / Naturalizar</t>
        </is>
      </c>
      <c r="B3584" s="13" t="inlineStr">
        <is>
          <t>Instant / Mágica Instantânea</t>
        </is>
      </c>
      <c r="C3584" s="13" t="inlineStr">
        <is>
          <t>Common / Comum</t>
        </is>
      </c>
      <c r="D3584" s="13" t="inlineStr">
        <is>
          <t>Destroy target artifact or enchantment. / Destrua o artefato ou o encantamento alvo.</t>
        </is>
      </c>
      <c r="E3584" s="13" t="inlineStr">
        <is>
          <t>{1}{G}</t>
        </is>
      </c>
      <c r="F3584" s="13" t="inlineStr">
        <is>
          <t>Verde</t>
        </is>
      </c>
      <c r="G3584" s="8" t="n">
        <v>0.03</v>
      </c>
      <c r="H3584" s="13" t="inlineStr">
        <is>
          <t>Rivals of Ixalan (RIX)</t>
        </is>
      </c>
      <c r="I3584" s="13" t="inlineStr">
        <is>
          <t>Não</t>
        </is>
      </c>
      <c r="J3584" s="13" t="n">
        <v>2018</v>
      </c>
      <c r="L3584" s="13" t="n">
        <v>2</v>
      </c>
      <c r="M3584" s="8">
        <f>L3584*G3584</f>
        <v/>
      </c>
      <c r="P3584" s="9" t="n"/>
    </row>
    <row r="3585">
      <c r="A3585" s="13" t="inlineStr">
        <is>
          <t>Giltgrove Stalker / Espreitadora do Bosque D'ouro</t>
        </is>
      </c>
      <c r="B3585" s="13" t="inlineStr">
        <is>
          <t>Creature — Merfolk Warrior / Criatura — Tritão Guerreiro</t>
        </is>
      </c>
      <c r="C3585" s="13" t="inlineStr">
        <is>
          <t>Common / Comum</t>
        </is>
      </c>
      <c r="D3585" s="13" t="inlineStr">
        <is>
          <t>This creature can't be blocked by creatures with power 2 or less. / Espreitadora do Bosque D'ouro não pode ser bloqueada por criaturas com poder igual ou inferior a 2.</t>
        </is>
      </c>
      <c r="E3585" s="13" t="inlineStr">
        <is>
          <t>{1}{G}</t>
        </is>
      </c>
      <c r="F3585" s="13" t="inlineStr">
        <is>
          <t>Verde</t>
        </is>
      </c>
      <c r="G3585" s="8" t="n">
        <v>0.03</v>
      </c>
      <c r="H3585" s="13" t="inlineStr">
        <is>
          <t>Rivals of Ixalan (RIX)</t>
        </is>
      </c>
      <c r="I3585" s="13" t="inlineStr">
        <is>
          <t>Não</t>
        </is>
      </c>
      <c r="J3585" s="13" t="n">
        <v>2018</v>
      </c>
      <c r="K3585" s="10" t="n">
        <v>46024</v>
      </c>
      <c r="L3585" s="13" t="n">
        <v>1</v>
      </c>
      <c r="M3585" s="8">
        <f>L3585*G3585</f>
        <v/>
      </c>
      <c r="P3585" s="9" t="n"/>
    </row>
    <row r="3586">
      <c r="A3586" s="13" t="inlineStr">
        <is>
          <t>Dance of the Tumbleweeds / Dança dos Arbustos Rolantes</t>
        </is>
      </c>
      <c r="B3586" s="13" t="inlineStr">
        <is>
          <t>Sorcery / Feitiço</t>
        </is>
      </c>
      <c r="C3586" s="13" t="inlineStr">
        <is>
          <t>Common / Comum</t>
        </is>
      </c>
      <c r="D3586" s="13"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3586" s="13" t="inlineStr">
        <is>
          <t>{1}{G}</t>
        </is>
      </c>
      <c r="F3586" s="13" t="inlineStr">
        <is>
          <t>Verde</t>
        </is>
      </c>
      <c r="G3586" s="8" t="n">
        <v>0.15</v>
      </c>
      <c r="H3586" s="13" t="inlineStr">
        <is>
          <t>Outlaws of Thunder Junction (OTJ)</t>
        </is>
      </c>
      <c r="I3586" s="13" t="inlineStr">
        <is>
          <t>Não</t>
        </is>
      </c>
      <c r="J3586" s="13" t="n">
        <v>2024</v>
      </c>
      <c r="L3586" s="13" t="n">
        <v>1</v>
      </c>
      <c r="M3586" s="8">
        <f>L3586*G3586</f>
        <v/>
      </c>
      <c r="P3586" s="9" t="n"/>
    </row>
    <row r="3587">
      <c r="A3587" s="13" t="inlineStr">
        <is>
          <t>Solitary Hunter / Caçador Solitário</t>
        </is>
      </c>
      <c r="B3587" s="13" t="inlineStr">
        <is>
          <t>Creature — Human Warrior Werewolf / Criatura — Humano Guerreiro Lobisomem</t>
        </is>
      </c>
      <c r="C3587" s="13" t="inlineStr">
        <is>
          <t>Common / Comum</t>
        </is>
      </c>
      <c r="D3587" s="13" t="inlineStr">
        <is>
          <t>At the beginning of each upkeep, if no spells were cast last turn, transform this creature. / No início de cada manutenção, se nenhuma mágica tiver sido conjurada no último turno, transforme Caçador Solitário.</t>
        </is>
      </c>
      <c r="E3587" s="13" t="inlineStr">
        <is>
          <t>{3}{G}</t>
        </is>
      </c>
      <c r="F3587" s="13" t="inlineStr">
        <is>
          <t>Verde</t>
        </is>
      </c>
      <c r="G3587" s="8" t="n">
        <v>0.06</v>
      </c>
      <c r="H3587" s="13" t="inlineStr">
        <is>
          <t>Shadows over Innistrad (SOI)</t>
        </is>
      </c>
      <c r="I3587" s="13" t="inlineStr">
        <is>
          <t>Não</t>
        </is>
      </c>
      <c r="J3587" s="13" t="n">
        <v>2016</v>
      </c>
      <c r="K3587" s="10" t="n">
        <v>46115</v>
      </c>
      <c r="L3587" s="13" t="n">
        <v>1</v>
      </c>
      <c r="M3587" s="8">
        <f>L3587*G3587</f>
        <v/>
      </c>
      <c r="P3587" s="9" t="n"/>
    </row>
    <row r="3588">
      <c r="A3588" s="13" t="inlineStr">
        <is>
          <t>Shredding Winds / Ventos Cortantes</t>
        </is>
      </c>
      <c r="B3588" s="13" t="inlineStr">
        <is>
          <t>Instant / Mágica Instantânea</t>
        </is>
      </c>
      <c r="C3588" s="13" t="inlineStr">
        <is>
          <t>Common / Comum</t>
        </is>
      </c>
      <c r="D3588" s="13" t="inlineStr">
        <is>
          <t>Shredding Winds deals 7 damage to target creature with flying. / Ventos Cortantes causa 7 pontos de dano à criatura alvo com voar.</t>
        </is>
      </c>
      <c r="E3588" s="13" t="inlineStr">
        <is>
          <t>{2}{G}</t>
        </is>
      </c>
      <c r="F3588" s="13" t="inlineStr">
        <is>
          <t>Verde</t>
        </is>
      </c>
      <c r="G3588" s="8" t="n">
        <v>0.03</v>
      </c>
      <c r="H3588" s="13" t="inlineStr">
        <is>
          <t>Theros (THS)</t>
        </is>
      </c>
      <c r="I3588" s="13" t="inlineStr">
        <is>
          <t>Não</t>
        </is>
      </c>
      <c r="J3588" s="13" t="n">
        <v>2013</v>
      </c>
      <c r="L3588" s="13" t="n">
        <v>1</v>
      </c>
      <c r="M3588" s="8">
        <f>L3588*G3588</f>
        <v/>
      </c>
      <c r="P3588" s="9" t="n"/>
    </row>
    <row r="3589">
      <c r="A3589" s="13" t="inlineStr">
        <is>
          <t>Urban Burgeoning / Crescimento Urbano</t>
        </is>
      </c>
      <c r="B3589" s="13" t="inlineStr">
        <is>
          <t>Enchantment — Aura / Encantamento — Aura</t>
        </is>
      </c>
      <c r="C3589" s="13" t="inlineStr">
        <is>
          <t>Common / Comum</t>
        </is>
      </c>
      <c r="D3589" s="13" t="inlineStr">
        <is>
          <t>Enchant land Enchanted land has "Untap this land during each other player's untap step." / Encantar terreno O terreno encantado tem "Desvire este terreno durante a etapa de desvirar de cada outro jogador."</t>
        </is>
      </c>
      <c r="E3589" s="13" t="inlineStr">
        <is>
          <t>{G}</t>
        </is>
      </c>
      <c r="F3589" s="13" t="inlineStr">
        <is>
          <t>Verde</t>
        </is>
      </c>
      <c r="G3589" s="8" t="n">
        <v>0.05</v>
      </c>
      <c r="H3589" s="13" t="inlineStr">
        <is>
          <t>Return to Ravnica (RTR)</t>
        </is>
      </c>
      <c r="I3589" s="13" t="inlineStr">
        <is>
          <t>Não</t>
        </is>
      </c>
      <c r="J3589" s="13" t="n">
        <v>2012</v>
      </c>
      <c r="L3589" s="13" t="n">
        <v>3</v>
      </c>
      <c r="M3589" s="8">
        <f>L3589*G3589</f>
        <v/>
      </c>
      <c r="P3589" s="9" t="n"/>
    </row>
    <row r="3590">
      <c r="A3590" s="13" t="inlineStr">
        <is>
          <t>Shredding Winds / Ventos Cortantes</t>
        </is>
      </c>
      <c r="B3590" s="13" t="inlineStr">
        <is>
          <t>Instant / Mágica Instantânea</t>
        </is>
      </c>
      <c r="C3590" s="13" t="inlineStr">
        <is>
          <t>Common / Comum</t>
        </is>
      </c>
      <c r="D3590" s="13" t="inlineStr">
        <is>
          <t>Shredding Winds deals 7 damage to target creature with flying. / Ventos Cortantes causa 7 pontos de dano à criatura alvo com voar.</t>
        </is>
      </c>
      <c r="E3590" s="13" t="inlineStr">
        <is>
          <t>{2}{G}</t>
        </is>
      </c>
      <c r="F3590" s="13" t="inlineStr">
        <is>
          <t>Verde</t>
        </is>
      </c>
      <c r="G3590" s="8" t="n">
        <v>0.03</v>
      </c>
      <c r="H3590" s="13" t="inlineStr">
        <is>
          <t>Theros (THS)</t>
        </is>
      </c>
      <c r="I3590" s="13" t="inlineStr">
        <is>
          <t>Não</t>
        </is>
      </c>
      <c r="J3590" s="13" t="n">
        <v>2013</v>
      </c>
      <c r="L3590" s="13" t="n">
        <v>1</v>
      </c>
      <c r="M3590" s="8">
        <f>L3590*G3590</f>
        <v/>
      </c>
      <c r="P3590" s="9" t="n"/>
    </row>
    <row r="3591">
      <c r="A3591" s="13" t="inlineStr">
        <is>
          <t>Savage Hunger / Fome Selvagem</t>
        </is>
      </c>
      <c r="B3591" s="13" t="inlineStr">
        <is>
          <t>Enchantment — Aura / Encantamento — Aura</t>
        </is>
      </c>
      <c r="C3591" s="13" t="inlineStr">
        <is>
          <t>Common / Comum</t>
        </is>
      </c>
      <c r="D3591" s="13" t="inlineStr">
        <is>
          <t>Enchant creature Enchanted creature gets +1/+0 and has trample. Cycling {2} ({2}, Discard this card: Draw a card.) / Encantar criatura A criatura encantada recebe +1/+0 e tem atropelar. Reciclar {2} ({2}, Descarte este card: Compre um card.)</t>
        </is>
      </c>
      <c r="E3591" s="13" t="inlineStr">
        <is>
          <t>{2}{G}</t>
        </is>
      </c>
      <c r="F3591" s="13" t="inlineStr">
        <is>
          <t>Verde</t>
        </is>
      </c>
      <c r="G3591" s="8" t="n">
        <v>0.03</v>
      </c>
      <c r="H3591" s="13" t="inlineStr">
        <is>
          <t>Shards of Alara (ALA)</t>
        </is>
      </c>
      <c r="I3591" s="13" t="inlineStr">
        <is>
          <t>Não</t>
        </is>
      </c>
      <c r="J3591" s="13" t="n">
        <v>2008</v>
      </c>
      <c r="L3591" s="13" t="n">
        <v>1</v>
      </c>
      <c r="M3591" s="8">
        <f>L3591*G3591</f>
        <v/>
      </c>
      <c r="P3591" s="9" t="n"/>
    </row>
    <row r="3592">
      <c r="A3592" s="13" t="inlineStr">
        <is>
          <t>Clinging Mists / Brumas Pegajosas</t>
        </is>
      </c>
      <c r="B3592" s="13" t="inlineStr">
        <is>
          <t>Instant / Mágica Instantânea</t>
        </is>
      </c>
      <c r="C3592" s="13" t="inlineStr">
        <is>
          <t>Common / Comum</t>
        </is>
      </c>
      <c r="D3592" s="13"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3592" s="13" t="inlineStr">
        <is>
          <t>{2}{G}</t>
        </is>
      </c>
      <c r="F3592" s="13" t="inlineStr">
        <is>
          <t>Verde</t>
        </is>
      </c>
      <c r="G3592" s="8" t="n">
        <v>0.05</v>
      </c>
      <c r="H3592" s="13" t="inlineStr">
        <is>
          <t>Dark Ascension (DKA)</t>
        </is>
      </c>
      <c r="I3592" s="13" t="inlineStr">
        <is>
          <t>Não</t>
        </is>
      </c>
      <c r="J3592" s="13" t="n">
        <v>2012</v>
      </c>
      <c r="L3592" s="13" t="n">
        <v>1</v>
      </c>
      <c r="M3592" s="8">
        <f>L3592*G3592</f>
        <v/>
      </c>
      <c r="P3592" s="9" t="n"/>
    </row>
    <row r="3593">
      <c r="A3593" s="13" t="inlineStr">
        <is>
          <t>Grave Bramble / Arbusto Tumular</t>
        </is>
      </c>
      <c r="B3593" s="13" t="inlineStr">
        <is>
          <t>Creature — Plant / Criatura — Planta</t>
        </is>
      </c>
      <c r="C3593" s="13" t="inlineStr">
        <is>
          <t>Common / Comum</t>
        </is>
      </c>
      <c r="D3593" s="13" t="inlineStr">
        <is>
          <t>Defender, protection from Zombies / Defensor, proteção contra Zumbis</t>
        </is>
      </c>
      <c r="E3593" s="13" t="inlineStr">
        <is>
          <t>{1}{G}{G}</t>
        </is>
      </c>
      <c r="F3593" s="13" t="inlineStr">
        <is>
          <t>Verde</t>
        </is>
      </c>
      <c r="G3593" s="8" t="n">
        <v>0.04</v>
      </c>
      <c r="H3593" s="13" t="inlineStr">
        <is>
          <t>Innistrad (ISD)</t>
        </is>
      </c>
      <c r="I3593" s="13" t="inlineStr">
        <is>
          <t>Não</t>
        </is>
      </c>
      <c r="J3593" s="13" t="n">
        <v>2011</v>
      </c>
      <c r="K3593" s="10" t="n">
        <v>46115</v>
      </c>
      <c r="L3593" s="13" t="n">
        <v>1</v>
      </c>
      <c r="M3593" s="8">
        <f>L3593*G3593</f>
        <v/>
      </c>
      <c r="P3593" s="9" t="n"/>
    </row>
    <row r="3594">
      <c r="A3594" s="13" t="inlineStr">
        <is>
          <t>Hollowhenge Beast / Fera de Vale Seco</t>
        </is>
      </c>
      <c r="B3594" s="13" t="inlineStr">
        <is>
          <t>Creature — Beast / Criatura — Besta</t>
        </is>
      </c>
      <c r="C3594" s="13" t="inlineStr">
        <is>
          <t>Common / Comum</t>
        </is>
      </c>
      <c r="E3594" s="13" t="inlineStr">
        <is>
          <t>{3}{G}{G}</t>
        </is>
      </c>
      <c r="F3594" s="13" t="inlineStr">
        <is>
          <t>Verde</t>
        </is>
      </c>
      <c r="G3594" s="8" t="n">
        <v>0.03</v>
      </c>
      <c r="H3594" s="13" t="inlineStr">
        <is>
          <t>Dark Ascension (DKA)</t>
        </is>
      </c>
      <c r="I3594" s="13" t="inlineStr">
        <is>
          <t>Não</t>
        </is>
      </c>
      <c r="J3594" s="13" t="n">
        <v>2012</v>
      </c>
      <c r="K3594" s="10" t="n">
        <v>46147</v>
      </c>
      <c r="L3594" s="13" t="n">
        <v>1</v>
      </c>
      <c r="M3594" s="8">
        <f>L3594*G3594</f>
        <v/>
      </c>
      <c r="P3594" s="9" t="n"/>
    </row>
    <row r="3595">
      <c r="A3595" s="13" t="inlineStr">
        <is>
          <t>Orchard Spirit / Espírito do Pomar</t>
        </is>
      </c>
      <c r="B3595" s="13" t="inlineStr">
        <is>
          <t>Creature — Spirit / Criatura — Espírito</t>
        </is>
      </c>
      <c r="C3595" s="13" t="inlineStr">
        <is>
          <t>Common / Comum</t>
        </is>
      </c>
      <c r="D3595" s="13" t="inlineStr">
        <is>
          <t>This creature can't be blocked except by creatures with flying or reach. / Espírito do Pomar só pode ser bloqueado por criaturas com voar ou alcance.</t>
        </is>
      </c>
      <c r="E3595" s="13" t="inlineStr">
        <is>
          <t>{2}{G}</t>
        </is>
      </c>
      <c r="F3595" s="13" t="inlineStr">
        <is>
          <t>Verde</t>
        </is>
      </c>
      <c r="G3595" s="8" t="n">
        <v>0.05</v>
      </c>
      <c r="H3595" s="13" t="inlineStr">
        <is>
          <t>Innistrad (ISD)</t>
        </is>
      </c>
      <c r="I3595" s="13" t="inlineStr">
        <is>
          <t>Não</t>
        </is>
      </c>
      <c r="J3595" s="13" t="n">
        <v>2011</v>
      </c>
      <c r="K3595" s="10" t="n">
        <v>46055</v>
      </c>
      <c r="L3595" s="13" t="n">
        <v>1</v>
      </c>
      <c r="M3595" s="8">
        <f>L3595*G3595</f>
        <v/>
      </c>
      <c r="P3595" s="9" t="n"/>
    </row>
    <row r="3596">
      <c r="A3596" s="13" t="inlineStr">
        <is>
          <t>Giant Spider / Aranha Gigante</t>
        </is>
      </c>
      <c r="B3596" s="13" t="inlineStr">
        <is>
          <t>Creature — Spider / Criatura — Aranha</t>
        </is>
      </c>
      <c r="C3596" s="13" t="inlineStr">
        <is>
          <t>Common / Comum</t>
        </is>
      </c>
      <c r="D3596" s="13" t="inlineStr">
        <is>
          <t>Reach (This creature can block creatures with flying.) / Alcance (Esta criatura pode bloquear criaturas com voar.)</t>
        </is>
      </c>
      <c r="E3596" s="13" t="inlineStr">
        <is>
          <t>{3}{G}</t>
        </is>
      </c>
      <c r="F3596" s="13" t="inlineStr">
        <is>
          <t>Verde</t>
        </is>
      </c>
      <c r="G3596" s="8" t="n">
        <v>0.05</v>
      </c>
      <c r="H3596" s="13" t="inlineStr">
        <is>
          <t>Magic 2014 (M14)</t>
        </is>
      </c>
      <c r="I3596" s="13" t="inlineStr">
        <is>
          <t>Não</t>
        </is>
      </c>
      <c r="J3596" s="13" t="n">
        <v>2013</v>
      </c>
      <c r="K3596" s="10" t="n">
        <v>46114</v>
      </c>
      <c r="L3596" s="13" t="n">
        <v>1</v>
      </c>
      <c r="M3596" s="8">
        <f>L3596*G3596</f>
        <v/>
      </c>
      <c r="P3596" s="9" t="n"/>
    </row>
    <row r="3597">
      <c r="A3597" s="13" t="inlineStr">
        <is>
          <t>Rootwalla / Rizowalla</t>
        </is>
      </c>
      <c r="B3597" s="13" t="inlineStr">
        <is>
          <t>Creature — Lizard / Criatura — Lagarto</t>
        </is>
      </c>
      <c r="C3597" s="13" t="inlineStr">
        <is>
          <t>Common / Comum</t>
        </is>
      </c>
      <c r="D3597" s="13" t="inlineStr">
        <is>
          <t>{1}{G}: This creature gets +2/+2 until end of turn. Activate only once each turn. / {1}{G}: Rizowalla recebe +2/+2 até o final do turno. Ative esta habilidade apenas uma vez a cada turno.</t>
        </is>
      </c>
      <c r="E3597" s="13" t="inlineStr">
        <is>
          <t>{2}{G}</t>
        </is>
      </c>
      <c r="F3597" s="13" t="inlineStr">
        <is>
          <t>Verde</t>
        </is>
      </c>
      <c r="G3597" s="8" t="n">
        <v>0.06</v>
      </c>
      <c r="H3597" s="13" t="inlineStr">
        <is>
          <t>Magic 2014 (M14)</t>
        </is>
      </c>
      <c r="I3597" s="13" t="inlineStr">
        <is>
          <t>Não</t>
        </is>
      </c>
      <c r="J3597" s="13" t="n">
        <v>2013</v>
      </c>
      <c r="K3597" s="10" t="n">
        <v>46055</v>
      </c>
      <c r="L3597" s="13" t="n">
        <v>1</v>
      </c>
      <c r="M3597" s="8">
        <f>L3597*G3597</f>
        <v/>
      </c>
      <c r="P3597" s="9" t="n"/>
    </row>
    <row r="3598">
      <c r="A3598" s="13" t="inlineStr">
        <is>
          <t>Rumbling Baloth / Baloth Retumbante</t>
        </is>
      </c>
      <c r="B3598" s="13" t="inlineStr">
        <is>
          <t>Creature — Beast / Criatura — Besta</t>
        </is>
      </c>
      <c r="C3598" s="13" t="inlineStr">
        <is>
          <t>Common / Comum</t>
        </is>
      </c>
      <c r="E3598" s="13" t="inlineStr">
        <is>
          <t>{2}{G}{G}</t>
        </is>
      </c>
      <c r="F3598" s="13" t="inlineStr">
        <is>
          <t>Verde</t>
        </is>
      </c>
      <c r="G3598" s="8" t="n">
        <v>0.05</v>
      </c>
      <c r="H3598" s="13" t="inlineStr">
        <is>
          <t>Magic 2014 (M14)</t>
        </is>
      </c>
      <c r="I3598" s="13" t="inlineStr">
        <is>
          <t>Não</t>
        </is>
      </c>
      <c r="J3598" s="13" t="n">
        <v>2013</v>
      </c>
      <c r="K3598" s="10" t="n">
        <v>46116</v>
      </c>
      <c r="L3598" s="13" t="n">
        <v>2</v>
      </c>
      <c r="M3598" s="8">
        <f>L3598*G3598</f>
        <v/>
      </c>
      <c r="P3598" s="9" t="n"/>
    </row>
    <row r="3599">
      <c r="A3599" s="13" t="inlineStr">
        <is>
          <t>Woodland Sleuth / Detetive da Floresta</t>
        </is>
      </c>
      <c r="B3599" s="13" t="inlineStr">
        <is>
          <t>Creature — Human Scout / Criatura — Humano Batedor</t>
        </is>
      </c>
      <c r="C3599" s="13" t="inlineStr">
        <is>
          <t>Common / Comum</t>
        </is>
      </c>
      <c r="D3599" s="13"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3599" s="13" t="inlineStr">
        <is>
          <t>{3}{G}</t>
        </is>
      </c>
      <c r="F3599" s="13" t="inlineStr">
        <is>
          <t>Verde</t>
        </is>
      </c>
      <c r="G3599" s="8" t="n">
        <v>0.05</v>
      </c>
      <c r="H3599" s="13" t="inlineStr">
        <is>
          <t>Innistrad (ISD)</t>
        </is>
      </c>
      <c r="I3599" s="13" t="inlineStr">
        <is>
          <t>Não</t>
        </is>
      </c>
      <c r="J3599" s="13" t="n">
        <v>2011</v>
      </c>
      <c r="K3599" s="10" t="n">
        <v>46083</v>
      </c>
      <c r="L3599" s="13" t="n">
        <v>5</v>
      </c>
      <c r="M3599" s="8">
        <f>L3599*G3599</f>
        <v/>
      </c>
      <c r="P3599" s="9" t="n"/>
    </row>
    <row r="3600">
      <c r="A3600" s="13" t="inlineStr">
        <is>
          <t>Somberwald Dryad / Dríade de Somberwald</t>
        </is>
      </c>
      <c r="B3600" s="13" t="inlineStr">
        <is>
          <t>Creature — Dryad / Criatura — Dríade</t>
        </is>
      </c>
      <c r="C3600" s="13" t="inlineStr">
        <is>
          <t>Common / Comum</t>
        </is>
      </c>
      <c r="D3600" s="13" t="inlineStr">
        <is>
          <t>Forestwalk (This creature can't be blocked as long as defending player controls a Forest.) / Travessia de floresta (Esta criatura não poderá ser bloqueada enquanto o jogador defensor controlar uma Floresta.)</t>
        </is>
      </c>
      <c r="E3600" s="13" t="inlineStr">
        <is>
          <t>{1}{G}</t>
        </is>
      </c>
      <c r="F3600" s="13" t="inlineStr">
        <is>
          <t>Verde</t>
        </is>
      </c>
      <c r="G3600" s="8" t="n">
        <v>0.09</v>
      </c>
      <c r="H3600" s="13" t="inlineStr">
        <is>
          <t>Dark Ascension (DKA)</t>
        </is>
      </c>
      <c r="I3600" s="13" t="inlineStr">
        <is>
          <t>Não</t>
        </is>
      </c>
      <c r="J3600" s="13" t="n">
        <v>2012</v>
      </c>
      <c r="K3600" s="10" t="n">
        <v>46055</v>
      </c>
      <c r="L3600" s="13" t="n">
        <v>2</v>
      </c>
      <c r="M3600" s="8">
        <f>L3600*G3600</f>
        <v/>
      </c>
      <c r="P3600" s="9" t="n"/>
    </row>
    <row r="3601">
      <c r="A3601" s="13" t="inlineStr">
        <is>
          <t>Foothill Guide</t>
        </is>
      </c>
      <c r="B3601" s="13" t="inlineStr">
        <is>
          <t>Criatura — Clérigo / Creature — Cleric</t>
        </is>
      </c>
      <c r="C3601" s="13" t="inlineStr">
        <is>
          <t>Comum / Common</t>
        </is>
      </c>
      <c r="D3601" s="13" t="inlineStr">
        <is>
          <t>Protection from Goblins. Morph {W} (You may play this face down as a 2/2 creature for {3}. Turn it face up any time for its morph cost.)</t>
        </is>
      </c>
      <c r="E3601" s="13" t="inlineStr">
        <is>
          <t>{W}</t>
        </is>
      </c>
      <c r="F3601" s="13" t="inlineStr">
        <is>
          <t>Branco</t>
        </is>
      </c>
      <c r="G3601" s="8" t="n">
        <v>0.07000000000000001</v>
      </c>
      <c r="H3601" s="13" t="inlineStr">
        <is>
          <t>Onslaught (ONS)</t>
        </is>
      </c>
      <c r="I3601" s="13" t="inlineStr">
        <is>
          <t>Não</t>
        </is>
      </c>
      <c r="J3601" s="13" t="n">
        <v>2002</v>
      </c>
      <c r="K3601" s="10" t="n">
        <v>46023</v>
      </c>
      <c r="L3601" s="13" t="n">
        <v>1</v>
      </c>
      <c r="M3601" s="8">
        <f>L3601*G3601</f>
        <v/>
      </c>
      <c r="P3601" s="9" t="n"/>
    </row>
    <row r="3602">
      <c r="A3602" s="13" t="inlineStr">
        <is>
          <t>Daru Cavalier / Cavalariano de Daru</t>
        </is>
      </c>
      <c r="B3602" s="13" t="inlineStr">
        <is>
          <t>Creature — Human Soldier / Criatura — Soldado</t>
        </is>
      </c>
      <c r="C3602" s="13" t="inlineStr">
        <is>
          <t>Common / Comum</t>
        </is>
      </c>
      <c r="D3602" s="13"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3602" s="13" t="inlineStr">
        <is>
          <t>{3}{W}</t>
        </is>
      </c>
      <c r="F3602" s="13" t="inlineStr">
        <is>
          <t>Branco</t>
        </is>
      </c>
      <c r="G3602" s="8" t="n">
        <v>0.05</v>
      </c>
      <c r="H3602" s="13" t="inlineStr">
        <is>
          <t>Onslaught (ONS)</t>
        </is>
      </c>
      <c r="I3602" s="13" t="inlineStr">
        <is>
          <t>Não</t>
        </is>
      </c>
      <c r="J3602" s="13" t="n">
        <v>2002</v>
      </c>
      <c r="K3602" s="10" t="n">
        <v>46055</v>
      </c>
      <c r="L3602" s="13" t="n">
        <v>1</v>
      </c>
      <c r="M3602" s="8">
        <f>L3602*G3602</f>
        <v/>
      </c>
      <c r="P3602" s="9" t="n"/>
    </row>
    <row r="3603">
      <c r="A3603" s="13" t="inlineStr">
        <is>
          <t>Midlife Upgrade</t>
        </is>
      </c>
      <c r="B3603" s="13" t="inlineStr">
        <is>
          <t>Sorcery</t>
        </is>
      </c>
      <c r="C3603" s="13" t="inlineStr">
        <is>
          <t>Uncommon / Incomum</t>
        </is>
      </c>
      <c r="D3603" s="13" t="inlineStr">
        <is>
          <t>As an additional cost to cast this spell, sacrifice X Contraptions. Assemble X plus one Contraptions. (To assemble a Contraption, put the top card of your Contraption deck face up onto one of your sprockets.)</t>
        </is>
      </c>
      <c r="E3603" s="13" t="inlineStr">
        <is>
          <t>{3}{W}</t>
        </is>
      </c>
      <c r="F3603" s="13" t="inlineStr">
        <is>
          <t>Branco</t>
        </is>
      </c>
      <c r="G3603" s="8" t="n">
        <v>0.18</v>
      </c>
      <c r="H3603" s="13" t="inlineStr">
        <is>
          <t>Unstable (UST)</t>
        </is>
      </c>
      <c r="I3603" s="13" t="inlineStr">
        <is>
          <t>Não</t>
        </is>
      </c>
      <c r="J3603" s="13" t="n">
        <v>2017</v>
      </c>
      <c r="L3603" s="13" t="n">
        <v>1</v>
      </c>
      <c r="M3603" s="8">
        <f>L3603*G3603</f>
        <v/>
      </c>
      <c r="P3603" s="9" t="n"/>
    </row>
    <row r="3604">
      <c r="A3604" s="13" t="inlineStr">
        <is>
          <t>Knight of the Kitchen Sink</t>
        </is>
      </c>
      <c r="B3604" s="13" t="inlineStr">
        <is>
          <t>Artifact Creature — Cyborg Knight</t>
        </is>
      </c>
      <c r="C3604" s="13" t="inlineStr">
        <is>
          <t>Uncommon / Incomum</t>
        </is>
      </c>
      <c r="D3604" s="13" t="inlineStr">
        <is>
          <t>First strike, protection from black borders (Nothing with a black border can block, target, deal damage to, or attach to this creature.)</t>
        </is>
      </c>
      <c r="E3604" s="13" t="inlineStr">
        <is>
          <t>{W}{W}</t>
        </is>
      </c>
      <c r="F3604" s="13" t="inlineStr">
        <is>
          <t>Branco</t>
        </is>
      </c>
      <c r="G3604" s="8" t="n">
        <v>0.3</v>
      </c>
      <c r="H3604" s="13" t="inlineStr">
        <is>
          <t>Unstable (UST)</t>
        </is>
      </c>
      <c r="I3604" s="13" t="inlineStr">
        <is>
          <t>Não</t>
        </is>
      </c>
      <c r="J3604" s="13" t="n">
        <v>2017</v>
      </c>
      <c r="K3604" s="10" t="n">
        <v>46055</v>
      </c>
      <c r="L3604" s="13" t="n">
        <v>5</v>
      </c>
      <c r="M3604" s="8">
        <f>L3604*G3604</f>
        <v/>
      </c>
      <c r="P3604" s="9" t="n"/>
    </row>
    <row r="3605">
      <c r="A3605" s="13" t="inlineStr">
        <is>
          <t>Filigree Familiar / Familiar de Filigrana</t>
        </is>
      </c>
      <c r="B3605" s="13" t="inlineStr">
        <is>
          <t>Artifact Creature — Fox / Criatura Artefato — Raposa</t>
        </is>
      </c>
      <c r="C3605" s="13" t="inlineStr">
        <is>
          <t>Uncommon / Incomum</t>
        </is>
      </c>
      <c r="D3605" s="13" t="inlineStr">
        <is>
          <t>When this creature enters, you gain 2 life. When this creature dies, draw a card. / Quando Familiar de Filigrana entra no campo de batalha, você ganha 2 pontos de vida. Quando Familiar de Filigrana morrer, compre um card.</t>
        </is>
      </c>
      <c r="E3605" s="13" t="inlineStr">
        <is>
          <t>{3}</t>
        </is>
      </c>
      <c r="F3605" s="13" t="inlineStr">
        <is>
          <t>Incolor</t>
        </is>
      </c>
      <c r="G3605" s="8" t="n">
        <v>0.07000000000000001</v>
      </c>
      <c r="H3605" s="13" t="inlineStr">
        <is>
          <t>Kaladesh (KLD)</t>
        </is>
      </c>
      <c r="I3605" s="13" t="inlineStr">
        <is>
          <t>Não</t>
        </is>
      </c>
      <c r="J3605" s="13" t="n">
        <v>2016</v>
      </c>
      <c r="K3605" s="10" t="n">
        <v>46055</v>
      </c>
      <c r="L3605" s="13" t="n">
        <v>2</v>
      </c>
      <c r="M3605" s="8">
        <f>L3605*G3605</f>
        <v/>
      </c>
      <c r="P3605" s="9" t="n"/>
    </row>
    <row r="3606">
      <c r="A3606" s="13" t="inlineStr">
        <is>
          <t>Harvest Hand / Mão da Colheita</t>
        </is>
      </c>
      <c r="B3606" s="13" t="inlineStr">
        <is>
          <t>Artifact Creature — Scarecrow / Criatura Artefato — Espantalho</t>
        </is>
      </c>
      <c r="C3606" s="13" t="inlineStr">
        <is>
          <t>Uncommon / Incomum</t>
        </is>
      </c>
      <c r="D3606" s="13" t="inlineStr">
        <is>
          <t>When this creature dies, return it to the battlefield transformed under your control. / Quando Mão da Colheita morrer, devolva-a ao campo de batalha transformada sob o seu controle.</t>
        </is>
      </c>
      <c r="E3606" s="13" t="inlineStr">
        <is>
          <t>{3}</t>
        </is>
      </c>
      <c r="F3606" s="13" t="inlineStr">
        <is>
          <t>Incolor</t>
        </is>
      </c>
      <c r="G3606" s="8" t="n">
        <v>0.05</v>
      </c>
      <c r="H3606" s="13" t="inlineStr">
        <is>
          <t>Shadows over Innistrad (SOI)</t>
        </is>
      </c>
      <c r="I3606" s="13" t="inlineStr">
        <is>
          <t>Não</t>
        </is>
      </c>
      <c r="J3606" s="13" t="n">
        <v>2016</v>
      </c>
      <c r="K3606" s="10" t="n">
        <v>46055</v>
      </c>
      <c r="L3606" s="13" t="n">
        <v>2</v>
      </c>
      <c r="M3606" s="8">
        <f>L3606*G3606</f>
        <v/>
      </c>
      <c r="P3606" s="9" t="n"/>
    </row>
    <row r="3607">
      <c r="A3607" s="13" t="inlineStr">
        <is>
          <t>Thirsting Axe / Machado Sedento</t>
        </is>
      </c>
      <c r="B3607" s="13" t="inlineStr">
        <is>
          <t>Artifact — Equipment / Artefato — Equipamento</t>
        </is>
      </c>
      <c r="C3607" s="13" t="inlineStr">
        <is>
          <t>Uncommon / Incomum</t>
        </is>
      </c>
      <c r="D3607" s="13"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3607" s="13" t="inlineStr">
        <is>
          <t>{3}</t>
        </is>
      </c>
      <c r="F3607" s="13" t="inlineStr">
        <is>
          <t>Incolor</t>
        </is>
      </c>
      <c r="G3607" s="8" t="n">
        <v>0.06</v>
      </c>
      <c r="H3607" s="13" t="inlineStr">
        <is>
          <t>Eldritch Moon (EMN)</t>
        </is>
      </c>
      <c r="I3607" s="13" t="inlineStr">
        <is>
          <t>Não</t>
        </is>
      </c>
      <c r="J3607" s="13" t="n">
        <v>2016</v>
      </c>
      <c r="L3607" s="13" t="n">
        <v>4</v>
      </c>
      <c r="M3607" s="8">
        <f>L3607*G3607</f>
        <v/>
      </c>
      <c r="P3607" s="9" t="n"/>
    </row>
    <row r="3608">
      <c r="A3608" s="13" t="inlineStr">
        <is>
          <t>Cryptolith Fragment / Fragmento de Criptólito</t>
        </is>
      </c>
      <c r="B3608" s="13" t="inlineStr">
        <is>
          <t>Artifact / Artefato</t>
        </is>
      </c>
      <c r="C3608" s="13" t="inlineStr">
        <is>
          <t>Uncommon / Incomum</t>
        </is>
      </c>
      <c r="D3608" s="13"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3608" s="13" t="inlineStr">
        <is>
          <t>{3}</t>
        </is>
      </c>
      <c r="F3608" s="13" t="inlineStr">
        <is>
          <t>Incolor</t>
        </is>
      </c>
      <c r="G3608" s="8" t="n">
        <v>0.35</v>
      </c>
      <c r="H3608" s="13" t="inlineStr">
        <is>
          <t>Eldritch Moon (EMN)</t>
        </is>
      </c>
      <c r="I3608" s="13" t="inlineStr">
        <is>
          <t>Não</t>
        </is>
      </c>
      <c r="J3608" s="13" t="n">
        <v>2016</v>
      </c>
      <c r="L3608" s="13" t="n">
        <v>2</v>
      </c>
      <c r="M3608" s="8">
        <f>L3608*G3608</f>
        <v/>
      </c>
      <c r="P3608" s="9" t="n"/>
    </row>
    <row r="3609">
      <c r="A3609" s="13" t="inlineStr">
        <is>
          <t>Drownyard Behemoth / Behemoth da Costa Náufraga</t>
        </is>
      </c>
      <c r="B3609" s="13" t="inlineStr">
        <is>
          <t>Creature — Eldrazi Crab / Criatura — Eldrazi Caranguejo</t>
        </is>
      </c>
      <c r="C3609" s="13" t="inlineStr">
        <is>
          <t>Uncommon / Incomum</t>
        </is>
      </c>
      <c r="D3609" s="13"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3609" s="13" t="inlineStr">
        <is>
          <t>{9}</t>
        </is>
      </c>
      <c r="F3609" s="13" t="inlineStr">
        <is>
          <t>Azul</t>
        </is>
      </c>
      <c r="G3609" s="8" t="n">
        <v>0.05</v>
      </c>
      <c r="H3609" s="13" t="inlineStr">
        <is>
          <t>Eldritch Moon (EMN)</t>
        </is>
      </c>
      <c r="I3609" s="13" t="inlineStr">
        <is>
          <t>Não</t>
        </is>
      </c>
      <c r="J3609" s="13" t="n">
        <v>2016</v>
      </c>
      <c r="K3609" s="10" t="n">
        <v>46208</v>
      </c>
      <c r="L3609" s="13" t="n">
        <v>2</v>
      </c>
      <c r="M3609" s="8">
        <f>L3609*G3609</f>
        <v/>
      </c>
      <c r="P3609" s="9" t="n"/>
    </row>
    <row r="3610">
      <c r="A3610" s="13" t="inlineStr">
        <is>
          <t>Lashweed Lurker / Espreitador Erva-de-açoite</t>
        </is>
      </c>
      <c r="B3610" s="13" t="inlineStr">
        <is>
          <t>Creature — Eldrazi Horror / Criatura — Eldrazi Horror</t>
        </is>
      </c>
      <c r="C3610" s="13" t="inlineStr">
        <is>
          <t>Uncommon / Incomum</t>
        </is>
      </c>
      <c r="D3610" s="13"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3610" s="13" t="inlineStr">
        <is>
          <t>{8}</t>
        </is>
      </c>
      <c r="F3610" s="13" t="inlineStr">
        <is>
          <t>Verde, Azul</t>
        </is>
      </c>
      <c r="G3610" s="8" t="n">
        <v>0.06</v>
      </c>
      <c r="H3610" s="13" t="inlineStr">
        <is>
          <t>Eldritch Moon (EMN)</t>
        </is>
      </c>
      <c r="I3610" s="13" t="inlineStr">
        <is>
          <t>Não</t>
        </is>
      </c>
      <c r="J3610" s="13" t="n">
        <v>2016</v>
      </c>
      <c r="K3610" s="10" t="n">
        <v>46117</v>
      </c>
      <c r="L3610" s="13" t="n">
        <v>2</v>
      </c>
      <c r="M3610" s="8">
        <f>L3610*G3610</f>
        <v/>
      </c>
      <c r="P3610" s="9" t="n"/>
    </row>
    <row r="3611">
      <c r="A3611" s="13" t="inlineStr">
        <is>
          <t>Vexing Scuttler / Naufragador Irritante</t>
        </is>
      </c>
      <c r="B3611" s="13" t="inlineStr">
        <is>
          <t>Creature — Eldrazi Crab / Criatura — Eldrazi Caranguejo</t>
        </is>
      </c>
      <c r="C3611" s="13" t="inlineStr">
        <is>
          <t>Uncommon / Incomum</t>
        </is>
      </c>
      <c r="D3611" s="13"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3611" s="13" t="inlineStr">
        <is>
          <t>{8}</t>
        </is>
      </c>
      <c r="F3611" s="13" t="inlineStr">
        <is>
          <t>Azul</t>
        </is>
      </c>
      <c r="G3611" s="8" t="n">
        <v>0.06</v>
      </c>
      <c r="H3611" s="13" t="inlineStr">
        <is>
          <t>Eldritch Moon (EMN)</t>
        </is>
      </c>
      <c r="I3611" s="13" t="inlineStr">
        <is>
          <t>Não</t>
        </is>
      </c>
      <c r="J3611" s="13" t="n">
        <v>2016</v>
      </c>
      <c r="K3611" s="10" t="n">
        <v>46146</v>
      </c>
      <c r="L3611" s="13" t="n">
        <v>3</v>
      </c>
      <c r="M3611" s="8">
        <f>L3611*G3611</f>
        <v/>
      </c>
      <c r="P3611" s="9" t="n"/>
    </row>
    <row r="3612">
      <c r="A3612" s="13" t="inlineStr">
        <is>
          <t>Runaway Carriage / Carruagem em Fuga</t>
        </is>
      </c>
      <c r="B3612" s="13" t="inlineStr">
        <is>
          <t>Artifact Creature — Construct / Criatura Artefato — Constructo</t>
        </is>
      </c>
      <c r="C3612" s="13" t="inlineStr">
        <is>
          <t>Uncommon / Incomum</t>
        </is>
      </c>
      <c r="D3612" s="13" t="inlineStr">
        <is>
          <t>Trample When this creature attacks or blocks, sacrifice it at end of combat. / Atropelar Quando Carruagem em Fuga atacar ou bloquear, sacrifique-a no final do combate.</t>
        </is>
      </c>
      <c r="E3612" s="13" t="inlineStr">
        <is>
          <t>{4}</t>
        </is>
      </c>
      <c r="F3612" s="13" t="inlineStr">
        <is>
          <t>Incolor</t>
        </is>
      </c>
      <c r="G3612" s="8" t="n">
        <v>0.05</v>
      </c>
      <c r="H3612" s="13" t="inlineStr">
        <is>
          <t>Shadows over Innistrad (SOI)</t>
        </is>
      </c>
      <c r="I3612" s="13" t="inlineStr">
        <is>
          <t>Não</t>
        </is>
      </c>
      <c r="J3612" s="13" t="n">
        <v>2016</v>
      </c>
      <c r="K3612" s="10" t="n">
        <v>46178</v>
      </c>
      <c r="L3612" s="13" t="n">
        <v>3</v>
      </c>
      <c r="M3612" s="8">
        <f>L3612*G3612</f>
        <v/>
      </c>
      <c r="P3612" s="9" t="n"/>
    </row>
    <row r="3613">
      <c r="A3613" s="13" t="inlineStr">
        <is>
          <t>Slayer's Cleaver / Cutelo do Matador</t>
        </is>
      </c>
      <c r="B3613" s="13" t="inlineStr">
        <is>
          <t>Artifact — Equipment / Artefato — Equipamento</t>
        </is>
      </c>
      <c r="C3613" s="13" t="inlineStr">
        <is>
          <t>Uncommon / Incomum</t>
        </is>
      </c>
      <c r="D3613" s="13" t="inlineStr">
        <is>
          <t>Equipped creature gets +3/+1 and must be blocked by an Eldrazi if able. Equip {4} / A criatura equipada recebe +3/+1 e precisa ser bloqueada por um Eldrazi se estiver apta. Equipar {4}</t>
        </is>
      </c>
      <c r="E3613" s="13" t="inlineStr">
        <is>
          <t>{3}</t>
        </is>
      </c>
      <c r="F3613" s="13" t="inlineStr">
        <is>
          <t>Incolor</t>
        </is>
      </c>
      <c r="G3613" s="8" t="n">
        <v>0.05</v>
      </c>
      <c r="H3613" s="13" t="inlineStr">
        <is>
          <t>Eldritch Moon (EMN)</t>
        </is>
      </c>
      <c r="I3613" s="13" t="inlineStr">
        <is>
          <t>Não</t>
        </is>
      </c>
      <c r="J3613" s="13" t="n">
        <v>2016</v>
      </c>
      <c r="L3613" s="13" t="n">
        <v>2</v>
      </c>
      <c r="M3613" s="8">
        <f>L3613*G3613</f>
        <v/>
      </c>
      <c r="P3613" s="9" t="n"/>
    </row>
    <row r="3614">
      <c r="A3614" s="13" t="inlineStr">
        <is>
          <t>Geist-Fueled Scarecrow / Espantalho Movido a Geist</t>
        </is>
      </c>
      <c r="B3614" s="13" t="inlineStr">
        <is>
          <t>Artifact Creature — Scarecrow / Criatura Artefato — Espantalho</t>
        </is>
      </c>
      <c r="C3614" s="13" t="inlineStr">
        <is>
          <t>Uncommon / Incomum</t>
        </is>
      </c>
      <c r="D3614" s="13" t="inlineStr">
        <is>
          <t>Creature spells you cast cost {1} more to cast. / As mágicas de criatura que você conjura custam {1} a mais para serem conjuradas.</t>
        </is>
      </c>
      <c r="E3614" s="13" t="inlineStr">
        <is>
          <t>{4}</t>
        </is>
      </c>
      <c r="F3614" s="13" t="inlineStr">
        <is>
          <t>Incolor</t>
        </is>
      </c>
      <c r="G3614" s="8" t="n">
        <v>0.07000000000000001</v>
      </c>
      <c r="H3614" s="13" t="inlineStr">
        <is>
          <t>Eldritch Moon (EMN)</t>
        </is>
      </c>
      <c r="I3614" s="13" t="inlineStr">
        <is>
          <t>Não</t>
        </is>
      </c>
      <c r="J3614" s="13" t="n">
        <v>2016</v>
      </c>
      <c r="K3614" s="10" t="n">
        <v>46116</v>
      </c>
      <c r="L3614" s="13" t="n">
        <v>1</v>
      </c>
      <c r="M3614" s="8">
        <f>L3614*G3614</f>
        <v/>
      </c>
      <c r="P3614" s="9" t="n"/>
    </row>
    <row r="3615">
      <c r="A3615" s="13" t="inlineStr">
        <is>
          <t>Cogwork Assembler / Montador de Engrenagem</t>
        </is>
      </c>
      <c r="B3615" s="13" t="inlineStr">
        <is>
          <t>Artifact Creature — Assembly-Worker / Criatura Artefato — Operário de Linha de Montagem</t>
        </is>
      </c>
      <c r="C3615" s="13" t="inlineStr">
        <is>
          <t>Uncommon / Incomum</t>
        </is>
      </c>
      <c r="D3615" s="13" t="inlineStr">
        <is>
          <t>{7}: Create a token that's a copy of target artifact. That token gains haste. Exile it at the beginning of the next end step. / {7}: Crie uma ficha que seja uma cópia do artefato alvo. Aquela ficha ganha ímpeto. Exile-a no início da próxima etapa final.</t>
        </is>
      </c>
      <c r="E3615" s="13" t="inlineStr">
        <is>
          <t>{3}</t>
        </is>
      </c>
      <c r="F3615" s="13" t="inlineStr">
        <is>
          <t>Incolor</t>
        </is>
      </c>
      <c r="G3615" s="8" t="n">
        <v>0.03</v>
      </c>
      <c r="H3615" s="13" t="inlineStr">
        <is>
          <t>Aether Revolt (AER)</t>
        </is>
      </c>
      <c r="I3615" s="13" t="inlineStr">
        <is>
          <t>Não</t>
        </is>
      </c>
      <c r="J3615" s="13" t="n">
        <v>2017</v>
      </c>
      <c r="K3615" s="10" t="n">
        <v>46083</v>
      </c>
      <c r="L3615" s="13" t="n">
        <v>1</v>
      </c>
      <c r="M3615" s="8">
        <f>L3615*G3615</f>
        <v/>
      </c>
      <c r="P3615" s="9" t="n"/>
    </row>
    <row r="3616">
      <c r="A3616" s="13" t="inlineStr">
        <is>
          <t>Spatial Contortion / Contorção Espacial</t>
        </is>
      </c>
      <c r="B3616" s="13" t="inlineStr">
        <is>
          <t>Instant / Mágica Instantânea</t>
        </is>
      </c>
      <c r="C3616" s="13" t="inlineStr">
        <is>
          <t>Uncommon / Incomum</t>
        </is>
      </c>
      <c r="D3616" s="13" t="inlineStr">
        <is>
          <t>({C} represents colorless mana.) Target creature gets +3/-3 until end of turn. / ({C} representa mana incolor.) A criatura alvo recebe +3/-3 até o final do turno.</t>
        </is>
      </c>
      <c r="E3616" s="13" t="inlineStr">
        <is>
          <t>{1}{C}</t>
        </is>
      </c>
      <c r="F3616" s="13" t="inlineStr">
        <is>
          <t>Incolor</t>
        </is>
      </c>
      <c r="G3616" s="8" t="n">
        <v>0.08</v>
      </c>
      <c r="H3616" s="13" t="inlineStr">
        <is>
          <t>Oath of the Gatewatch (OGW)</t>
        </is>
      </c>
      <c r="I3616" s="13" t="inlineStr">
        <is>
          <t>Não</t>
        </is>
      </c>
      <c r="J3616" s="13" t="n">
        <v>2016</v>
      </c>
      <c r="L3616" s="13" t="n">
        <v>2</v>
      </c>
      <c r="M3616" s="8">
        <f>L3616*G3616</f>
        <v/>
      </c>
      <c r="P3616" s="9" t="n"/>
    </row>
    <row r="3617">
      <c r="A3617" s="13" t="inlineStr">
        <is>
          <t>Selesnya Cluestone / Pedra dos Indícios Selesnya</t>
        </is>
      </c>
      <c r="B3617" s="13" t="inlineStr">
        <is>
          <t>Artifact / Artefato</t>
        </is>
      </c>
      <c r="C3617" s="13" t="inlineStr">
        <is>
          <t>Common / Comum</t>
        </is>
      </c>
      <c r="D3617" s="13" t="inlineStr">
        <is>
          <t>{T}: Add {G} or {W}. {G}{W}, {T}, Sacrifice this artifact: Draw a card. / {T}: Adicione {G} or {W}. {G}{W}, {T}, Sacrifique Pedra dos Indícios Selesnya: Compre um card.</t>
        </is>
      </c>
      <c r="E3617" s="13" t="inlineStr">
        <is>
          <t>{3}</t>
        </is>
      </c>
      <c r="F3617" s="13" t="inlineStr">
        <is>
          <t>Verde, Branco</t>
        </is>
      </c>
      <c r="G3617" s="8" t="n">
        <v>0.08</v>
      </c>
      <c r="H3617" s="13" t="inlineStr">
        <is>
          <t>Dragon's Maze (DGM)</t>
        </is>
      </c>
      <c r="I3617" s="13" t="inlineStr">
        <is>
          <t>Não</t>
        </is>
      </c>
      <c r="J3617" s="13" t="n">
        <v>2013</v>
      </c>
      <c r="L3617" s="13" t="n">
        <v>1</v>
      </c>
      <c r="M3617" s="8">
        <f>L3617*G3617</f>
        <v/>
      </c>
      <c r="P3617" s="9" t="n"/>
    </row>
    <row r="3618">
      <c r="A3618" s="13" t="inlineStr">
        <is>
          <t>Curious Homunculus / Homúnculo Curioso</t>
        </is>
      </c>
      <c r="B3618" s="13" t="inlineStr">
        <is>
          <t>Creature — Homunculus / Criatura — Homúnculo</t>
        </is>
      </c>
      <c r="C3618" s="13" t="inlineStr">
        <is>
          <t>Uncommon / Incomum</t>
        </is>
      </c>
      <c r="D3618" s="13"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3618" s="13" t="inlineStr">
        <is>
          <t>{1}{U}</t>
        </is>
      </c>
      <c r="F3618" s="13" t="inlineStr">
        <is>
          <t>Azul</t>
        </is>
      </c>
      <c r="G3618" s="8" t="n">
        <v>0.28</v>
      </c>
      <c r="H3618" s="13" t="inlineStr">
        <is>
          <t>Eldritch Moon (EMN)</t>
        </is>
      </c>
      <c r="I3618" s="13" t="inlineStr">
        <is>
          <t>Não</t>
        </is>
      </c>
      <c r="J3618" s="13" t="n">
        <v>2016</v>
      </c>
      <c r="K3618" s="10" t="n">
        <v>46023</v>
      </c>
      <c r="L3618" s="13" t="n">
        <v>1</v>
      </c>
      <c r="M3618" s="8">
        <f>L3618*G3618</f>
        <v/>
      </c>
      <c r="P3618" s="9" t="n"/>
    </row>
    <row r="3619">
      <c r="A3619" s="13" t="inlineStr">
        <is>
          <t>Murderer's Axe / Machado do Assassino</t>
        </is>
      </c>
      <c r="B3619" s="13" t="inlineStr">
        <is>
          <t>Artifact — Equipment / Artefato — Equipamento</t>
        </is>
      </c>
      <c r="C3619" s="13" t="inlineStr">
        <is>
          <t>Uncommon / Incomum</t>
        </is>
      </c>
      <c r="D3619" s="13" t="inlineStr">
        <is>
          <t>Equipped creature gets +2/+2. Equip—Discard a card. / A criatura equipada recebe +2/+2. Equipar — Descarte um card.</t>
        </is>
      </c>
      <c r="E3619" s="13" t="inlineStr">
        <is>
          <t>{4}</t>
        </is>
      </c>
      <c r="F3619" s="13" t="inlineStr">
        <is>
          <t>Incolor</t>
        </is>
      </c>
      <c r="G3619" s="8" t="n">
        <v>0.05</v>
      </c>
      <c r="H3619" s="13" t="inlineStr">
        <is>
          <t>Shadows over Innistrad (SOI)</t>
        </is>
      </c>
      <c r="I3619" s="13" t="inlineStr">
        <is>
          <t>Não</t>
        </is>
      </c>
      <c r="J3619" s="13" t="n">
        <v>2016</v>
      </c>
      <c r="L3619" s="13" t="n">
        <v>1</v>
      </c>
      <c r="M3619" s="8">
        <f>L3619*G3619</f>
        <v/>
      </c>
      <c r="P3619" s="9" t="n"/>
    </row>
    <row r="3620">
      <c r="A3620" s="13" t="inlineStr">
        <is>
          <t>Magnifying Glass / Lente de Aumento</t>
        </is>
      </c>
      <c r="B3620" s="13" t="inlineStr">
        <is>
          <t>Artifact / Artefato</t>
        </is>
      </c>
      <c r="C3620" s="13" t="inlineStr">
        <is>
          <t>Uncommon / Incomum</t>
        </is>
      </c>
      <c r="D3620" s="13" t="inlineStr">
        <is>
          <t>{T}: Add {C}. {4}, {T}: Investigate. (Create a Clue token. It's an artifact with "{2}, Sacrifice this token: Draw a card.") / {T}: Adicione {C} à sua reserva de mana. {4}, {T}: Investigue. (Coloque no campo de batalha uma ficha de artefato incolor do tipo Pista com "{2}, Sacrifique este artefato: Compre um card.")</t>
        </is>
      </c>
      <c r="E3620" s="13" t="inlineStr">
        <is>
          <t>{3}</t>
        </is>
      </c>
      <c r="F3620" s="13" t="inlineStr">
        <is>
          <t>Incolor</t>
        </is>
      </c>
      <c r="G3620" s="8" t="n">
        <v>0.03</v>
      </c>
      <c r="H3620" s="13" t="inlineStr">
        <is>
          <t>Shadows over Innistrad (SOI)</t>
        </is>
      </c>
      <c r="I3620" s="13" t="inlineStr">
        <is>
          <t>Não</t>
        </is>
      </c>
      <c r="J3620" s="13" t="n">
        <v>2016</v>
      </c>
      <c r="L3620" s="13" t="n">
        <v>1</v>
      </c>
      <c r="M3620" s="8">
        <f>L3620*G3620</f>
        <v/>
      </c>
      <c r="P3620" s="9" t="n"/>
    </row>
    <row r="3621">
      <c r="A3621" s="13" t="inlineStr">
        <is>
          <t>Epitaph Golem / Golem do Epitáfio</t>
        </is>
      </c>
      <c r="B3621" s="13" t="inlineStr">
        <is>
          <t>Artifact Creature — Golem / Criatura Artefato — Golem</t>
        </is>
      </c>
      <c r="C3621" s="13" t="inlineStr">
        <is>
          <t>Uncommon / Incomum</t>
        </is>
      </c>
      <c r="D3621" s="13" t="inlineStr">
        <is>
          <t>{2}: Put target card from your graveyard on the bottom of your library. / {2}: Coloque o card alvo de seu cemitério no fundo de seu grimório.</t>
        </is>
      </c>
      <c r="E3621" s="13" t="inlineStr">
        <is>
          <t>{5}</t>
        </is>
      </c>
      <c r="F3621" s="13" t="inlineStr">
        <is>
          <t>Incolor</t>
        </is>
      </c>
      <c r="G3621" s="8" t="n">
        <v>0.05</v>
      </c>
      <c r="H3621" s="13" t="inlineStr">
        <is>
          <t>Shadows over Innistrad (SOI)</t>
        </is>
      </c>
      <c r="I3621" s="13" t="inlineStr">
        <is>
          <t>Não</t>
        </is>
      </c>
      <c r="J3621" s="13" t="n">
        <v>2016</v>
      </c>
      <c r="K3621" s="10" t="n">
        <v>46145</v>
      </c>
      <c r="L3621" s="13" t="n">
        <v>1</v>
      </c>
      <c r="M3621" s="8">
        <f>L3621*G3621</f>
        <v/>
      </c>
      <c r="P3621" s="9" t="n"/>
    </row>
    <row r="3622">
      <c r="A3622" s="13" t="inlineStr">
        <is>
          <t>Wild-Field Scarecrow / Espantalho do Campo Selvagem</t>
        </is>
      </c>
      <c r="B3622" s="13" t="inlineStr">
        <is>
          <t>Artifact Creature — Scarecrow / Criatura Artefato — Espantalho</t>
        </is>
      </c>
      <c r="C3622" s="13" t="inlineStr">
        <is>
          <t>Uncommon / Incomum</t>
        </is>
      </c>
      <c r="D3622" s="13"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3622" s="13" t="inlineStr">
        <is>
          <t>{3}</t>
        </is>
      </c>
      <c r="F3622" s="13" t="inlineStr">
        <is>
          <t>Incolor</t>
        </is>
      </c>
      <c r="G3622" s="8" t="n">
        <v>0.09</v>
      </c>
      <c r="H3622" s="13" t="inlineStr">
        <is>
          <t>Shadows over Innistrad (SOI)</t>
        </is>
      </c>
      <c r="I3622" s="13" t="inlineStr">
        <is>
          <t>Não</t>
        </is>
      </c>
      <c r="J3622" s="13" t="n">
        <v>2016</v>
      </c>
      <c r="K3622" s="10" t="n">
        <v>46113</v>
      </c>
      <c r="L3622" s="13" t="n">
        <v>1</v>
      </c>
      <c r="M3622" s="8">
        <f>L3622*G3622</f>
        <v/>
      </c>
      <c r="P3622" s="9" t="n"/>
    </row>
    <row r="3623">
      <c r="A3623" s="13" t="inlineStr">
        <is>
          <t>Crackdown Construct / Constructo Repressor</t>
        </is>
      </c>
      <c r="B3623" s="13" t="inlineStr">
        <is>
          <t>Artifact Creature — Construct / Criatura Artefato — Constructo</t>
        </is>
      </c>
      <c r="C3623" s="13" t="inlineStr">
        <is>
          <t>Uncommon / Incomum</t>
        </is>
      </c>
      <c r="D3623" s="13"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3623" s="13" t="inlineStr">
        <is>
          <t>{4}</t>
        </is>
      </c>
      <c r="F3623" s="13" t="inlineStr">
        <is>
          <t>Incolor</t>
        </is>
      </c>
      <c r="G3623" s="8" t="n">
        <v>0.03</v>
      </c>
      <c r="H3623" s="13" t="inlineStr">
        <is>
          <t>Aether Revolt (AER)</t>
        </is>
      </c>
      <c r="I3623" s="13" t="inlineStr">
        <is>
          <t>Não</t>
        </is>
      </c>
      <c r="J3623" s="13" t="n">
        <v>2017</v>
      </c>
      <c r="K3623" s="10" t="n">
        <v>46055</v>
      </c>
      <c r="L3623" s="13" t="n">
        <v>1</v>
      </c>
      <c r="M3623" s="8">
        <f>L3623*G3623</f>
        <v/>
      </c>
      <c r="P3623" s="9" t="n"/>
    </row>
    <row r="3624">
      <c r="A3624" s="13" t="inlineStr">
        <is>
          <t>Decoction Module / Módulo de Decocção</t>
        </is>
      </c>
      <c r="B3624" s="13" t="inlineStr">
        <is>
          <t>Artifact / Artefato</t>
        </is>
      </c>
      <c r="C3624" s="13" t="inlineStr">
        <is>
          <t>Uncommon / Incomum</t>
        </is>
      </c>
      <c r="D3624" s="13"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3624" s="13" t="inlineStr">
        <is>
          <t>{2}</t>
        </is>
      </c>
      <c r="F3624" s="13" t="inlineStr">
        <is>
          <t>Incolor</t>
        </is>
      </c>
      <c r="G3624" s="8" t="n">
        <v>0.09</v>
      </c>
      <c r="H3624" s="13" t="inlineStr">
        <is>
          <t>Kaladesh (KLD)</t>
        </is>
      </c>
      <c r="I3624" s="13" t="inlineStr">
        <is>
          <t>Não</t>
        </is>
      </c>
      <c r="J3624" s="13" t="n">
        <v>2016</v>
      </c>
      <c r="L3624" s="13" t="n">
        <v>1</v>
      </c>
      <c r="M3624" s="8">
        <f>L3624*G3624</f>
        <v/>
      </c>
      <c r="P3624" s="9" t="n"/>
    </row>
    <row r="3625">
      <c r="A3625" s="13" t="inlineStr">
        <is>
          <t>Demolition Stomper / Pisoteador de Demolição</t>
        </is>
      </c>
      <c r="B3625" s="13" t="inlineStr">
        <is>
          <t>Artifact — Vehicle / Artefato — Veículo</t>
        </is>
      </c>
      <c r="C3625" s="13" t="inlineStr">
        <is>
          <t>Uncommon / Incomum</t>
        </is>
      </c>
      <c r="D3625" s="13"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3625" s="13" t="inlineStr">
        <is>
          <t>{6}</t>
        </is>
      </c>
      <c r="F3625" s="13" t="inlineStr">
        <is>
          <t>Incolor</t>
        </is>
      </c>
      <c r="G3625" s="8" t="n">
        <v>0.03</v>
      </c>
      <c r="H3625" s="13" t="inlineStr">
        <is>
          <t>Kaladesh (KLD)</t>
        </is>
      </c>
      <c r="I3625" s="13" t="inlineStr">
        <is>
          <t>Não</t>
        </is>
      </c>
      <c r="J3625" s="13" t="n">
        <v>2016</v>
      </c>
      <c r="K3625" s="10" t="n">
        <v>46213</v>
      </c>
      <c r="L3625" s="13" t="n">
        <v>1</v>
      </c>
      <c r="M3625" s="8">
        <f>L3625*G3625</f>
        <v/>
      </c>
      <c r="P3625" s="9" t="n"/>
    </row>
    <row r="3626">
      <c r="A3626" s="13" t="inlineStr">
        <is>
          <t>Ballista Charger / Balista de Ataque</t>
        </is>
      </c>
      <c r="B3626" s="13" t="inlineStr">
        <is>
          <t>Artifact — Vehicle / Artefato — Veículo</t>
        </is>
      </c>
      <c r="C3626" s="13" t="inlineStr">
        <is>
          <t>Uncommon / Incomum</t>
        </is>
      </c>
      <c r="D3626" s="13"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3626" s="13" t="inlineStr">
        <is>
          <t>{5}</t>
        </is>
      </c>
      <c r="F3626" s="13" t="inlineStr">
        <is>
          <t>Incolor</t>
        </is>
      </c>
      <c r="G3626" s="8" t="n">
        <v>0.03</v>
      </c>
      <c r="H3626" s="13" t="inlineStr">
        <is>
          <t>Kaladesh (KLD)</t>
        </is>
      </c>
      <c r="I3626" s="13" t="inlineStr">
        <is>
          <t>Não</t>
        </is>
      </c>
      <c r="J3626" s="13" t="n">
        <v>2016</v>
      </c>
      <c r="K3626" s="10" t="n">
        <v>46179</v>
      </c>
      <c r="L3626" s="13" t="n">
        <v>1</v>
      </c>
      <c r="M3626" s="8">
        <f>L3626*G3626</f>
        <v/>
      </c>
      <c r="P3626" s="9" t="n"/>
    </row>
    <row r="3627">
      <c r="A3627" s="13" t="inlineStr">
        <is>
          <t>Strider Harness / Arreio de Andarilho</t>
        </is>
      </c>
      <c r="B3627" s="13" t="inlineStr">
        <is>
          <t>Artifact — Equipment / Artefato — Equipamento</t>
        </is>
      </c>
      <c r="C3627" s="13" t="inlineStr">
        <is>
          <t>Uncommon / Incomum</t>
        </is>
      </c>
      <c r="D3627" s="13"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3627" s="13" t="inlineStr">
        <is>
          <t>{3}</t>
        </is>
      </c>
      <c r="F3627" s="13" t="inlineStr">
        <is>
          <t>Incolor</t>
        </is>
      </c>
      <c r="G3627" s="8" t="n">
        <v>0.05</v>
      </c>
      <c r="H3627" s="13" t="inlineStr">
        <is>
          <t>Oath of the Gatewatch (OGW)</t>
        </is>
      </c>
      <c r="I3627" s="13" t="inlineStr">
        <is>
          <t>Não</t>
        </is>
      </c>
      <c r="J3627" s="13" t="n">
        <v>2016</v>
      </c>
      <c r="L3627" s="13" t="n">
        <v>1</v>
      </c>
      <c r="M3627" s="8">
        <f>L3627*G3627</f>
        <v/>
      </c>
      <c r="P3627" s="9" t="n"/>
    </row>
    <row r="3628">
      <c r="A3628" s="13" t="inlineStr">
        <is>
          <t>Sphinx of the Guildpact / Esfinge do Pacto das Guildas</t>
        </is>
      </c>
      <c r="B3628" s="13" t="inlineStr">
        <is>
          <t>Artifact Creature — Sphinx / Criatura Artefato — Esfinge</t>
        </is>
      </c>
      <c r="C3628" s="13" t="inlineStr">
        <is>
          <t>Uncommon / Incomum</t>
        </is>
      </c>
      <c r="D3628" s="13"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3628" s="13" t="inlineStr">
        <is>
          <t>{7}</t>
        </is>
      </c>
      <c r="F3628" s="13" t="inlineStr">
        <is>
          <t>Preto, Verde, Vermelho, Azul, Branco</t>
        </is>
      </c>
      <c r="G3628" s="8" t="n">
        <v>0.03</v>
      </c>
      <c r="H3628" s="13" t="inlineStr">
        <is>
          <t>Ravnica Allegiance (RNA)</t>
        </is>
      </c>
      <c r="I3628" s="13" t="inlineStr">
        <is>
          <t>Não</t>
        </is>
      </c>
      <c r="J3628" s="13" t="n">
        <v>2019</v>
      </c>
      <c r="K3628" s="10" t="n">
        <v>46147</v>
      </c>
      <c r="L3628" s="13" t="n">
        <v>1</v>
      </c>
      <c r="M3628" s="8">
        <f>L3628*G3628</f>
        <v/>
      </c>
      <c r="P3628" s="9" t="n"/>
    </row>
    <row r="3629">
      <c r="A3629" s="13" t="inlineStr">
        <is>
          <t>Wreck Remover</t>
        </is>
      </c>
      <c r="B3629" s="13" t="inlineStr">
        <is>
          <t>Artifact Creature — Construct</t>
        </is>
      </c>
      <c r="C3629" s="13" t="inlineStr">
        <is>
          <t>Common / Comum</t>
        </is>
      </c>
      <c r="D3629" s="13" t="inlineStr">
        <is>
          <t>Whenever this creature enters or attacks, exile up to one target card from a graveyard. You gain 1 life. Cycling {2} ({2}, Discard this card: Draw a card.)</t>
        </is>
      </c>
      <c r="E3629" s="13" t="inlineStr">
        <is>
          <t>{4}</t>
        </is>
      </c>
      <c r="F3629" s="13" t="inlineStr">
        <is>
          <t>Incolor</t>
        </is>
      </c>
      <c r="G3629" s="8" t="n">
        <v>0.2</v>
      </c>
      <c r="H3629" s="13" t="inlineStr">
        <is>
          <t>Aetherdrift (DFT)</t>
        </is>
      </c>
      <c r="I3629" s="13" t="inlineStr">
        <is>
          <t>Sim</t>
        </is>
      </c>
      <c r="J3629" s="13" t="n">
        <v>2025</v>
      </c>
      <c r="K3629" s="10" t="n">
        <v>46115</v>
      </c>
      <c r="L3629" s="13" t="n">
        <v>1</v>
      </c>
      <c r="M3629" s="8">
        <f>L3629*G3629</f>
        <v/>
      </c>
      <c r="P3629" s="9" t="n"/>
    </row>
    <row r="3630">
      <c r="A3630" s="13" t="inlineStr">
        <is>
          <t>Bosh, Iron Golem / Bosh, Golem de Ferro</t>
        </is>
      </c>
      <c r="B3630" s="13" t="inlineStr">
        <is>
          <t>Legendary Artifact Creature — Golem / Criatura Artefato Lendária — Golem</t>
        </is>
      </c>
      <c r="C3630" s="13" t="inlineStr">
        <is>
          <t>Rare / Rara</t>
        </is>
      </c>
      <c r="D3630" s="13" t="inlineStr">
        <is>
          <t>Trample {3}{R}, Sacrifice an artifact: Bosh deals damage equal to the sacrificed artifact's mana value to any target. / Atropelar {3}{R}, sacrifique um artefato: Bosh, Golem de Ferro, causa a qualquer alvo dano igual ao valor de mana do artefato sacrificado.</t>
        </is>
      </c>
      <c r="E3630" s="13" t="inlineStr">
        <is>
          <t>{8}</t>
        </is>
      </c>
      <c r="F3630" s="13" t="inlineStr">
        <is>
          <t>Vermelho</t>
        </is>
      </c>
      <c r="G3630" s="8" t="n">
        <v>0.64</v>
      </c>
      <c r="H3630" s="13" t="inlineStr">
        <is>
          <t>Commander Anthology Volume II (CM2)</t>
        </is>
      </c>
      <c r="I3630" s="13" t="inlineStr">
        <is>
          <t>Sim</t>
        </is>
      </c>
      <c r="J3630" s="13" t="n">
        <v>2018</v>
      </c>
      <c r="K3630" s="10" t="n">
        <v>46209</v>
      </c>
      <c r="L3630" s="13" t="n">
        <v>1</v>
      </c>
      <c r="M3630" s="8">
        <f>L3630*G3630</f>
        <v/>
      </c>
      <c r="N3630" s="13" t="inlineStr">
        <is>
          <t>Pasta</t>
        </is>
      </c>
      <c r="P3630" s="9" t="n"/>
    </row>
    <row r="3631">
      <c r="A3631" s="13" t="inlineStr">
        <is>
          <t>Untethered Express / Expresso Desengatado</t>
        </is>
      </c>
      <c r="B3631" s="13" t="inlineStr">
        <is>
          <t>Artifact — Vehicle / Artefato — Veículo</t>
        </is>
      </c>
      <c r="C3631" s="13" t="inlineStr">
        <is>
          <t>Uncommon / Incomum</t>
        </is>
      </c>
      <c r="D3631" s="13"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3631" s="13" t="inlineStr">
        <is>
          <t>{4}</t>
        </is>
      </c>
      <c r="F3631" s="13" t="inlineStr">
        <is>
          <t>Incolor</t>
        </is>
      </c>
      <c r="G3631" s="8" t="n">
        <v>0.09</v>
      </c>
      <c r="H3631" s="13" t="inlineStr">
        <is>
          <t>Aether Revolt (AER)</t>
        </is>
      </c>
      <c r="I3631" s="13" t="inlineStr">
        <is>
          <t>Não</t>
        </is>
      </c>
      <c r="J3631" s="13" t="n">
        <v>2017</v>
      </c>
      <c r="K3631" s="10" t="n">
        <v>46116</v>
      </c>
      <c r="L3631" s="13" t="n">
        <v>1</v>
      </c>
      <c r="M3631" s="8">
        <f>L3631*G3631</f>
        <v/>
      </c>
      <c r="P3631" s="9" t="n"/>
    </row>
    <row r="3632">
      <c r="A3632" s="13" t="inlineStr">
        <is>
          <t>Ornithopter / Ornitóptero</t>
        </is>
      </c>
      <c r="B3632" s="13" t="inlineStr">
        <is>
          <t>Artifact Creature — Thopter / Criatura Artefato — Tóptero</t>
        </is>
      </c>
      <c r="C3632" s="13" t="inlineStr">
        <is>
          <t>Uncommon / Incomum</t>
        </is>
      </c>
      <c r="D3632" s="13" t="inlineStr">
        <is>
          <t>Flying / Voar (Esta criatura só pode ser bloqueada por criaturas com voar ou alcance.)</t>
        </is>
      </c>
      <c r="E3632" s="13" t="inlineStr">
        <is>
          <t>{0}</t>
        </is>
      </c>
      <c r="F3632" s="13" t="inlineStr">
        <is>
          <t>Incolor</t>
        </is>
      </c>
      <c r="G3632" s="8" t="n">
        <v>0.5</v>
      </c>
      <c r="H3632" s="13" t="inlineStr">
        <is>
          <t>Aether Revolt (AER)</t>
        </is>
      </c>
      <c r="I3632" s="13" t="inlineStr">
        <is>
          <t>Não</t>
        </is>
      </c>
      <c r="J3632" s="13" t="n">
        <v>2017</v>
      </c>
      <c r="K3632" s="13" t="inlineStr">
        <is>
          <t>0/2</t>
        </is>
      </c>
      <c r="L3632" s="13" t="n">
        <v>1</v>
      </c>
      <c r="M3632" s="8">
        <f>L3632*G3632</f>
        <v/>
      </c>
      <c r="P3632" s="9" t="n"/>
    </row>
    <row r="3633">
      <c r="A3633" s="13" t="inlineStr">
        <is>
          <t>Servo Schematic / Diagrama de Servus</t>
        </is>
      </c>
      <c r="B3633" s="13" t="inlineStr">
        <is>
          <t>Artifact / Artefato</t>
        </is>
      </c>
      <c r="C3633" s="13" t="inlineStr">
        <is>
          <t>Uncommon / Incomum</t>
        </is>
      </c>
      <c r="D3633" s="13"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3633" s="13" t="inlineStr">
        <is>
          <t>{2}</t>
        </is>
      </c>
      <c r="F3633" s="13" t="inlineStr">
        <is>
          <t>Incolor</t>
        </is>
      </c>
      <c r="G3633" s="8" t="n">
        <v>0.03</v>
      </c>
      <c r="H3633" s="13" t="inlineStr">
        <is>
          <t>Aether Revolt (AER)</t>
        </is>
      </c>
      <c r="I3633" s="13" t="inlineStr">
        <is>
          <t>Não</t>
        </is>
      </c>
      <c r="J3633" s="13" t="n">
        <v>2017</v>
      </c>
      <c r="L3633" s="13" t="n">
        <v>1</v>
      </c>
      <c r="M3633" s="8">
        <f>L3633*G3633</f>
        <v/>
      </c>
      <c r="P3633" s="9" t="n"/>
    </row>
    <row r="3634">
      <c r="A3634" s="13" t="inlineStr">
        <is>
          <t>Pacification Array / Matriz de Pacificação</t>
        </is>
      </c>
      <c r="B3634" s="13" t="inlineStr">
        <is>
          <t>Artifact / Artefato</t>
        </is>
      </c>
      <c r="C3634" s="13" t="inlineStr">
        <is>
          <t>Uncommon / Incomum</t>
        </is>
      </c>
      <c r="D3634" s="13" t="inlineStr">
        <is>
          <t>{2}, {T}: Tap target artifact or creature. / {2}, {T}: Vire o artefato ou a criatura alvo.</t>
        </is>
      </c>
      <c r="E3634" s="13" t="inlineStr">
        <is>
          <t>{1}</t>
        </is>
      </c>
      <c r="F3634" s="13" t="inlineStr">
        <is>
          <t>Incolor</t>
        </is>
      </c>
      <c r="G3634" s="8" t="n">
        <v>0.05</v>
      </c>
      <c r="H3634" s="13" t="inlineStr">
        <is>
          <t>Aether Revolt (AER)</t>
        </is>
      </c>
      <c r="I3634" s="13" t="inlineStr">
        <is>
          <t>Não</t>
        </is>
      </c>
      <c r="J3634" s="13" t="n">
        <v>2017</v>
      </c>
      <c r="L3634" s="13" t="n">
        <v>1</v>
      </c>
      <c r="M3634" s="8">
        <f>L3634*G3634</f>
        <v/>
      </c>
      <c r="P3634" s="9" t="n"/>
    </row>
    <row r="3635">
      <c r="A3635" s="13" t="inlineStr">
        <is>
          <t>Mirror Golem / Golem Espelhado</t>
        </is>
      </c>
      <c r="B3635" s="13" t="inlineStr">
        <is>
          <t>Artifact Creature — Golem / Criatura Artefato — Golem</t>
        </is>
      </c>
      <c r="C3635" s="13" t="inlineStr">
        <is>
          <t>Uncommon / Incomum</t>
        </is>
      </c>
      <c r="D3635" s="13"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3635" s="13" t="inlineStr">
        <is>
          <t>{6}</t>
        </is>
      </c>
      <c r="F3635" s="13" t="inlineStr">
        <is>
          <t>Incolor</t>
        </is>
      </c>
      <c r="G3635" s="8" t="n">
        <v>0.1</v>
      </c>
      <c r="H3635" s="13" t="inlineStr">
        <is>
          <t>Mirrodin (MRD)</t>
        </is>
      </c>
      <c r="I3635" s="13" t="inlineStr">
        <is>
          <t>Não</t>
        </is>
      </c>
      <c r="J3635" s="13" t="n">
        <v>2003</v>
      </c>
      <c r="K3635" s="10" t="n">
        <v>46115</v>
      </c>
      <c r="L3635" s="13" t="n">
        <v>1</v>
      </c>
      <c r="M3635" s="8">
        <f>L3635*G3635</f>
        <v/>
      </c>
      <c r="P3635" s="9" t="n"/>
    </row>
    <row r="3636">
      <c r="A3636" s="13" t="inlineStr">
        <is>
          <t>Fabrication Module / Módulo de Fabricação</t>
        </is>
      </c>
      <c r="B3636" s="13" t="inlineStr">
        <is>
          <t>Artifact / Artefato</t>
        </is>
      </c>
      <c r="C3636" s="13" t="inlineStr">
        <is>
          <t>Uncommon / Incomum</t>
        </is>
      </c>
      <c r="D3636" s="13" t="inlineStr">
        <is>
          <t>Whenever you get one or more {E} (energy counters), put a +1/+1 counter on target creature you control. {4}, {T}: You get {E}. / Toda vez que você receber um ou mais {E} (marcadores de energia), coloque um marcador +1/+1 na criatura alvo que você controla. {4}, {T}: Você recebe {E}.</t>
        </is>
      </c>
      <c r="E3636" s="13" t="inlineStr">
        <is>
          <t>{3}</t>
        </is>
      </c>
      <c r="F3636" s="13" t="inlineStr">
        <is>
          <t>Incolor</t>
        </is>
      </c>
      <c r="G3636" s="8" t="n">
        <v>0.03</v>
      </c>
      <c r="H3636" s="13" t="inlineStr">
        <is>
          <t>Kaladesh (KLD)</t>
        </is>
      </c>
      <c r="I3636" s="13" t="inlineStr">
        <is>
          <t>Não</t>
        </is>
      </c>
      <c r="J3636" s="13" t="n">
        <v>2016</v>
      </c>
      <c r="L3636" s="13" t="n">
        <v>1</v>
      </c>
      <c r="M3636" s="8">
        <f>L3636*G3636</f>
        <v/>
      </c>
      <c r="P3636" s="9" t="n"/>
    </row>
    <row r="3637">
      <c r="A3637" s="13" t="inlineStr">
        <is>
          <t>Decoction Module / Módulo de Decocção</t>
        </is>
      </c>
      <c r="B3637" s="13" t="inlineStr">
        <is>
          <t>Artifact / Artefato</t>
        </is>
      </c>
      <c r="C3637" s="13" t="inlineStr">
        <is>
          <t>Uncommon / Incomum</t>
        </is>
      </c>
      <c r="D3637" s="13"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3637" s="13" t="inlineStr">
        <is>
          <t>{2}</t>
        </is>
      </c>
      <c r="F3637" s="13" t="inlineStr">
        <is>
          <t>Incolor</t>
        </is>
      </c>
      <c r="G3637" s="8" t="n">
        <v>0.09</v>
      </c>
      <c r="H3637" s="13" t="inlineStr">
        <is>
          <t>Kaladesh (KLD)</t>
        </is>
      </c>
      <c r="I3637" s="13" t="inlineStr">
        <is>
          <t>Não</t>
        </is>
      </c>
      <c r="J3637" s="13" t="n">
        <v>2016</v>
      </c>
      <c r="L3637" s="13" t="n">
        <v>1</v>
      </c>
      <c r="M3637" s="8">
        <f>L3637*G3637</f>
        <v/>
      </c>
      <c r="P3637" s="9" t="n"/>
    </row>
    <row r="3638">
      <c r="A3638" s="13" t="inlineStr">
        <is>
          <t>Timber Gorge / Desfiladeiro da Mata</t>
        </is>
      </c>
      <c r="B3638" s="13" t="inlineStr">
        <is>
          <t>Land / Terreno</t>
        </is>
      </c>
      <c r="C3638" s="13" t="inlineStr">
        <is>
          <t>Uncommon / Incomum</t>
        </is>
      </c>
      <c r="D3638" s="13" t="inlineStr">
        <is>
          <t>This land enters tapped. {T}: Add {R} or {G}. / Desfiladeiro da Mata entra no campo de batalha virado. {T}: Adicione {R} ou {G} à sua reserva de mana.</t>
        </is>
      </c>
      <c r="F3638" s="13" t="inlineStr">
        <is>
          <t>Verde, Vermelho</t>
        </is>
      </c>
      <c r="G3638" s="8" t="n">
        <v>0.05</v>
      </c>
      <c r="H3638" s="13" t="inlineStr">
        <is>
          <t>Oath of the Gatewatch (OGW)</t>
        </is>
      </c>
      <c r="I3638" s="13" t="inlineStr">
        <is>
          <t>Não</t>
        </is>
      </c>
      <c r="J3638" s="13" t="n">
        <v>2016</v>
      </c>
      <c r="L3638" s="13" t="n">
        <v>2</v>
      </c>
      <c r="M3638" s="8">
        <f>L3638*G3638</f>
        <v/>
      </c>
      <c r="P3638" s="9" t="n"/>
    </row>
    <row r="3639">
      <c r="A3639" s="13" t="inlineStr">
        <is>
          <t>Cinder Barrens / Desolação de Cinzas</t>
        </is>
      </c>
      <c r="B3639" s="13" t="inlineStr">
        <is>
          <t>Land / Terreno</t>
        </is>
      </c>
      <c r="C3639" s="13" t="inlineStr">
        <is>
          <t>Uncommon / Incomum</t>
        </is>
      </c>
      <c r="D3639" s="13" t="inlineStr">
        <is>
          <t>This land enters tapped. {T}: Add {B} or {R}. / Desolação de Cinzas entra no campo de batalha virada. {T}: Adicione {B} ou {R}.</t>
        </is>
      </c>
      <c r="F3639" s="13" t="inlineStr">
        <is>
          <t>Preto, Vermelho</t>
        </is>
      </c>
      <c r="G3639" s="8" t="n">
        <v>0.2</v>
      </c>
      <c r="H3639" s="13" t="inlineStr">
        <is>
          <t>Oath of the Gatewatch (OGW)</t>
        </is>
      </c>
      <c r="I3639" s="13" t="inlineStr">
        <is>
          <t>Não</t>
        </is>
      </c>
      <c r="J3639" s="13" t="n">
        <v>2016</v>
      </c>
      <c r="L3639" s="13" t="n">
        <v>2</v>
      </c>
      <c r="M3639" s="8">
        <f>L3639*G3639</f>
        <v/>
      </c>
      <c r="P3639" s="9" t="n"/>
    </row>
    <row r="3640">
      <c r="A3640" s="13" t="inlineStr">
        <is>
          <t>Steward of Valeron / Intendente de Valeron</t>
        </is>
      </c>
      <c r="B3640" s="13" t="inlineStr">
        <is>
          <t>Creature — Human Druid Knight / Criatura — Humano Druida Cavaleiro</t>
        </is>
      </c>
      <c r="C3640" s="13" t="inlineStr">
        <is>
          <t>Common / Comum</t>
        </is>
      </c>
      <c r="D3640" s="13" t="inlineStr">
        <is>
          <t>Vigilance {T}: Add {G}. / Vigilância {T}: Adicione {G} à sua reserva de mana.</t>
        </is>
      </c>
      <c r="E3640" s="13" t="inlineStr">
        <is>
          <t>{G}{W}</t>
        </is>
      </c>
      <c r="F3640" s="13" t="inlineStr">
        <is>
          <t>Verde, Branco</t>
        </is>
      </c>
      <c r="G3640" s="8" t="n">
        <v>0.1</v>
      </c>
      <c r="H3640" s="13" t="inlineStr">
        <is>
          <t>Shards of Alara (ALA)</t>
        </is>
      </c>
      <c r="I3640" s="13" t="inlineStr">
        <is>
          <t>Não</t>
        </is>
      </c>
      <c r="J3640" s="13" t="n">
        <v>2008</v>
      </c>
      <c r="K3640" s="10" t="n">
        <v>46055</v>
      </c>
      <c r="L3640" s="13" t="n">
        <v>1</v>
      </c>
      <c r="M3640" s="8">
        <f>L3640*G3640</f>
        <v/>
      </c>
      <c r="P3640" s="9" t="n"/>
    </row>
    <row r="3641">
      <c r="A3641" s="13" t="inlineStr">
        <is>
          <t>Vizkopa Vampire / Vampiro do Vizkopa</t>
        </is>
      </c>
      <c r="B3641" s="13" t="inlineStr">
        <is>
          <t>Creature — Vampire / Criatura — Vampiro</t>
        </is>
      </c>
      <c r="C3641" s="13" t="inlineStr">
        <is>
          <t>Common / Comum</t>
        </is>
      </c>
      <c r="D3641" s="13" t="inlineStr">
        <is>
          <t>Lifelink / Vínculo com a vida</t>
        </is>
      </c>
      <c r="E3641" s="13" t="inlineStr">
        <is>
          <t>{2}{W/B}</t>
        </is>
      </c>
      <c r="F3641" s="13" t="inlineStr">
        <is>
          <t>Preto, Branco</t>
        </is>
      </c>
      <c r="G3641" s="8" t="n">
        <v>0.05</v>
      </c>
      <c r="H3641" s="13" t="inlineStr">
        <is>
          <t>Ravnica Allegiance (RNA)</t>
        </is>
      </c>
      <c r="I3641" s="13" t="inlineStr">
        <is>
          <t>Não</t>
        </is>
      </c>
      <c r="J3641" s="13" t="n">
        <v>2019</v>
      </c>
      <c r="K3641" s="10" t="n">
        <v>46025</v>
      </c>
      <c r="L3641" s="13" t="n">
        <v>2</v>
      </c>
      <c r="M3641" s="8">
        <f>L3641*G3641</f>
        <v/>
      </c>
      <c r="P3641" s="9" t="n"/>
    </row>
    <row r="3642">
      <c r="A3642" s="13" t="inlineStr">
        <is>
          <t>Clan Guildmage / Maga de Guilda do Clã</t>
        </is>
      </c>
      <c r="B3642" s="13" t="inlineStr">
        <is>
          <t>Creature — Human Shaman / Criatura — Humano Xamã</t>
        </is>
      </c>
      <c r="C3642" s="13" t="inlineStr">
        <is>
          <t>Uncommon / Incomum</t>
        </is>
      </c>
      <c r="D3642" s="13" t="inlineStr">
        <is>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is>
      </c>
      <c r="E3642" s="13" t="inlineStr">
        <is>
          <t>{R}{G}</t>
        </is>
      </c>
      <c r="F3642" s="13" t="inlineStr">
        <is>
          <t>Verde, Vermelho</t>
        </is>
      </c>
      <c r="G3642" s="8" t="n">
        <v>0.03</v>
      </c>
      <c r="H3642" s="13" t="inlineStr">
        <is>
          <t>Ravnica Allegiance (RNA)</t>
        </is>
      </c>
      <c r="I3642" s="13" t="inlineStr">
        <is>
          <t>Não</t>
        </is>
      </c>
      <c r="J3642" s="13" t="n">
        <v>2019</v>
      </c>
      <c r="K3642" s="10" t="n">
        <v>46055</v>
      </c>
      <c r="L3642" s="13" t="n">
        <v>1</v>
      </c>
      <c r="M3642" s="8">
        <f>L3642*G3642</f>
        <v/>
      </c>
      <c r="P3642" s="9" t="n"/>
    </row>
    <row r="3643">
      <c r="A3643" s="13" t="inlineStr">
        <is>
          <t>Swarm Guildmage / Mago da Guilda do Enxame</t>
        </is>
      </c>
      <c r="B3643" s="13" t="inlineStr">
        <is>
          <t>Creature — Elf Shaman / Criatura — Elfo Xamã</t>
        </is>
      </c>
      <c r="C3643" s="13" t="inlineStr">
        <is>
          <t>Uncommon / Incomum</t>
        </is>
      </c>
      <c r="D3643" s="13" t="inlineStr">
        <is>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is>
      </c>
      <c r="E3643" s="13" t="inlineStr">
        <is>
          <t>{B}{G}</t>
        </is>
      </c>
      <c r="F3643" s="13" t="inlineStr">
        <is>
          <t>Preto, Verde</t>
        </is>
      </c>
      <c r="G3643" s="8" t="n">
        <v>0.03</v>
      </c>
      <c r="H3643" s="13" t="inlineStr">
        <is>
          <t>Guilds of Ravnica (GRN)</t>
        </is>
      </c>
      <c r="I3643" s="13" t="inlineStr">
        <is>
          <t>Não</t>
        </is>
      </c>
      <c r="J3643" s="13" t="n">
        <v>2018</v>
      </c>
      <c r="K3643" s="10" t="n">
        <v>46055</v>
      </c>
      <c r="L3643" s="13" t="n">
        <v>2</v>
      </c>
      <c r="M3643" s="8">
        <f>L3643*G3643</f>
        <v/>
      </c>
      <c r="P3643" s="9" t="n"/>
    </row>
    <row r="3644">
      <c r="A3644" s="13" t="inlineStr">
        <is>
          <t>Stormchaser Mage / Mago Caçador de Tempestades</t>
        </is>
      </c>
      <c r="B3644" s="13" t="inlineStr">
        <is>
          <t>Creature — Human Wizard / Criatura — Humano Mago</t>
        </is>
      </c>
      <c r="C3644" s="13" t="inlineStr">
        <is>
          <t>Uncommon / Incomum</t>
        </is>
      </c>
      <c r="D3644" s="13" t="inlineStr">
        <is>
          <t>Flying, haste Prowess (Whenever you cast a noncreature spell, this creature gets +1/+1 until end of turn.) / Voar, ímpeto Destreza (Toda vez que você conjura uma mágica que não seja de criatura, esta criatura recebe +1/+1 até o final do turno.)</t>
        </is>
      </c>
      <c r="E3644" s="13" t="inlineStr">
        <is>
          <t>{U}{R}</t>
        </is>
      </c>
      <c r="F3644" s="13" t="inlineStr">
        <is>
          <t>Vermelho, Azul</t>
        </is>
      </c>
      <c r="G3644" s="8" t="n">
        <v>0.05</v>
      </c>
      <c r="H3644" s="13" t="inlineStr">
        <is>
          <t>Oath of the Gatewatch (OGW)</t>
        </is>
      </c>
      <c r="I3644" s="13" t="inlineStr">
        <is>
          <t>Não</t>
        </is>
      </c>
      <c r="J3644" s="13" t="n">
        <v>2016</v>
      </c>
      <c r="K3644" s="10" t="n">
        <v>46082</v>
      </c>
      <c r="L3644" s="13" t="n">
        <v>2</v>
      </c>
      <c r="M3644" s="8">
        <f>L3644*G3644</f>
        <v/>
      </c>
      <c r="P3644" s="9" t="n"/>
    </row>
    <row r="3645">
      <c r="A3645" s="13" t="inlineStr">
        <is>
          <t>Syndicate Guildmage / Mago de Guilda do Sindicato</t>
        </is>
      </c>
      <c r="B3645" s="13" t="inlineStr">
        <is>
          <t>Creature — Human Cleric / Criatura — Humano Clérigo</t>
        </is>
      </c>
      <c r="C3645" s="13" t="inlineStr">
        <is>
          <t>Uncommon / Incomum</t>
        </is>
      </c>
      <c r="D3645" s="13"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3645" s="13" t="inlineStr">
        <is>
          <t>{W}{B}</t>
        </is>
      </c>
      <c r="F3645" s="13" t="inlineStr">
        <is>
          <t>Preto, Branco</t>
        </is>
      </c>
      <c r="G3645" s="8" t="n">
        <v>0.03</v>
      </c>
      <c r="H3645" s="13" t="inlineStr">
        <is>
          <t>Ravnica Allegiance (RNA)</t>
        </is>
      </c>
      <c r="I3645" s="13" t="inlineStr">
        <is>
          <t>Não</t>
        </is>
      </c>
      <c r="J3645" s="13" t="n">
        <v>2019</v>
      </c>
      <c r="K3645" s="10" t="n">
        <v>46055</v>
      </c>
      <c r="L3645" s="13" t="n">
        <v>2</v>
      </c>
      <c r="M3645" s="8">
        <f>L3645*G3645</f>
        <v/>
      </c>
      <c r="P3645" s="9" t="n"/>
    </row>
    <row r="3646">
      <c r="A3646" s="13" t="inlineStr">
        <is>
          <t>Esper Cormorants / Cormorões de Esper</t>
        </is>
      </c>
      <c r="B3646" s="13" t="inlineStr">
        <is>
          <t>Artifact Creature — Bird / Criatura Artefato — Ave</t>
        </is>
      </c>
      <c r="C3646" s="13" t="inlineStr">
        <is>
          <t>Common / Comum</t>
        </is>
      </c>
      <c r="D3646" s="13" t="inlineStr">
        <is>
          <t>Flying / Voar</t>
        </is>
      </c>
      <c r="E3646" s="13" t="inlineStr">
        <is>
          <t>{2}{W}{U}</t>
        </is>
      </c>
      <c r="F3646" s="13" t="inlineStr">
        <is>
          <t>Azul, Branco</t>
        </is>
      </c>
      <c r="G3646" s="8" t="n">
        <v>0.07000000000000001</v>
      </c>
      <c r="H3646" s="13" t="inlineStr">
        <is>
          <t>Conflux (CON)</t>
        </is>
      </c>
      <c r="I3646" s="13" t="inlineStr">
        <is>
          <t>Não</t>
        </is>
      </c>
      <c r="J3646" s="13" t="n">
        <v>2009</v>
      </c>
      <c r="K3646" s="10" t="n">
        <v>46084</v>
      </c>
      <c r="L3646" s="13" t="n">
        <v>2</v>
      </c>
      <c r="M3646" s="8">
        <f>L3646*G3646</f>
        <v/>
      </c>
      <c r="P3646" s="9" t="n"/>
    </row>
    <row r="3647">
      <c r="A3647" s="13" t="inlineStr">
        <is>
          <t>Vectis Agents / Agentes de Vectis</t>
        </is>
      </c>
      <c r="B3647" s="13" t="inlineStr">
        <is>
          <t>Artifact Creature — Human Rogue / Criatura Artefato — Humano Ladino</t>
        </is>
      </c>
      <c r="C3647" s="13" t="inlineStr">
        <is>
          <t>Common / Comum</t>
        </is>
      </c>
      <c r="D3647" s="13" t="inlineStr">
        <is>
          <t>{U}{B}: This creature gets -2/-0 until end of turn and can't be blocked this turn. / {U}{B}: Agentes de Vectis recebe -2/-0 até o final do turno e não pode ser bloqueado neste turno.</t>
        </is>
      </c>
      <c r="E3647" s="13" t="inlineStr">
        <is>
          <t>{3}{U}{B}</t>
        </is>
      </c>
      <c r="F3647" s="13" t="inlineStr">
        <is>
          <t>Preto, Azul</t>
        </is>
      </c>
      <c r="G3647" s="8" t="n">
        <v>0.09</v>
      </c>
      <c r="H3647" s="13" t="inlineStr">
        <is>
          <t>Conflux (CON)</t>
        </is>
      </c>
      <c r="I3647" s="13" t="inlineStr">
        <is>
          <t>Não</t>
        </is>
      </c>
      <c r="J3647" s="13" t="n">
        <v>2009</v>
      </c>
      <c r="K3647" s="10" t="n">
        <v>46085</v>
      </c>
      <c r="L3647" s="13" t="n">
        <v>2</v>
      </c>
      <c r="M3647" s="8">
        <f>L3647*G3647</f>
        <v/>
      </c>
      <c r="P3647" s="9" t="n"/>
    </row>
    <row r="3648">
      <c r="A3648" s="13" t="inlineStr">
        <is>
          <t>Joraga Auxiliary / Auxiliar Joraga</t>
        </is>
      </c>
      <c r="B3648" s="13" t="inlineStr">
        <is>
          <t>Creature — Elf Soldier Ally / Criatura — Elfo Soldado Aliado</t>
        </is>
      </c>
      <c r="C3648" s="13" t="inlineStr">
        <is>
          <t>Uncommon / Incomum</t>
        </is>
      </c>
      <c r="D3648" s="13" t="inlineStr">
        <is>
          <t>{4}{G}{W}: Support 2. (Put a +1/+1 counter on each of up to two other target creatures.) / {4}{G}{W}: Suporte 2. (Coloque um marcador +1/+1 em cada uma de até duas outras criaturas alvo.)</t>
        </is>
      </c>
      <c r="E3648" s="13" t="inlineStr">
        <is>
          <t>{1}{G}{W}</t>
        </is>
      </c>
      <c r="F3648" s="13" t="inlineStr">
        <is>
          <t>Verde, Branco</t>
        </is>
      </c>
      <c r="G3648" s="8" t="n">
        <v>0.05</v>
      </c>
      <c r="H3648" s="13" t="inlineStr">
        <is>
          <t>Oath of the Gatewatch (OGW)</t>
        </is>
      </c>
      <c r="I3648" s="13" t="inlineStr">
        <is>
          <t>Não</t>
        </is>
      </c>
      <c r="J3648" s="13" t="n">
        <v>2016</v>
      </c>
      <c r="K3648" s="10" t="n">
        <v>46083</v>
      </c>
      <c r="L3648" s="13" t="n">
        <v>1</v>
      </c>
      <c r="M3648" s="8">
        <f>L3648*G3648</f>
        <v/>
      </c>
      <c r="P3648" s="9" t="n"/>
    </row>
    <row r="3649">
      <c r="A3649" s="13" t="inlineStr">
        <is>
          <t>Gyre Engineer / Engenheiro da Espiral</t>
        </is>
      </c>
      <c r="B3649" s="13" t="inlineStr">
        <is>
          <t>Creature — Vedalken Wizard / Criatura — Vedalkeano Mago</t>
        </is>
      </c>
      <c r="C3649" s="13" t="inlineStr">
        <is>
          <t>Uncommon / Incomum</t>
        </is>
      </c>
      <c r="D3649" s="13" t="inlineStr">
        <is>
          <t>{T}: Add {G}{U}. / {T}: Adicione {G}{U}.</t>
        </is>
      </c>
      <c r="E3649" s="13" t="inlineStr">
        <is>
          <t>{1}{G}{U}</t>
        </is>
      </c>
      <c r="F3649" s="13" t="inlineStr">
        <is>
          <t>Verde, Azul</t>
        </is>
      </c>
      <c r="G3649" s="8" t="n">
        <v>0.05</v>
      </c>
      <c r="H3649" s="13" t="inlineStr">
        <is>
          <t>Ravnica Allegiance (RNA)</t>
        </is>
      </c>
      <c r="I3649" s="13" t="inlineStr">
        <is>
          <t>Não</t>
        </is>
      </c>
      <c r="J3649" s="13" t="n">
        <v>2019</v>
      </c>
      <c r="K3649" s="10" t="n">
        <v>46023</v>
      </c>
      <c r="L3649" s="13" t="n">
        <v>1</v>
      </c>
      <c r="M3649" s="8">
        <f>L3649*G3649</f>
        <v/>
      </c>
      <c r="P3649" s="9" t="n"/>
    </row>
    <row r="3650">
      <c r="A3650" s="13" t="inlineStr">
        <is>
          <t>Azorius Skyguard / Guardião Alado Azorius</t>
        </is>
      </c>
      <c r="B3650" s="13" t="inlineStr">
        <is>
          <t>Creature — Human Knight / Criatura — Humano Cavaleiro</t>
        </is>
      </c>
      <c r="C3650" s="13" t="inlineStr">
        <is>
          <t>Uncommon / Incomum</t>
        </is>
      </c>
      <c r="D3650" s="13" t="inlineStr">
        <is>
          <t>Flying, first strike Creatures your opponents control get -1/-0. / Voar, iniciativa As criaturas que seus oponentes controlam recebem -1/-0.</t>
        </is>
      </c>
      <c r="E3650" s="13" t="inlineStr">
        <is>
          <t>{4}{W}{U}</t>
        </is>
      </c>
      <c r="F3650" s="13" t="inlineStr">
        <is>
          <t>Azul, Branco</t>
        </is>
      </c>
      <c r="G3650" s="8" t="n">
        <v>0.03</v>
      </c>
      <c r="H3650" s="13" t="inlineStr">
        <is>
          <t>Ravnica Allegiance (RNA)</t>
        </is>
      </c>
      <c r="I3650" s="13" t="inlineStr">
        <is>
          <t>Não</t>
        </is>
      </c>
      <c r="J3650" s="13" t="n">
        <v>2019</v>
      </c>
      <c r="K3650" s="10" t="n">
        <v>46084</v>
      </c>
      <c r="L3650" s="13" t="n">
        <v>1</v>
      </c>
      <c r="M3650" s="8">
        <f>L3650*G3650</f>
        <v/>
      </c>
      <c r="P3650" s="9" t="n"/>
    </row>
    <row r="3651">
      <c r="A3651" s="13" t="inlineStr">
        <is>
          <t>Aerial Engineer / Engenheira Aérea</t>
        </is>
      </c>
      <c r="B3651" s="13" t="inlineStr">
        <is>
          <t>Creature — Human Artificer / Criatura — Humano Artesão</t>
        </is>
      </c>
      <c r="C3651" s="13" t="inlineStr">
        <is>
          <t>Uncommon / Incomum</t>
        </is>
      </c>
      <c r="D3651" s="13" t="inlineStr">
        <is>
          <t>As long as you control an artifact, this creature gets +2/+0 and has flying. / Enquanto você controlar um artefato, Engenheira Aérea receberá +2/+0 e terá voar.</t>
        </is>
      </c>
      <c r="E3651" s="13" t="inlineStr">
        <is>
          <t>{2}{W}{U}</t>
        </is>
      </c>
      <c r="F3651" s="13" t="inlineStr">
        <is>
          <t>Azul, Branco</t>
        </is>
      </c>
      <c r="G3651" s="8" t="n">
        <v>0.03</v>
      </c>
      <c r="H3651" s="13" t="inlineStr">
        <is>
          <t>Core Set 2019 (M19)</t>
        </is>
      </c>
      <c r="I3651" s="13" t="inlineStr">
        <is>
          <t>Não</t>
        </is>
      </c>
      <c r="J3651" s="13" t="n">
        <v>2018</v>
      </c>
      <c r="K3651" s="10" t="n">
        <v>46114</v>
      </c>
      <c r="L3651" s="13" t="n">
        <v>1</v>
      </c>
      <c r="M3651" s="8">
        <f>L3651*G3651</f>
        <v/>
      </c>
      <c r="P3651" s="9" t="n"/>
    </row>
    <row r="3652">
      <c r="A3652" s="13" t="inlineStr">
        <is>
          <t>Poison-Tip Archer / Arqueiro da Ponta Envenenada</t>
        </is>
      </c>
      <c r="B3652" s="13" t="inlineStr">
        <is>
          <t>Creature — Elf Archer / Criatura — Elfo Arqueiro</t>
        </is>
      </c>
      <c r="C3652" s="13" t="inlineStr">
        <is>
          <t>Uncommon / Incomum</t>
        </is>
      </c>
      <c r="D3652" s="13" t="inlineStr">
        <is>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is>
      </c>
      <c r="E3652" s="13" t="inlineStr">
        <is>
          <t>{2}{B}{G}</t>
        </is>
      </c>
      <c r="F3652" s="13" t="inlineStr">
        <is>
          <t>Preto, Verde</t>
        </is>
      </c>
      <c r="G3652" s="8" t="n">
        <v>3</v>
      </c>
      <c r="H3652" s="13" t="inlineStr">
        <is>
          <t>Core Set 2019 (M19)</t>
        </is>
      </c>
      <c r="I3652" s="13" t="inlineStr">
        <is>
          <t>Não</t>
        </is>
      </c>
      <c r="J3652" s="13" t="n">
        <v>2018</v>
      </c>
      <c r="K3652" s="10" t="n">
        <v>46083</v>
      </c>
      <c r="L3652" s="13" t="n">
        <v>1</v>
      </c>
      <c r="M3652" s="8">
        <f>L3652*G3652</f>
        <v/>
      </c>
      <c r="N3652" s="13" t="inlineStr">
        <is>
          <t>Pasta</t>
        </is>
      </c>
      <c r="P3652" s="9" t="n"/>
    </row>
    <row r="3653">
      <c r="A3653" s="13" t="inlineStr">
        <is>
          <t>Worldsoul Colossus / Colosso da Anima Mundi</t>
        </is>
      </c>
      <c r="B3653" s="13" t="inlineStr">
        <is>
          <t>Creature — Elemental / Criatura — Elemental</t>
        </is>
      </c>
      <c r="C3653" s="13" t="inlineStr">
        <is>
          <t>Uncommon / Incomum</t>
        </is>
      </c>
      <c r="D3653" s="13" t="inlineStr">
        <is>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is>
      </c>
      <c r="E3653" s="13" t="inlineStr">
        <is>
          <t>{X}{G}{W}</t>
        </is>
      </c>
      <c r="F3653" s="13" t="inlineStr">
        <is>
          <t>Verde, Branco</t>
        </is>
      </c>
      <c r="G3653" s="8" t="n">
        <v>0.05</v>
      </c>
      <c r="H3653" s="13" t="inlineStr">
        <is>
          <t>Guilds of Ravnica (GRN)</t>
        </is>
      </c>
      <c r="I3653" s="13" t="inlineStr">
        <is>
          <t>Não</t>
        </is>
      </c>
      <c r="J3653" s="13" t="n">
        <v>2018</v>
      </c>
      <c r="K3653" s="13" t="inlineStr">
        <is>
          <t>0/0</t>
        </is>
      </c>
      <c r="L3653" s="13" t="n">
        <v>1</v>
      </c>
      <c r="M3653" s="8">
        <f>L3653*G3653</f>
        <v/>
      </c>
      <c r="P3653" s="9" t="n"/>
    </row>
    <row r="3654">
      <c r="A3654" s="13" t="inlineStr">
        <is>
          <t>Ledev Champion / Campeão Ledev</t>
        </is>
      </c>
      <c r="B3654" s="13" t="inlineStr">
        <is>
          <t>Creature — Elf Knight / Criatura — Elfo Cavaleiro</t>
        </is>
      </c>
      <c r="C3654" s="13" t="inlineStr">
        <is>
          <t>Uncommon / Incomum</t>
        </is>
      </c>
      <c r="D3654" s="13" t="inlineStr">
        <is>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is>
      </c>
      <c r="E3654" s="13" t="inlineStr">
        <is>
          <t>{1}{G}{W}</t>
        </is>
      </c>
      <c r="F3654" s="13" t="inlineStr">
        <is>
          <t>Verde, Branco</t>
        </is>
      </c>
      <c r="G3654" s="8" t="n">
        <v>0.06</v>
      </c>
      <c r="H3654" s="13" t="inlineStr">
        <is>
          <t>Guilds of Ravnica (GRN)</t>
        </is>
      </c>
      <c r="I3654" s="13" t="inlineStr">
        <is>
          <t>Não</t>
        </is>
      </c>
      <c r="J3654" s="13" t="n">
        <v>2018</v>
      </c>
      <c r="K3654" s="10" t="n">
        <v>46055</v>
      </c>
      <c r="L3654" s="13" t="n">
        <v>1</v>
      </c>
      <c r="M3654" s="8">
        <f>L3654*G3654</f>
        <v/>
      </c>
      <c r="P3654" s="9" t="n"/>
    </row>
    <row r="3655">
      <c r="A3655" s="13" t="inlineStr">
        <is>
          <t>Swathcutter Giant / Gigante Abre-claros</t>
        </is>
      </c>
      <c r="B3655" s="13" t="inlineStr">
        <is>
          <t>Creature — Giant Soldier / Criatura — Gigante Soldado</t>
        </is>
      </c>
      <c r="C3655" s="13" t="inlineStr">
        <is>
          <t>Uncommon / Incomum</t>
        </is>
      </c>
      <c r="D3655" s="13" t="inlineStr">
        <is>
          <t>Vigilance Whenever this creature attacks, it deals 1 damage to each creature defending player controls. / Vigilância Toda vez que Gigante Abre-claros ataca, ele causa 1 ponto de dano a cada criatura que o jogador defensor controla.</t>
        </is>
      </c>
      <c r="E3655" s="13" t="inlineStr">
        <is>
          <t>{4}{R}{W}</t>
        </is>
      </c>
      <c r="F3655" s="13" t="inlineStr">
        <is>
          <t>Vermelho, Branco</t>
        </is>
      </c>
      <c r="G3655" s="8" t="n">
        <v>0.03</v>
      </c>
      <c r="H3655" s="13" t="inlineStr">
        <is>
          <t>Guilds of Ravnica (GRN)</t>
        </is>
      </c>
      <c r="I3655" s="13" t="inlineStr">
        <is>
          <t>Não</t>
        </is>
      </c>
      <c r="J3655" s="13" t="n">
        <v>2018</v>
      </c>
      <c r="K3655" s="10" t="n">
        <v>46147</v>
      </c>
      <c r="L3655" s="13" t="n">
        <v>1</v>
      </c>
      <c r="M3655" s="8">
        <f>L3655*G3655</f>
        <v/>
      </c>
      <c r="P3655" s="9" t="n"/>
    </row>
    <row r="3656">
      <c r="A3656" s="13" t="inlineStr">
        <is>
          <t>Nightveil Predator / Predador do Véu da Noite</t>
        </is>
      </c>
      <c r="B3656" s="13" t="inlineStr">
        <is>
          <t>Creature — Vampire / Criatura — Vampiro</t>
        </is>
      </c>
      <c r="C3656" s="13" t="inlineStr">
        <is>
          <t>Uncommon / Incomum</t>
        </is>
      </c>
      <c r="D3656" s="13" t="inlineStr">
        <is>
          <t>Flying, deathtouch Hexproof (This creature can't be the target of spells or abilities your opponents control.) / Voar, toque mortífero Resistência a magia (Esta criatura não pode ser alvo de mágicas ou habilidades controladas por seus oponentes.)</t>
        </is>
      </c>
      <c r="E3656" s="13" t="inlineStr">
        <is>
          <t>{U}{U}{B}{B}</t>
        </is>
      </c>
      <c r="F3656" s="13" t="inlineStr">
        <is>
          <t>Preto, Azul</t>
        </is>
      </c>
      <c r="G3656" s="8" t="n">
        <v>0.12</v>
      </c>
      <c r="H3656" s="13" t="inlineStr">
        <is>
          <t>Guilds of Ravnica (GRN)</t>
        </is>
      </c>
      <c r="I3656" s="13" t="inlineStr">
        <is>
          <t>Não</t>
        </is>
      </c>
      <c r="J3656" s="13" t="n">
        <v>2018</v>
      </c>
      <c r="K3656" s="10" t="n">
        <v>46084</v>
      </c>
      <c r="L3656" s="13" t="n">
        <v>1</v>
      </c>
      <c r="M3656" s="8">
        <f>L3656*G3656</f>
        <v/>
      </c>
      <c r="P3656" s="9" t="n"/>
    </row>
    <row r="3657">
      <c r="A3657" s="13" t="inlineStr">
        <is>
          <t>Truefire Captain / Capitã do Fogo Genuíno</t>
        </is>
      </c>
      <c r="B3657" s="13" t="inlineStr">
        <is>
          <t>Creature — Human Knight / Criatura — Humano Cavaleiro</t>
        </is>
      </c>
      <c r="C3657" s="13" t="inlineStr">
        <is>
          <t>Uncommon / Incomum</t>
        </is>
      </c>
      <c r="D3657" s="13"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3657" s="13" t="inlineStr">
        <is>
          <t>{R}{R}{W}{W}</t>
        </is>
      </c>
      <c r="F3657" s="13" t="inlineStr">
        <is>
          <t>Vermelho, Branco</t>
        </is>
      </c>
      <c r="G3657" s="8" t="n">
        <v>0.05</v>
      </c>
      <c r="H3657" s="13" t="inlineStr">
        <is>
          <t>Guilds of Ravnica (GRN)</t>
        </is>
      </c>
      <c r="I3657" s="13" t="inlineStr">
        <is>
          <t>Não</t>
        </is>
      </c>
      <c r="J3657" s="13" t="n">
        <v>2018</v>
      </c>
      <c r="K3657" s="10" t="n">
        <v>46085</v>
      </c>
      <c r="L3657" s="13" t="n">
        <v>1</v>
      </c>
      <c r="M3657" s="8">
        <f>L3657*G3657</f>
        <v/>
      </c>
      <c r="P3657" s="9" t="n"/>
    </row>
    <row r="3658">
      <c r="A3658" s="13" t="inlineStr">
        <is>
          <t>Macabre Mockery / Escárnio Macabro</t>
        </is>
      </c>
      <c r="B3658" s="13" t="inlineStr">
        <is>
          <t>Instant / Mágica Instantânea</t>
        </is>
      </c>
      <c r="C3658" s="13" t="inlineStr">
        <is>
          <t>Uncommon / Incomum</t>
        </is>
      </c>
      <c r="D3658" s="13" t="inlineStr">
        <is>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is>
      </c>
      <c r="E3658" s="13" t="inlineStr">
        <is>
          <t>{2}{B}{R}</t>
        </is>
      </c>
      <c r="F3658" s="13" t="inlineStr">
        <is>
          <t>Preto, Vermelho</t>
        </is>
      </c>
      <c r="G3658" s="8" t="n">
        <v>0.05</v>
      </c>
      <c r="H3658" s="13" t="inlineStr">
        <is>
          <t>Ravnica Allegiance (RNA)</t>
        </is>
      </c>
      <c r="I3658" s="13" t="inlineStr">
        <is>
          <t>Não</t>
        </is>
      </c>
      <c r="J3658" s="13" t="n">
        <v>2019</v>
      </c>
      <c r="L3658" s="13" t="n">
        <v>1</v>
      </c>
      <c r="M3658" s="8">
        <f>L3658*G3658</f>
        <v/>
      </c>
      <c r="P3658" s="9" t="n"/>
    </row>
    <row r="3659">
      <c r="A3659" s="13" t="inlineStr">
        <is>
          <t>Sunder Shaman / Xamã Rachador</t>
        </is>
      </c>
      <c r="B3659" s="13" t="inlineStr">
        <is>
          <t>Creature — Giant Shaman / Criatura — Gigante Xamã</t>
        </is>
      </c>
      <c r="C3659" s="13" t="inlineStr">
        <is>
          <t>Uncommon / Incomum</t>
        </is>
      </c>
      <c r="D3659" s="13"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3659" s="13" t="inlineStr">
        <is>
          <t>{R}{R}{G}{G}</t>
        </is>
      </c>
      <c r="F3659" s="13" t="inlineStr">
        <is>
          <t>Verde, Vermelho</t>
        </is>
      </c>
      <c r="G3659" s="8" t="n">
        <v>0.06</v>
      </c>
      <c r="H3659" s="13" t="inlineStr">
        <is>
          <t>Ravnica Allegiance (RNA)</t>
        </is>
      </c>
      <c r="I3659" s="13" t="inlineStr">
        <is>
          <t>Não</t>
        </is>
      </c>
      <c r="J3659" s="13" t="n">
        <v>2019</v>
      </c>
      <c r="K3659" s="10" t="n">
        <v>46147</v>
      </c>
      <c r="L3659" s="13" t="n">
        <v>1</v>
      </c>
      <c r="M3659" s="8">
        <f>L3659*G3659</f>
        <v/>
      </c>
      <c r="P3659" s="9" t="n"/>
    </row>
    <row r="3660">
      <c r="A3660" s="13" t="inlineStr">
        <is>
          <t>Knight of the Last Breath / Cavaleiro do Último Suspiro</t>
        </is>
      </c>
      <c r="B3660" s="13" t="inlineStr">
        <is>
          <t>Creature — Giant Knight / Criatura — Gigante Cavaleiro</t>
        </is>
      </c>
      <c r="C3660" s="13" t="inlineStr">
        <is>
          <t>Uncommon / Incomum</t>
        </is>
      </c>
      <c r="D3660" s="13" t="inlineStr">
        <is>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is>
      </c>
      <c r="E3660" s="13" t="inlineStr">
        <is>
          <t>{5}{W}{B}</t>
        </is>
      </c>
      <c r="F3660" s="13" t="inlineStr">
        <is>
          <t>Preto, Branco</t>
        </is>
      </c>
      <c r="G3660" s="8" t="n">
        <v>0.03</v>
      </c>
      <c r="H3660" s="13" t="inlineStr">
        <is>
          <t>Ravnica Allegiance (RNA)</t>
        </is>
      </c>
      <c r="I3660" s="13" t="inlineStr">
        <is>
          <t>Não</t>
        </is>
      </c>
      <c r="J3660" s="13" t="n">
        <v>2019</v>
      </c>
      <c r="K3660" s="10" t="n">
        <v>46116</v>
      </c>
      <c r="L3660" s="13" t="n">
        <v>1</v>
      </c>
      <c r="M3660" s="8">
        <f>L3660*G3660</f>
        <v/>
      </c>
      <c r="P3660" s="9" t="n"/>
    </row>
    <row r="3661">
      <c r="A3661" s="13" t="inlineStr">
        <is>
          <t>Biotech Specialist</t>
        </is>
      </c>
      <c r="B3661" s="13" t="inlineStr">
        <is>
          <t>Creature — Insect Scientist</t>
        </is>
      </c>
      <c r="C3661" s="13" t="inlineStr">
        <is>
          <t>Rare / Rara</t>
        </is>
      </c>
      <c r="D3661" s="13" t="inlineStr">
        <is>
          <t>When this creature enters, create a Lander token. (It's an artifact with "{2}, {T}, Sacrifice this token: Search your library for a basic land card, put it onto the battlefield tapped, then shuffle.") Whenever you sacrifice an artifact, this creature deals 2 damage to target opponent.</t>
        </is>
      </c>
      <c r="E3661" s="13" t="inlineStr">
        <is>
          <t>{R}{G}</t>
        </is>
      </c>
      <c r="F3661" s="13" t="inlineStr">
        <is>
          <t>Verde, Vermelho</t>
        </is>
      </c>
      <c r="G3661" s="8" t="n">
        <v>0.25</v>
      </c>
      <c r="H3661" s="13" t="inlineStr">
        <is>
          <t>Edge of Eternities (EOE)</t>
        </is>
      </c>
      <c r="I3661" s="13" t="inlineStr">
        <is>
          <t>Não</t>
        </is>
      </c>
      <c r="J3661" s="13" t="n">
        <v>2025</v>
      </c>
      <c r="K3661" s="10" t="n">
        <v>46082</v>
      </c>
      <c r="L3661" s="13" t="n">
        <v>1</v>
      </c>
      <c r="M3661" s="8">
        <f>L3661*G3661</f>
        <v/>
      </c>
      <c r="P3661" s="9" t="n"/>
    </row>
    <row r="3662">
      <c r="A3662" s="13" t="inlineStr">
        <is>
          <t>Ojutai's Command / Comando de Ojutai</t>
        </is>
      </c>
      <c r="B3662" s="13" t="inlineStr">
        <is>
          <t>Instant / Mágica Instantânea</t>
        </is>
      </c>
      <c r="C3662" s="13" t="inlineStr">
        <is>
          <t>Rare / Rara</t>
        </is>
      </c>
      <c r="D3662" s="13" t="inlineStr">
        <is>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is>
      </c>
      <c r="E3662" s="13" t="inlineStr">
        <is>
          <t>{2}{W}{U}</t>
        </is>
      </c>
      <c r="F3662" s="13" t="inlineStr">
        <is>
          <t>Azul, Branco</t>
        </is>
      </c>
      <c r="G3662" s="8" t="n">
        <v>0.43</v>
      </c>
      <c r="H3662" s="13" t="inlineStr">
        <is>
          <t>Dragons of Tarkir (DTK)</t>
        </is>
      </c>
      <c r="I3662" s="13" t="inlineStr">
        <is>
          <t>Sim</t>
        </is>
      </c>
      <c r="J3662" s="13" t="n">
        <v>2015</v>
      </c>
      <c r="L3662" s="13" t="n">
        <v>1</v>
      </c>
      <c r="M3662" s="8">
        <f>L3662*G3662</f>
        <v/>
      </c>
      <c r="P3662" s="9" t="n"/>
    </row>
    <row r="3663">
      <c r="A3663" s="13" t="inlineStr">
        <is>
          <t>Zurgo, Thunder's Decree</t>
        </is>
      </c>
      <c r="B3663" s="13" t="inlineStr">
        <is>
          <t>Legendary Creature — Orc Warrior</t>
        </is>
      </c>
      <c r="C3663" s="13" t="inlineStr">
        <is>
          <t>Rare / Rara</t>
        </is>
      </c>
      <c r="D3663" s="13" t="inlineStr">
        <is>
          <t>Mobilize 2 (Whenever this creature attacks, create two tapped and attacking 1/1 red Warrior creature tokens. Sacrifice them at the beginning of the next end step.) During your end step, Warrior tokens you control have "This token can't be sacrificed."</t>
        </is>
      </c>
      <c r="E3663" s="13" t="inlineStr">
        <is>
          <t>{R}{W}{B}</t>
        </is>
      </c>
      <c r="F3663" s="13" t="inlineStr">
        <is>
          <t>Preto, Vermelho, Branco</t>
        </is>
      </c>
      <c r="G3663" s="8" t="n">
        <v>1.34</v>
      </c>
      <c r="H3663" s="13" t="inlineStr">
        <is>
          <t>Tarkir: Dragonstorm Promos (PTDM)</t>
        </is>
      </c>
      <c r="I3663" s="13" t="inlineStr">
        <is>
          <t>Não</t>
        </is>
      </c>
      <c r="J3663" s="13" t="n">
        <v>2025</v>
      </c>
      <c r="K3663" s="10" t="n">
        <v>46114</v>
      </c>
      <c r="L3663" s="13" t="n">
        <v>1</v>
      </c>
      <c r="M3663" s="8">
        <f>L3663*G3663</f>
        <v/>
      </c>
      <c r="N3663" s="13" t="inlineStr">
        <is>
          <t>Pasta</t>
        </is>
      </c>
      <c r="P3663" s="9" t="n"/>
    </row>
    <row r="3664">
      <c r="A3664" s="13" t="inlineStr">
        <is>
          <t>Gyruda, Doom of Depths / Gyruda, Ruína das Profundezas</t>
        </is>
      </c>
      <c r="B3664" s="13" t="inlineStr">
        <is>
          <t>Legendary Creature — Demon Kraken / Criatura Lendária — Demônio Kraken</t>
        </is>
      </c>
      <c r="C3664" s="13" t="inlineStr">
        <is>
          <t>Rare / Rara</t>
        </is>
      </c>
      <c r="D3664" s="13" t="inlineStr">
        <is>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is>
      </c>
      <c r="E3664" s="13" t="inlineStr">
        <is>
          <t>{4}{U/B}{U/B}</t>
        </is>
      </c>
      <c r="F3664" s="13" t="inlineStr">
        <is>
          <t>Preto, Azul</t>
        </is>
      </c>
      <c r="G3664" s="8" t="n">
        <v>0.95</v>
      </c>
      <c r="H3664" s="13" t="inlineStr">
        <is>
          <t>Ikoria: Lair of Behemoths (IKO)</t>
        </is>
      </c>
      <c r="I3664" s="13" t="inlineStr">
        <is>
          <t>Não</t>
        </is>
      </c>
      <c r="J3664" s="13" t="n">
        <v>2020</v>
      </c>
      <c r="K3664" s="10" t="n">
        <v>46179</v>
      </c>
      <c r="L3664" s="13" t="n">
        <v>1</v>
      </c>
      <c r="M3664" s="8">
        <f>L3664*G3664</f>
        <v/>
      </c>
      <c r="N3664" s="13" t="inlineStr">
        <is>
          <t>Pasta</t>
        </is>
      </c>
      <c r="P3664" s="9" t="n"/>
    </row>
    <row r="3665">
      <c r="A3665" s="13" t="inlineStr">
        <is>
          <t>Trap Essence / Prender Essência</t>
        </is>
      </c>
      <c r="B3665" s="13" t="inlineStr">
        <is>
          <t>Instant / Mágica Instantânea</t>
        </is>
      </c>
      <c r="C3665" s="13" t="inlineStr">
        <is>
          <t>Rare / Rara</t>
        </is>
      </c>
      <c r="D3665" s="13" t="inlineStr">
        <is>
          <t>Counter target creature spell. Put two +1/+1 counters on up to one target creature. / Anule a mágica de criatura alvo. Coloque dois marcadores +1/+1 em até uma criatura alvo.</t>
        </is>
      </c>
      <c r="E3665" s="13" t="inlineStr">
        <is>
          <t>{G}{U}{R}</t>
        </is>
      </c>
      <c r="F3665" s="13" t="inlineStr">
        <is>
          <t>Verde, Vermelho, Azul</t>
        </is>
      </c>
      <c r="G3665" s="8" t="n">
        <v>0.09</v>
      </c>
      <c r="H3665" s="13" t="inlineStr">
        <is>
          <t>Khans of Tarkir (KTK)</t>
        </is>
      </c>
      <c r="I3665" s="13" t="inlineStr">
        <is>
          <t>Não</t>
        </is>
      </c>
      <c r="J3665" s="13" t="n">
        <v>2014</v>
      </c>
      <c r="L3665" s="13" t="n">
        <v>1</v>
      </c>
      <c r="M3665" s="8">
        <f>L3665*G3665</f>
        <v/>
      </c>
      <c r="P3665" s="9" t="n"/>
    </row>
    <row r="3666">
      <c r="A3666" s="13" t="inlineStr">
        <is>
          <t>Baird, Argivian Recruiter / Baird, Recrutador Argiviano</t>
        </is>
      </c>
      <c r="B3666" s="13" t="inlineStr">
        <is>
          <t>Legendary Creature — Human Soldier / Criatura Lendária — Humano Soldado</t>
        </is>
      </c>
      <c r="C3666" s="13" t="inlineStr">
        <is>
          <t>Uncommon / Incomum</t>
        </is>
      </c>
      <c r="D3666" s="13" t="inlineStr">
        <is>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is>
      </c>
      <c r="E3666" s="13" t="inlineStr">
        <is>
          <t>{R}{W}</t>
        </is>
      </c>
      <c r="F3666" s="13" t="inlineStr">
        <is>
          <t>Vermelho, Branco</t>
        </is>
      </c>
      <c r="G3666" s="8" t="n">
        <v>0.1</v>
      </c>
      <c r="H3666" s="13" t="inlineStr">
        <is>
          <t>Dominaria United (DMU)</t>
        </is>
      </c>
      <c r="I3666" s="13" t="inlineStr">
        <is>
          <t>Não</t>
        </is>
      </c>
      <c r="J3666" s="13" t="n">
        <v>2022</v>
      </c>
      <c r="K3666" s="10" t="n">
        <v>46055</v>
      </c>
      <c r="L3666" s="13" t="n">
        <v>1</v>
      </c>
      <c r="M3666" s="8">
        <f>L3666*G3666</f>
        <v/>
      </c>
      <c r="P3666" s="9" t="n"/>
    </row>
    <row r="3667">
      <c r="A3667" s="13" t="inlineStr">
        <is>
          <t>Tori D'Avenant, Fury Rider / Tori D'Avenant, Ginete da Fúria</t>
        </is>
      </c>
      <c r="B3667" s="13" t="inlineStr">
        <is>
          <t>Legendary Creature — Human Knight / Criatura Lendária — Humano Cavaleiro</t>
        </is>
      </c>
      <c r="C3667" s="13" t="inlineStr">
        <is>
          <t>Uncommon / Incomum</t>
        </is>
      </c>
      <c r="D3667" s="13"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3667" s="13" t="inlineStr">
        <is>
          <t>{1}{R}{R}{W}</t>
        </is>
      </c>
      <c r="F3667" s="13" t="inlineStr">
        <is>
          <t>Vermelho, Branco</t>
        </is>
      </c>
      <c r="G3667" s="8" t="n">
        <v>0.18</v>
      </c>
      <c r="H3667" s="13" t="inlineStr">
        <is>
          <t>Dominaria United (DMU)</t>
        </is>
      </c>
      <c r="I3667" s="13" t="inlineStr">
        <is>
          <t>Não</t>
        </is>
      </c>
      <c r="J3667" s="13" t="n">
        <v>2022</v>
      </c>
      <c r="K3667" s="10" t="n">
        <v>46084</v>
      </c>
      <c r="L3667" s="13" t="n">
        <v>1</v>
      </c>
      <c r="M3667" s="8">
        <f>L3667*G3667</f>
        <v/>
      </c>
      <c r="P3667" s="9" t="n"/>
    </row>
    <row r="3668">
      <c r="A3668" s="13" t="inlineStr">
        <is>
          <t>Jolene, Plundering Pugilist / Jolene, Pugilista Saqueadora</t>
        </is>
      </c>
      <c r="B3668" s="13" t="inlineStr">
        <is>
          <t>Legendary Creature — Human Mercenary / Criatura Lendária — Humano Mercenário</t>
        </is>
      </c>
      <c r="C3668" s="13" t="inlineStr">
        <is>
          <t>Uncommon / Incomum</t>
        </is>
      </c>
      <c r="D3668" s="13"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3668" s="13" t="inlineStr">
        <is>
          <t>{1}{R}{G}</t>
        </is>
      </c>
      <c r="F3668" s="13" t="inlineStr">
        <is>
          <t>Verde, Vermelho</t>
        </is>
      </c>
      <c r="G3668" s="8" t="n">
        <v>0.09</v>
      </c>
      <c r="H3668" s="13" t="inlineStr">
        <is>
          <t>Outlaws of Thunder Junction (OTJ)</t>
        </is>
      </c>
      <c r="I3668" s="13" t="inlineStr">
        <is>
          <t>Não</t>
        </is>
      </c>
      <c r="J3668" s="13" t="n">
        <v>2024</v>
      </c>
      <c r="K3668" s="10" t="n">
        <v>46057</v>
      </c>
      <c r="L3668" s="13" t="n">
        <v>1</v>
      </c>
      <c r="M3668" s="8">
        <f>L3668*G3668</f>
        <v/>
      </c>
      <c r="P3668" s="9" t="n"/>
    </row>
    <row r="3669">
      <c r="A3669" s="13" t="inlineStr">
        <is>
          <t>Shattered Seraph / Serafim Despedaçada</t>
        </is>
      </c>
      <c r="B3669" s="13" t="inlineStr">
        <is>
          <t>Creature — Angel Rogue / Criatura — Anjo Ladino</t>
        </is>
      </c>
      <c r="C3669" s="13" t="inlineStr">
        <is>
          <t>Common / Comum</t>
        </is>
      </c>
      <c r="D3669" s="13" t="inlineStr">
        <is>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is>
      </c>
      <c r="E3669" s="13" t="inlineStr">
        <is>
          <t>{4}{W}{U}{B}</t>
        </is>
      </c>
      <c r="F3669" s="13" t="inlineStr">
        <is>
          <t>Preto, Azul, Branco</t>
        </is>
      </c>
      <c r="G3669" s="8" t="n">
        <v>0.08</v>
      </c>
      <c r="H3669" s="13" t="inlineStr">
        <is>
          <t>Streets of New Capenna (SNC)</t>
        </is>
      </c>
      <c r="I3669" s="13" t="inlineStr">
        <is>
          <t>Não</t>
        </is>
      </c>
      <c r="J3669" s="13" t="n">
        <v>2022</v>
      </c>
      <c r="K3669" s="10" t="n">
        <v>46116</v>
      </c>
      <c r="L3669" s="13" t="n">
        <v>1</v>
      </c>
      <c r="M3669" s="8">
        <f>L3669*G3669</f>
        <v/>
      </c>
      <c r="P3669" s="9" t="n"/>
    </row>
    <row r="3670">
      <c r="A3670" s="13" t="inlineStr">
        <is>
          <t>Dog Walker / Acompanhante de Cães</t>
        </is>
      </c>
      <c r="B3670" s="13" t="inlineStr">
        <is>
          <t>Creature — Human Citizen / Criatura — Humano Cidadão</t>
        </is>
      </c>
      <c r="C3670" s="13" t="inlineStr">
        <is>
          <t>Common / Comum</t>
        </is>
      </c>
      <c r="D3670" s="13" t="inlineStr">
        <is>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is>
      </c>
      <c r="E3670" s="13" t="inlineStr">
        <is>
          <t>{R}{W}</t>
        </is>
      </c>
      <c r="F3670" s="13" t="inlineStr">
        <is>
          <t>Vermelho, Branco</t>
        </is>
      </c>
      <c r="G3670" s="8" t="n">
        <v>0.05</v>
      </c>
      <c r="H3670" s="13" t="inlineStr">
        <is>
          <t>Murders at Karlov Manor (MKM)</t>
        </is>
      </c>
      <c r="I3670" s="13" t="inlineStr">
        <is>
          <t>Não</t>
        </is>
      </c>
      <c r="J3670" s="13" t="n">
        <v>2024</v>
      </c>
      <c r="K3670" s="10" t="n">
        <v>46025</v>
      </c>
      <c r="L3670" s="13" t="n">
        <v>1</v>
      </c>
      <c r="M3670" s="8">
        <f>L3670*G3670</f>
        <v/>
      </c>
      <c r="P3670" s="9" t="n"/>
    </row>
    <row r="3671">
      <c r="A3671" s="13" t="inlineStr">
        <is>
          <t>Get the Point / Performance de Ponta</t>
        </is>
      </c>
      <c r="B3671" s="13" t="inlineStr">
        <is>
          <t>Instant / Mágica Instantânea</t>
        </is>
      </c>
      <c r="C3671" s="13" t="inlineStr">
        <is>
          <t>Common / Comum</t>
        </is>
      </c>
      <c r="D3671" s="13" t="inlineStr">
        <is>
          <t>Destroy target creature. Scry 1. / Destrua a criatura alvo. Vidência 1.</t>
        </is>
      </c>
      <c r="E3671" s="13" t="inlineStr">
        <is>
          <t>{3}{B}{R}</t>
        </is>
      </c>
      <c r="F3671" s="13" t="inlineStr">
        <is>
          <t>Preto, Vermelho</t>
        </is>
      </c>
      <c r="G3671" s="8" t="n">
        <v>0.03</v>
      </c>
      <c r="H3671" s="13" t="inlineStr">
        <is>
          <t>Ravnica Allegiance (RNA)</t>
        </is>
      </c>
      <c r="I3671" s="13" t="inlineStr">
        <is>
          <t>Não</t>
        </is>
      </c>
      <c r="J3671" s="13" t="n">
        <v>2019</v>
      </c>
      <c r="L3671" s="13" t="n">
        <v>1</v>
      </c>
      <c r="M3671" s="8">
        <f>L3671*G3671</f>
        <v/>
      </c>
      <c r="P3671" s="9" t="n"/>
    </row>
    <row r="3672">
      <c r="A3672" s="13" t="inlineStr">
        <is>
          <t>Grasping Thrull / Thrull Agarrador</t>
        </is>
      </c>
      <c r="B3672" s="13" t="inlineStr">
        <is>
          <t>Creature — Thrull / Criatura — Thrull</t>
        </is>
      </c>
      <c r="C3672" s="13" t="inlineStr">
        <is>
          <t>Common / Comum</t>
        </is>
      </c>
      <c r="D3672" s="13" t="inlineStr">
        <is>
          <t>Flying When this creature enters, it deals 2 damage to each opponent and you gain 2 life. / Voar Quando Thrull Agarrador entra no campo de batalha, ele causa 2 pontos de dano a cada oponente e você ganha 2 pontos de vida.</t>
        </is>
      </c>
      <c r="E3672" s="13" t="inlineStr">
        <is>
          <t>{3}{W}{B}</t>
        </is>
      </c>
      <c r="F3672" s="13" t="inlineStr">
        <is>
          <t>Preto, Branco</t>
        </is>
      </c>
      <c r="G3672" s="8" t="n">
        <v>0.03</v>
      </c>
      <c r="H3672" s="13" t="inlineStr">
        <is>
          <t>Ravnica Allegiance (RNA)</t>
        </is>
      </c>
      <c r="I3672" s="13" t="inlineStr">
        <is>
          <t>Não</t>
        </is>
      </c>
      <c r="J3672" s="13" t="n">
        <v>2019</v>
      </c>
      <c r="K3672" s="10" t="n">
        <v>46084</v>
      </c>
      <c r="L3672" s="13" t="n">
        <v>1</v>
      </c>
      <c r="M3672" s="8">
        <f>L3672*G3672</f>
        <v/>
      </c>
      <c r="P3672" s="9" t="n"/>
    </row>
    <row r="3673">
      <c r="A3673" s="13" t="inlineStr">
        <is>
          <t>Herald of Kozilek / Arauto de Kozilek</t>
        </is>
      </c>
      <c r="B3673" s="13" t="inlineStr">
        <is>
          <t>Creature — Eldrazi Drone / Criatura — Eldrazi Zangão</t>
        </is>
      </c>
      <c r="C3673" s="13" t="inlineStr">
        <is>
          <t>Uncommon / Incomum</t>
        </is>
      </c>
      <c r="D3673" s="13" t="inlineStr">
        <is>
          <t>Devoid (This card has no color.) Colorless spells you cast cost {1} less to cast. / Desprovido (Este card não tem cor.)As mágicas incolores que você conjura custam {1} a menos para serem conjuradas.</t>
        </is>
      </c>
      <c r="E3673" s="13" t="inlineStr">
        <is>
          <t>{1}{U}{R}</t>
        </is>
      </c>
      <c r="F3673" s="13" t="inlineStr">
        <is>
          <t>Vermelho, Azul</t>
        </is>
      </c>
      <c r="G3673" s="8" t="n">
        <v>0.2</v>
      </c>
      <c r="H3673" s="13" t="inlineStr">
        <is>
          <t>Battle for Zendikar (BFZ)</t>
        </is>
      </c>
      <c r="I3673" s="13" t="inlineStr">
        <is>
          <t>Não</t>
        </is>
      </c>
      <c r="J3673" s="13" t="n">
        <v>2015</v>
      </c>
      <c r="K3673" s="10" t="n">
        <v>46114</v>
      </c>
      <c r="L3673" s="13" t="n">
        <v>1</v>
      </c>
      <c r="M3673" s="8">
        <f>L3673*G3673</f>
        <v/>
      </c>
      <c r="P3673" s="9" t="n"/>
    </row>
    <row r="3674">
      <c r="A3674" s="13" t="inlineStr">
        <is>
          <t>Whirler Virtuoso / Virtuose dos Turbilinos</t>
        </is>
      </c>
      <c r="B3674" s="13" t="inlineStr">
        <is>
          <t>Creature — Vedalken Artificer / Criatura — Vedalkeano Artesão</t>
        </is>
      </c>
      <c r="C3674" s="13" t="inlineStr">
        <is>
          <t>Uncommon / Incomum</t>
        </is>
      </c>
      <c r="D3674" s="13" t="inlineStr">
        <is>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is>
      </c>
      <c r="E3674" s="13" t="inlineStr">
        <is>
          <t>{1}{U}{R}</t>
        </is>
      </c>
      <c r="F3674" s="13" t="inlineStr">
        <is>
          <t>Vermelho, Azul</t>
        </is>
      </c>
      <c r="G3674" s="8" t="n">
        <v>0.03</v>
      </c>
      <c r="H3674" s="13" t="inlineStr">
        <is>
          <t>Kaladesh (KLD)</t>
        </is>
      </c>
      <c r="I3674" s="13" t="inlineStr">
        <is>
          <t>Não</t>
        </is>
      </c>
      <c r="J3674" s="13" t="n">
        <v>2016</v>
      </c>
      <c r="K3674" s="10" t="n">
        <v>46083</v>
      </c>
      <c r="L3674" s="13" t="n">
        <v>1</v>
      </c>
      <c r="M3674" s="8">
        <f>L3674*G3674</f>
        <v/>
      </c>
      <c r="P3674" s="9" t="n"/>
    </row>
    <row r="3675">
      <c r="A3675" s="13" t="inlineStr">
        <is>
          <t>Rhizome Lurcher / Vascolejador do Rizoma</t>
        </is>
      </c>
      <c r="B3675" s="13" t="inlineStr">
        <is>
          <t>Creature — Fungus Zombie / Criatura — Fungo Zumbi</t>
        </is>
      </c>
      <c r="C3675" s="13" t="inlineStr">
        <is>
          <t>Common / Comum</t>
        </is>
      </c>
      <c r="D3675" s="13" t="inlineStr">
        <is>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is>
      </c>
      <c r="E3675" s="13" t="inlineStr">
        <is>
          <t>{2}{B}{G}</t>
        </is>
      </c>
      <c r="F3675" s="13" t="inlineStr">
        <is>
          <t>Preto, Verde</t>
        </is>
      </c>
      <c r="G3675" s="8" t="n">
        <v>0.03</v>
      </c>
      <c r="H3675" s="13" t="inlineStr">
        <is>
          <t>Guilds of Ravnica (GRN)</t>
        </is>
      </c>
      <c r="I3675" s="13" t="inlineStr">
        <is>
          <t>Não</t>
        </is>
      </c>
      <c r="J3675" s="13" t="n">
        <v>2018</v>
      </c>
      <c r="K3675" s="10" t="n">
        <v>46055</v>
      </c>
      <c r="L3675" s="13" t="n">
        <v>1</v>
      </c>
      <c r="M3675" s="8">
        <f>L3675*G3675</f>
        <v/>
      </c>
      <c r="P3675" s="9" t="n"/>
    </row>
    <row r="3676">
      <c r="A3676" s="13" t="inlineStr">
        <is>
          <t>Sonic Assault / Assalto Sônico</t>
        </is>
      </c>
      <c r="B3676" s="13" t="inlineStr">
        <is>
          <t>Instant / Mágica Instantânea</t>
        </is>
      </c>
      <c r="C3676" s="13" t="inlineStr">
        <is>
          <t>Common / Comum</t>
        </is>
      </c>
      <c r="D3676" s="13" t="inlineStr">
        <is>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is>
      </c>
      <c r="E3676" s="13" t="inlineStr">
        <is>
          <t>{1}{U}{R}</t>
        </is>
      </c>
      <c r="F3676" s="13" t="inlineStr">
        <is>
          <t>Vermelho, Azul</t>
        </is>
      </c>
      <c r="G3676" s="8" t="n">
        <v>0.03</v>
      </c>
      <c r="H3676" s="13" t="inlineStr">
        <is>
          <t>Guilds of Ravnica (GRN)</t>
        </is>
      </c>
      <c r="I3676" s="13" t="inlineStr">
        <is>
          <t>Não</t>
        </is>
      </c>
      <c r="J3676" s="13" t="n">
        <v>2018</v>
      </c>
      <c r="L3676" s="13" t="n">
        <v>1</v>
      </c>
      <c r="M3676" s="8">
        <f>L3676*G3676</f>
        <v/>
      </c>
      <c r="P3676" s="9" t="n"/>
    </row>
    <row r="3677">
      <c r="A3677" s="13" t="inlineStr">
        <is>
          <t>Fresh-Faced Recruit / Recruta Novato</t>
        </is>
      </c>
      <c r="B3677" s="13" t="inlineStr">
        <is>
          <t>Creature — Human Soldier / Criatura — Humano Soldado</t>
        </is>
      </c>
      <c r="C3677" s="13" t="inlineStr">
        <is>
          <t>Common / Comum</t>
        </is>
      </c>
      <c r="D3677" s="13" t="inlineStr">
        <is>
          <t>During your turn, this creature has first strike. / Enquanto for o seu turno, Recruta Novato terá iniciativa.</t>
        </is>
      </c>
      <c r="E3677" s="13" t="inlineStr">
        <is>
          <t>{1}{R/W}</t>
        </is>
      </c>
      <c r="F3677" s="13" t="inlineStr">
        <is>
          <t>Vermelho, Branco</t>
        </is>
      </c>
      <c r="G3677" s="8" t="n">
        <v>0.04</v>
      </c>
      <c r="H3677" s="13" t="inlineStr">
        <is>
          <t>Guilds of Ravnica (GRN)</t>
        </is>
      </c>
      <c r="I3677" s="13" t="inlineStr">
        <is>
          <t>Não</t>
        </is>
      </c>
      <c r="J3677" s="13" t="n">
        <v>2018</v>
      </c>
      <c r="K3677" s="10" t="n">
        <v>46024</v>
      </c>
      <c r="L3677" s="13" t="n">
        <v>1</v>
      </c>
      <c r="M3677" s="8">
        <f>L3677*G3677</f>
        <v/>
      </c>
      <c r="P3677" s="9" t="n"/>
    </row>
    <row r="3678">
      <c r="A3678" s="13" t="inlineStr">
        <is>
          <t>Moss-Pit Skeleton / Esqueleto do Poço de Musgo</t>
        </is>
      </c>
      <c r="B3678" s="13" t="inlineStr">
        <is>
          <t>Creature — Plant Skeleton / Criatura — Planta Esqueleto</t>
        </is>
      </c>
      <c r="C3678" s="13" t="inlineStr">
        <is>
          <t>Uncommon / Incomum</t>
        </is>
      </c>
      <c r="D3678" s="13" t="inlineStr">
        <is>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is>
      </c>
      <c r="E3678" s="13" t="inlineStr">
        <is>
          <t>{B}{G}</t>
        </is>
      </c>
      <c r="F3678" s="13" t="inlineStr">
        <is>
          <t>Preto, Verde</t>
        </is>
      </c>
      <c r="G3678" s="8" t="n">
        <v>0.09</v>
      </c>
      <c r="H3678" s="13" t="inlineStr">
        <is>
          <t>Zendikar Rising (ZNR)</t>
        </is>
      </c>
      <c r="I3678" s="13" t="inlineStr">
        <is>
          <t>Não</t>
        </is>
      </c>
      <c r="J3678" s="13" t="n">
        <v>2020</v>
      </c>
      <c r="K3678" s="10" t="n">
        <v>46055</v>
      </c>
      <c r="L3678" s="13" t="n">
        <v>1</v>
      </c>
      <c r="M3678" s="8">
        <f>L3678*G3678</f>
        <v/>
      </c>
      <c r="P3678" s="9" t="n"/>
    </row>
    <row r="3679">
      <c r="A3679" s="13" t="inlineStr">
        <is>
          <t>Shipwreck Singer / Sirena do Naufrágio</t>
        </is>
      </c>
      <c r="B3679" s="13" t="inlineStr">
        <is>
          <t>Creature — Siren / Criatura — Sirena</t>
        </is>
      </c>
      <c r="C3679" s="13" t="inlineStr">
        <is>
          <t>Uncommon / Incomum</t>
        </is>
      </c>
      <c r="D3679" s="13" t="inlineStr">
        <is>
          <t>Flying {1}{U}: Target creature an opponent controls attacks this turn if able. {1}{B}, {T}: Attacking creatures get -1/-1 until end of turn. / Voar {1}{U}: A criatura alvo que um oponente controla ataca neste turno se estiver apta. {1}{B}, {T}: As criaturas atacantes recebem -1/-1 até o final do turno.</t>
        </is>
      </c>
      <c r="E3679" s="13" t="inlineStr">
        <is>
          <t>{U}{B}</t>
        </is>
      </c>
      <c r="F3679" s="13" t="inlineStr">
        <is>
          <t>Preto, Azul</t>
        </is>
      </c>
      <c r="G3679" s="8" t="n">
        <v>0.03</v>
      </c>
      <c r="H3679" s="13" t="inlineStr">
        <is>
          <t>Conspiracy: Take the Crown (CN2)</t>
        </is>
      </c>
      <c r="I3679" s="13" t="inlineStr">
        <is>
          <t>Não</t>
        </is>
      </c>
      <c r="J3679" s="13" t="n">
        <v>2016</v>
      </c>
      <c r="K3679" s="10" t="n">
        <v>46054</v>
      </c>
      <c r="L3679" s="13" t="n">
        <v>1</v>
      </c>
      <c r="M3679" s="8">
        <f>L3679*G3679</f>
        <v/>
      </c>
      <c r="P3679" s="9" t="n"/>
    </row>
    <row r="3680">
      <c r="A3680" s="13" t="inlineStr">
        <is>
          <t>Llanowar Empath / Telepata de Llanowar</t>
        </is>
      </c>
      <c r="B3680" s="13" t="inlineStr">
        <is>
          <t>Creature — Elf Shaman / Criatura — Elfo Xamã</t>
        </is>
      </c>
      <c r="C3680" s="13" t="inlineStr">
        <is>
          <t>Common / Comum</t>
        </is>
      </c>
      <c r="D3680" s="13" t="inlineStr">
        <is>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is>
      </c>
      <c r="E3680" s="13" t="inlineStr">
        <is>
          <t>{3}{G}</t>
        </is>
      </c>
      <c r="F3680" s="13" t="inlineStr">
        <is>
          <t>Verde</t>
        </is>
      </c>
      <c r="G3680" s="8" t="n">
        <v>0.09</v>
      </c>
      <c r="H3680" s="13" t="inlineStr">
        <is>
          <t>Magic Origins (ORI)</t>
        </is>
      </c>
      <c r="I3680" s="13" t="inlineStr">
        <is>
          <t>Não</t>
        </is>
      </c>
      <c r="J3680" s="13" t="n">
        <v>2015</v>
      </c>
      <c r="K3680" s="10" t="n">
        <v>46055</v>
      </c>
      <c r="L3680" s="13" t="n">
        <v>2</v>
      </c>
      <c r="M3680" s="8">
        <f>L3680*G3680</f>
        <v/>
      </c>
      <c r="P3680" s="9" t="n"/>
    </row>
    <row r="3681">
      <c r="A3681" s="13" t="inlineStr">
        <is>
          <t>Thriving Rhino / Rinoceronte Vigoroso</t>
        </is>
      </c>
      <c r="B3681" s="13" t="inlineStr">
        <is>
          <t>Creature — Rhino / Criatura — Rinoceronte</t>
        </is>
      </c>
      <c r="C3681" s="13" t="inlineStr">
        <is>
          <t>Common / Comum</t>
        </is>
      </c>
      <c r="D3681" s="13" t="inlineStr">
        <is>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is>
      </c>
      <c r="E3681" s="13" t="inlineStr">
        <is>
          <t>{2}{G}</t>
        </is>
      </c>
      <c r="F3681" s="13" t="inlineStr">
        <is>
          <t>Verde</t>
        </is>
      </c>
      <c r="G3681" s="8" t="n">
        <v>0.03</v>
      </c>
      <c r="H3681" s="13" t="inlineStr">
        <is>
          <t>Kaladesh (KLD)</t>
        </is>
      </c>
      <c r="I3681" s="13" t="inlineStr">
        <is>
          <t>Não</t>
        </is>
      </c>
      <c r="J3681" s="13" t="n">
        <v>2016</v>
      </c>
      <c r="K3681" s="10" t="n">
        <v>46083</v>
      </c>
      <c r="L3681" s="13" t="n">
        <v>2</v>
      </c>
      <c r="M3681" s="8">
        <f>L3681*G3681</f>
        <v/>
      </c>
      <c r="P3681" s="9" t="n"/>
    </row>
    <row r="3682">
      <c r="A3682" s="13" t="inlineStr">
        <is>
          <t>Ilysian Caryatid / Cariátide Ilisiana</t>
        </is>
      </c>
      <c r="B3682" s="13" t="inlineStr">
        <is>
          <t>Creature — Plant / Criatura — Planta</t>
        </is>
      </c>
      <c r="C3682" s="13" t="inlineStr">
        <is>
          <t>Common / Comum</t>
        </is>
      </c>
      <c r="D3682" s="13"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3682" s="13" t="inlineStr">
        <is>
          <t>{1}{G}</t>
        </is>
      </c>
      <c r="F3682" s="13" t="inlineStr">
        <is>
          <t>Verde</t>
        </is>
      </c>
      <c r="G3682" s="8" t="n">
        <v>0.2</v>
      </c>
      <c r="H3682" s="13" t="inlineStr">
        <is>
          <t>Theros Beyond Death (THB)</t>
        </is>
      </c>
      <c r="I3682" s="13" t="inlineStr">
        <is>
          <t>Não</t>
        </is>
      </c>
      <c r="J3682" s="13" t="n">
        <v>2020</v>
      </c>
      <c r="K3682" s="10" t="n">
        <v>46023</v>
      </c>
      <c r="L3682" s="13" t="n">
        <v>1</v>
      </c>
      <c r="M3682" s="8">
        <f>L3682*G3682</f>
        <v/>
      </c>
      <c r="P3682" s="9" t="n"/>
    </row>
    <row r="3683">
      <c r="A3683" s="13" t="inlineStr">
        <is>
          <t>Slither Blade / Lâmina Sinuosa</t>
        </is>
      </c>
      <c r="B3683" s="13" t="inlineStr">
        <is>
          <t>Creature — Snake Rogue / Criatura — Naga Ladino</t>
        </is>
      </c>
      <c r="C3683" s="13" t="inlineStr">
        <is>
          <t>Common / Comum</t>
        </is>
      </c>
      <c r="D3683" s="13" t="inlineStr">
        <is>
          <t>This creature can't be blocked. / Lâmina Sinuosa não pode ser bloqueado.</t>
        </is>
      </c>
      <c r="E3683" s="13" t="inlineStr">
        <is>
          <t>{U}</t>
        </is>
      </c>
      <c r="F3683" s="13" t="inlineStr">
        <is>
          <t>Azul</t>
        </is>
      </c>
      <c r="G3683" s="8" t="n">
        <v>0.13</v>
      </c>
      <c r="H3683" s="13" t="inlineStr">
        <is>
          <t>Amonkhet (AKH)</t>
        </is>
      </c>
      <c r="I3683" s="13" t="inlineStr">
        <is>
          <t>Não</t>
        </is>
      </c>
      <c r="J3683" s="13" t="n">
        <v>2017</v>
      </c>
      <c r="K3683" s="10" t="n">
        <v>46054</v>
      </c>
      <c r="L3683" s="13" t="n">
        <v>1</v>
      </c>
      <c r="M3683" s="8">
        <f>L3683*G3683</f>
        <v/>
      </c>
      <c r="P3683" s="9" t="n"/>
    </row>
    <row r="3684">
      <c r="A3684" s="13" t="inlineStr">
        <is>
          <t>Tangle Mantis / Mantídeo do Emaranhado</t>
        </is>
      </c>
      <c r="B3684" s="13" t="inlineStr">
        <is>
          <t>Creature — Insect / Criatura — Inseto</t>
        </is>
      </c>
      <c r="C3684" s="13" t="inlineStr">
        <is>
          <t>Common / Comum</t>
        </is>
      </c>
      <c r="D3684" s="13" t="inlineStr">
        <is>
          <t>Trample / Atropelar</t>
        </is>
      </c>
      <c r="E3684" s="13" t="inlineStr">
        <is>
          <t>{2}{G}{G}</t>
        </is>
      </c>
      <c r="F3684" s="13" t="inlineStr">
        <is>
          <t>Verde</t>
        </is>
      </c>
      <c r="G3684" s="8" t="n">
        <v>0.03</v>
      </c>
      <c r="H3684" s="13" t="inlineStr">
        <is>
          <t>Mirrodin Besieged (MBS)</t>
        </is>
      </c>
      <c r="I3684" s="13" t="inlineStr">
        <is>
          <t>Não</t>
        </is>
      </c>
      <c r="J3684" s="13" t="n">
        <v>2011</v>
      </c>
      <c r="K3684" s="10" t="n">
        <v>46115</v>
      </c>
      <c r="L3684" s="13" t="n">
        <v>1</v>
      </c>
      <c r="M3684" s="8">
        <f>L3684*G3684</f>
        <v/>
      </c>
      <c r="P3684" s="9" t="n"/>
    </row>
    <row r="3685">
      <c r="A3685" s="13" t="inlineStr">
        <is>
          <t>Elvish Visionary / Visionário Élfico</t>
        </is>
      </c>
      <c r="B3685" s="13" t="inlineStr">
        <is>
          <t>Creature — Elf Shaman / Criatura — Elfo Xamã</t>
        </is>
      </c>
      <c r="C3685" s="13" t="inlineStr">
        <is>
          <t>Common / Comum</t>
        </is>
      </c>
      <c r="D3685" s="13" t="inlineStr">
        <is>
          <t>When this creature enters, draw a card. / Quando Visionário Élfico entrar no campo de batalha, compre um card.</t>
        </is>
      </c>
      <c r="E3685" s="13" t="inlineStr">
        <is>
          <t>{1}{G}</t>
        </is>
      </c>
      <c r="F3685" s="13" t="inlineStr">
        <is>
          <t>Verde</t>
        </is>
      </c>
      <c r="G3685" s="8" t="n">
        <v>0.06</v>
      </c>
      <c r="H3685" s="13" t="inlineStr">
        <is>
          <t>Magic Origins (ORI)</t>
        </is>
      </c>
      <c r="I3685" s="13" t="inlineStr">
        <is>
          <t>Não</t>
        </is>
      </c>
      <c r="J3685" s="13" t="n">
        <v>2015</v>
      </c>
      <c r="K3685" s="10" t="n">
        <v>46023</v>
      </c>
      <c r="L3685" s="13" t="n">
        <v>1</v>
      </c>
      <c r="M3685" s="8">
        <f>L3685*G3685</f>
        <v/>
      </c>
      <c r="P3685" s="9" t="n"/>
    </row>
    <row r="3686">
      <c r="A3686" s="13" t="inlineStr">
        <is>
          <t>Plated Crusher / Esmagador Blindado</t>
        </is>
      </c>
      <c r="B3686" s="13" t="inlineStr">
        <is>
          <t>Creature — Beast / Criatura — Besta</t>
        </is>
      </c>
      <c r="C3686" s="13" t="inlineStr">
        <is>
          <t>Uncommon / Incomum</t>
        </is>
      </c>
      <c r="D3686" s="13" t="inlineStr">
        <is>
          <t>Trample Hexproof (This creature can't be the target of spells or abilities your opponents control.) / Atropelar, resistência a magia</t>
        </is>
      </c>
      <c r="E3686" s="13" t="inlineStr">
        <is>
          <t>{4}{G}{G}{G}</t>
        </is>
      </c>
      <c r="F3686" s="13" t="inlineStr">
        <is>
          <t>Verde</t>
        </is>
      </c>
      <c r="G3686" s="8" t="n">
        <v>0.09</v>
      </c>
      <c r="H3686" s="13" t="inlineStr">
        <is>
          <t>Battle for Zendikar (BFZ)</t>
        </is>
      </c>
      <c r="I3686" s="13" t="inlineStr">
        <is>
          <t>Não</t>
        </is>
      </c>
      <c r="J3686" s="13" t="n">
        <v>2015</v>
      </c>
      <c r="K3686" s="10" t="n">
        <v>46180</v>
      </c>
      <c r="L3686" s="13" t="n">
        <v>1</v>
      </c>
      <c r="M3686" s="8">
        <f>L3686*G3686</f>
        <v/>
      </c>
      <c r="P3686" s="9" t="n"/>
    </row>
    <row r="3687">
      <c r="A3687" s="13" t="inlineStr">
        <is>
          <t>Void Attendant / Assistente do Vazio</t>
        </is>
      </c>
      <c r="B3687" s="13" t="inlineStr">
        <is>
          <t>Creature — Eldrazi Processor / Criatura — Eldrazi Processador</t>
        </is>
      </c>
      <c r="C3687" s="13" t="inlineStr">
        <is>
          <t>Uncommon / Incomum</t>
        </is>
      </c>
      <c r="D3687" s="13" t="inlineStr">
        <is>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is>
      </c>
      <c r="E3687" s="13" t="inlineStr">
        <is>
          <t>{2}{G}</t>
        </is>
      </c>
      <c r="F3687" s="13" t="inlineStr">
        <is>
          <t>Verde</t>
        </is>
      </c>
      <c r="G3687" s="8" t="n">
        <v>0.06</v>
      </c>
      <c r="H3687" s="13" t="inlineStr">
        <is>
          <t>Battle for Zendikar (BFZ)</t>
        </is>
      </c>
      <c r="I3687" s="13" t="inlineStr">
        <is>
          <t>Não</t>
        </is>
      </c>
      <c r="J3687" s="13" t="n">
        <v>2015</v>
      </c>
      <c r="K3687" s="10" t="n">
        <v>46083</v>
      </c>
      <c r="L3687" s="13" t="n">
        <v>1</v>
      </c>
      <c r="M3687" s="8">
        <f>L3687*G3687</f>
        <v/>
      </c>
      <c r="P3687" s="9" t="n"/>
    </row>
    <row r="3688">
      <c r="A3688" s="13" t="inlineStr">
        <is>
          <t>Undercity Troll / Trol do Submundo</t>
        </is>
      </c>
      <c r="B3688" s="13" t="inlineStr">
        <is>
          <t>Creature — Troll / Criatura — Trol</t>
        </is>
      </c>
      <c r="C3688" s="13" t="inlineStr">
        <is>
          <t>Uncommon / Incomum</t>
        </is>
      </c>
      <c r="D3688" s="13" t="inlineStr">
        <is>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is>
      </c>
      <c r="E3688" s="13" t="inlineStr">
        <is>
          <t>{1}{G}</t>
        </is>
      </c>
      <c r="F3688" s="13" t="inlineStr">
        <is>
          <t>Verde</t>
        </is>
      </c>
      <c r="G3688" s="8" t="n">
        <v>0.06</v>
      </c>
      <c r="H3688" s="13" t="inlineStr">
        <is>
          <t>Magic Origins (ORI)</t>
        </is>
      </c>
      <c r="I3688" s="13" t="inlineStr">
        <is>
          <t>Não</t>
        </is>
      </c>
      <c r="J3688" s="13" t="n">
        <v>2015</v>
      </c>
      <c r="K3688" s="10" t="n">
        <v>46055</v>
      </c>
      <c r="L3688" s="13" t="n">
        <v>1</v>
      </c>
      <c r="M3688" s="8">
        <f>L3688*G3688</f>
        <v/>
      </c>
      <c r="P3688" s="9" t="n"/>
    </row>
    <row r="3689">
      <c r="A3689" s="13" t="inlineStr">
        <is>
          <t>Heir of the Wilds / Herdeiro do Mundo Selvagem</t>
        </is>
      </c>
      <c r="B3689" s="13" t="inlineStr">
        <is>
          <t>Creature — Human Warrior / Criatura — Humano Guerreiro</t>
        </is>
      </c>
      <c r="C3689" s="13" t="inlineStr">
        <is>
          <t>Uncommon / Incomum</t>
        </is>
      </c>
      <c r="D3689" s="13" t="inlineStr">
        <is>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is>
      </c>
      <c r="E3689" s="13" t="inlineStr">
        <is>
          <t>{1}{G}</t>
        </is>
      </c>
      <c r="F3689" s="13" t="inlineStr">
        <is>
          <t>Verde</t>
        </is>
      </c>
      <c r="G3689" s="8" t="n">
        <v>0.09</v>
      </c>
      <c r="H3689" s="13" t="inlineStr">
        <is>
          <t>Khans of Tarkir (KTK)</t>
        </is>
      </c>
      <c r="I3689" s="13" t="inlineStr">
        <is>
          <t>Não</t>
        </is>
      </c>
      <c r="J3689" s="13" t="n">
        <v>2014</v>
      </c>
      <c r="K3689" s="10" t="n">
        <v>46055</v>
      </c>
      <c r="L3689" s="13" t="n">
        <v>1</v>
      </c>
      <c r="M3689" s="8">
        <f>L3689*G3689</f>
        <v/>
      </c>
      <c r="P3689" s="9" t="n"/>
    </row>
    <row r="3690">
      <c r="A3690" s="13" t="inlineStr">
        <is>
          <t>Brood Monitor / Monitorador da Prole</t>
        </is>
      </c>
      <c r="B3690" s="13" t="inlineStr">
        <is>
          <t>Creature — Eldrazi Drone / Criatura — Eldrazi Zangão</t>
        </is>
      </c>
      <c r="C3690" s="13" t="inlineStr">
        <is>
          <t>Uncommon / Incomum</t>
        </is>
      </c>
      <c r="D3690" s="13" t="inlineStr">
        <is>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is>
      </c>
      <c r="E3690" s="13" t="inlineStr">
        <is>
          <t>{4}{G}{G}</t>
        </is>
      </c>
      <c r="F3690" s="13" t="inlineStr">
        <is>
          <t>Verde</t>
        </is>
      </c>
      <c r="G3690" s="8" t="n">
        <v>0.09</v>
      </c>
      <c r="H3690" s="13" t="inlineStr">
        <is>
          <t>Battle for Zendikar (BFZ)</t>
        </is>
      </c>
      <c r="I3690" s="13" t="inlineStr">
        <is>
          <t>Não</t>
        </is>
      </c>
      <c r="J3690" s="13" t="n">
        <v>2015</v>
      </c>
      <c r="K3690" s="10" t="n">
        <v>46084</v>
      </c>
      <c r="L3690" s="13" t="n">
        <v>1</v>
      </c>
      <c r="M3690" s="8">
        <f>L3690*G3690</f>
        <v/>
      </c>
      <c r="P3690" s="9" t="n"/>
    </row>
    <row r="3691">
      <c r="A3691" s="13" t="inlineStr">
        <is>
          <t>Durkwood Baloth / Baloth de Durkwood</t>
        </is>
      </c>
      <c r="B3691" s="13" t="inlineStr">
        <is>
          <t>Creature — Beast / Criatura — Besta</t>
        </is>
      </c>
      <c r="C3691" s="13" t="inlineStr">
        <is>
          <t>Common / Comum</t>
        </is>
      </c>
      <c r="D3691" s="13" t="inlineStr">
        <is>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is>
      </c>
      <c r="E3691" s="13" t="inlineStr">
        <is>
          <t>{4}{G}{G}</t>
        </is>
      </c>
      <c r="F3691" s="13" t="inlineStr">
        <is>
          <t>Verde</t>
        </is>
      </c>
      <c r="G3691" s="8" t="n">
        <v>0.09</v>
      </c>
      <c r="H3691" s="13" t="inlineStr">
        <is>
          <t>Time Spiral (TSP)</t>
        </is>
      </c>
      <c r="I3691" s="13" t="inlineStr">
        <is>
          <t>Não</t>
        </is>
      </c>
      <c r="J3691" s="13" t="n">
        <v>2006</v>
      </c>
      <c r="K3691" s="10" t="n">
        <v>46147</v>
      </c>
      <c r="L3691" s="13" t="n">
        <v>1</v>
      </c>
      <c r="M3691" s="8">
        <f>L3691*G3691</f>
        <v/>
      </c>
      <c r="P3691" s="9" t="n"/>
    </row>
    <row r="3692">
      <c r="A3692" s="13" t="inlineStr">
        <is>
          <t>Overgrown Armasaur / Armassauro Superdesenvolvido</t>
        </is>
      </c>
      <c r="B3692" s="13" t="inlineStr">
        <is>
          <t>Creature — Dinosaur / Criatura — Dinossauro</t>
        </is>
      </c>
      <c r="C3692" s="13" t="inlineStr">
        <is>
          <t>Common / Comum</t>
        </is>
      </c>
      <c r="D3692" s="13" t="inlineStr">
        <is>
          <t>Enrage — Whenever this creature is dealt damage, create a 1/1 green Saproling creature token. / Enfurecer — Toda vez que Armassauro Superdesenvolvido sofrer dano, crie uma ficha de criatura verde 1/1 do tipo Saprófita.</t>
        </is>
      </c>
      <c r="E3692" s="13" t="inlineStr">
        <is>
          <t>{3}{G}{G}</t>
        </is>
      </c>
      <c r="F3692" s="13" t="inlineStr">
        <is>
          <t>Verde</t>
        </is>
      </c>
      <c r="G3692" s="8" t="n">
        <v>0.03</v>
      </c>
      <c r="H3692" s="13" t="inlineStr">
        <is>
          <t>Rivals of Ixalan (RIX)</t>
        </is>
      </c>
      <c r="I3692" s="13" t="inlineStr">
        <is>
          <t>Não</t>
        </is>
      </c>
      <c r="J3692" s="13" t="n">
        <v>2018</v>
      </c>
      <c r="K3692" s="10" t="n">
        <v>46116</v>
      </c>
      <c r="L3692" s="13" t="n">
        <v>1</v>
      </c>
      <c r="M3692" s="8">
        <f>L3692*G3692</f>
        <v/>
      </c>
      <c r="P3692" s="9" t="n"/>
    </row>
    <row r="3693">
      <c r="A3693" s="13" t="inlineStr">
        <is>
          <t>Colossal Dreadmaw / Bocarra Sinistra Colossal</t>
        </is>
      </c>
      <c r="B3693" s="13" t="inlineStr">
        <is>
          <t>Creature — Dinosaur / Criatura — Dinossauro</t>
        </is>
      </c>
      <c r="C3693" s="13" t="inlineStr">
        <is>
          <t>Common / Comum</t>
        </is>
      </c>
      <c r="D3693" s="13" t="inlineStr">
        <is>
          <t>Trample (This creature can deal excess combat damage to the player or planeswalker it's attacking.) / Atropelar</t>
        </is>
      </c>
      <c r="E3693" s="13" t="inlineStr">
        <is>
          <t>{4}{G}{G}</t>
        </is>
      </c>
      <c r="F3693" s="13" t="inlineStr">
        <is>
          <t>Verde</t>
        </is>
      </c>
      <c r="G3693" s="8" t="n">
        <v>0.05</v>
      </c>
      <c r="H3693" s="13" t="inlineStr">
        <is>
          <t>Rivals of Ixalan (RIX)</t>
        </is>
      </c>
      <c r="I3693" s="13" t="inlineStr">
        <is>
          <t>Não</t>
        </is>
      </c>
      <c r="J3693" s="13" t="n">
        <v>2018</v>
      </c>
      <c r="K3693" s="10" t="n">
        <v>46179</v>
      </c>
      <c r="L3693" s="13" t="n">
        <v>1</v>
      </c>
      <c r="M3693" s="8">
        <f>L3693*G3693</f>
        <v/>
      </c>
      <c r="P3693" s="9" t="n"/>
    </row>
    <row r="3694">
      <c r="A3694" s="13" t="inlineStr">
        <is>
          <t>Centaur Courser / Centaura-Caçadora</t>
        </is>
      </c>
      <c r="B3694" s="13" t="inlineStr">
        <is>
          <t>Creature — Centaur Warrior / Criatura — Centauro Guerreiro</t>
        </is>
      </c>
      <c r="C3694" s="13" t="inlineStr">
        <is>
          <t>Common / Comum</t>
        </is>
      </c>
      <c r="E3694" s="13" t="inlineStr">
        <is>
          <t>{2}{G}</t>
        </is>
      </c>
      <c r="F3694" s="13" t="inlineStr">
        <is>
          <t>Verde</t>
        </is>
      </c>
      <c r="G3694" s="8" t="n">
        <v>0.1</v>
      </c>
      <c r="H3694" s="13" t="inlineStr">
        <is>
          <t>Magic 2015 (M15)</t>
        </is>
      </c>
      <c r="I3694" s="13" t="inlineStr">
        <is>
          <t>Não</t>
        </is>
      </c>
      <c r="J3694" s="13" t="n">
        <v>2014</v>
      </c>
      <c r="K3694" s="10" t="n">
        <v>46084</v>
      </c>
      <c r="L3694" s="13" t="n">
        <v>2</v>
      </c>
      <c r="M3694" s="8">
        <f>L3694*G3694</f>
        <v/>
      </c>
      <c r="P3694" s="9" t="n"/>
    </row>
    <row r="3695">
      <c r="A3695" s="13" t="inlineStr">
        <is>
          <t>Vastwood Gorger / Devorador de Matavasta</t>
        </is>
      </c>
      <c r="B3695" s="13" t="inlineStr">
        <is>
          <t>Creature — Wurm / Criatura — Vorme</t>
        </is>
      </c>
      <c r="C3695" s="13" t="inlineStr">
        <is>
          <t>Common / Comum</t>
        </is>
      </c>
      <c r="E3695" s="13" t="inlineStr">
        <is>
          <t>{5}{G}</t>
        </is>
      </c>
      <c r="F3695" s="13" t="inlineStr">
        <is>
          <t>Verde</t>
        </is>
      </c>
      <c r="G3695" s="8" t="n">
        <v>0.05</v>
      </c>
      <c r="H3695" s="13" t="inlineStr">
        <is>
          <t>Magic 2013 (M13)</t>
        </is>
      </c>
      <c r="I3695" s="13" t="inlineStr">
        <is>
          <t>Não</t>
        </is>
      </c>
      <c r="J3695" s="13" t="n">
        <v>2012</v>
      </c>
      <c r="K3695" s="10" t="n">
        <v>46178</v>
      </c>
      <c r="L3695" s="13" t="n">
        <v>3</v>
      </c>
      <c r="M3695" s="8">
        <f>L3695*G3695</f>
        <v/>
      </c>
      <c r="P3695" s="9" t="n"/>
    </row>
    <row r="3696">
      <c r="A3696" s="13" t="inlineStr">
        <is>
          <t>Bitterbow Sharpshooters / Atiradores do Arcoamargo</t>
        </is>
      </c>
      <c r="B3696" s="13" t="inlineStr">
        <is>
          <t>Creature — Jackal Archer / Criatura — Chacal Arqueiro</t>
        </is>
      </c>
      <c r="C3696" s="13" t="inlineStr">
        <is>
          <t>Common / Comum</t>
        </is>
      </c>
      <c r="D3696" s="13" t="inlineStr">
        <is>
          <t>Vigilance, reach / Vigilância, alcance</t>
        </is>
      </c>
      <c r="E3696" s="13" t="inlineStr">
        <is>
          <t>{4}{G}</t>
        </is>
      </c>
      <c r="F3696" s="13" t="inlineStr">
        <is>
          <t>Verde</t>
        </is>
      </c>
      <c r="G3696" s="8" t="n">
        <v>0.03</v>
      </c>
      <c r="H3696" s="13" t="inlineStr">
        <is>
          <t>Hour of Devastation (HOU)</t>
        </is>
      </c>
      <c r="I3696" s="13" t="inlineStr">
        <is>
          <t>Não</t>
        </is>
      </c>
      <c r="J3696" s="13" t="n">
        <v>2017</v>
      </c>
      <c r="K3696" s="10" t="n">
        <v>46116</v>
      </c>
      <c r="L3696" s="13" t="n">
        <v>1</v>
      </c>
      <c r="M3696" s="8">
        <f>L3696*G3696</f>
        <v/>
      </c>
      <c r="P3696" s="9" t="n"/>
    </row>
    <row r="3697">
      <c r="A3697" s="13" t="inlineStr">
        <is>
          <t>Oasis Ritualist / Ritualista do Oásis</t>
        </is>
      </c>
      <c r="B3697" s="13" t="inlineStr">
        <is>
          <t>Creature — Snake Druid / Criatura — Naga Druida</t>
        </is>
      </c>
      <c r="C3697" s="13" t="inlineStr">
        <is>
          <t>Common / Comum</t>
        </is>
      </c>
      <c r="D3697" s="13" t="inlineStr">
        <is>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is>
      </c>
      <c r="E3697" s="13" t="inlineStr">
        <is>
          <t>{3}{G}</t>
        </is>
      </c>
      <c r="F3697" s="13" t="inlineStr">
        <is>
          <t>Verde</t>
        </is>
      </c>
      <c r="G3697" s="8" t="n">
        <v>0.03</v>
      </c>
      <c r="H3697" s="13" t="inlineStr">
        <is>
          <t>Hour of Devastation (HOU)</t>
        </is>
      </c>
      <c r="I3697" s="13" t="inlineStr">
        <is>
          <t>Não</t>
        </is>
      </c>
      <c r="J3697" s="13" t="n">
        <v>2017</v>
      </c>
      <c r="K3697" s="10" t="n">
        <v>46114</v>
      </c>
      <c r="L3697" s="13" t="n">
        <v>1</v>
      </c>
      <c r="M3697" s="8">
        <f>L3697*G3697</f>
        <v/>
      </c>
      <c r="P3697" s="9" t="n"/>
    </row>
    <row r="3698">
      <c r="A3698" s="13" t="inlineStr">
        <is>
          <t>Nexus Wardens / Guardiões do Nexo</t>
        </is>
      </c>
      <c r="B3698" s="13" t="inlineStr">
        <is>
          <t>Creature — Satyr Archer / Criatura — Sátiro Arqueiro</t>
        </is>
      </c>
      <c r="C3698" s="13" t="inlineStr">
        <is>
          <t>Common / Comum</t>
        </is>
      </c>
      <c r="D3698" s="13" t="inlineStr">
        <is>
          <t>Reach Constellation — Whenever an enchantment you control enters, you gain 2 life. / Alcance Constelação — Toda vez que um encantamento entra no campo de batalha sob seu controle, você ganha 2 pontos de vida.</t>
        </is>
      </c>
      <c r="E3698" s="13" t="inlineStr">
        <is>
          <t>{2}{G}</t>
        </is>
      </c>
      <c r="F3698" s="13" t="inlineStr">
        <is>
          <t>Verde</t>
        </is>
      </c>
      <c r="G3698" s="8" t="n">
        <v>0.03</v>
      </c>
      <c r="H3698" s="13" t="inlineStr">
        <is>
          <t>Theros Beyond Death (THB)</t>
        </is>
      </c>
      <c r="I3698" s="13" t="inlineStr">
        <is>
          <t>Não</t>
        </is>
      </c>
      <c r="J3698" s="13" t="n">
        <v>2020</v>
      </c>
      <c r="K3698" s="10" t="n">
        <v>46113</v>
      </c>
      <c r="L3698" s="13" t="n">
        <v>1</v>
      </c>
      <c r="M3698" s="8">
        <f>L3698*G3698</f>
        <v/>
      </c>
      <c r="P3698" s="9" t="n"/>
    </row>
    <row r="3699">
      <c r="A3699" s="13" t="inlineStr">
        <is>
          <t>Voracious Typhon / Tifão Voraz</t>
        </is>
      </c>
      <c r="B3699" s="13" t="inlineStr">
        <is>
          <t>Creature — Snake Beast / Criatura — Cobra Besta</t>
        </is>
      </c>
      <c r="C3699" s="13" t="inlineStr">
        <is>
          <t>Common / Comum</t>
        </is>
      </c>
      <c r="D3699" s="13" t="inlineStr">
        <is>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is>
      </c>
      <c r="E3699" s="13" t="inlineStr">
        <is>
          <t>{2}{G}{G}</t>
        </is>
      </c>
      <c r="F3699" s="13" t="inlineStr">
        <is>
          <t>Verde</t>
        </is>
      </c>
      <c r="G3699" s="8" t="n">
        <v>0.03</v>
      </c>
      <c r="H3699" s="13" t="inlineStr">
        <is>
          <t>Theros Beyond Death (THB)</t>
        </is>
      </c>
      <c r="I3699" s="13" t="inlineStr">
        <is>
          <t>Não</t>
        </is>
      </c>
      <c r="J3699" s="13" t="n">
        <v>2020</v>
      </c>
      <c r="K3699" s="10" t="n">
        <v>46116</v>
      </c>
      <c r="L3699" s="13" t="n">
        <v>1</v>
      </c>
      <c r="M3699" s="8">
        <f>L3699*G3699</f>
        <v/>
      </c>
      <c r="P3699" s="9" t="n"/>
    </row>
    <row r="3700">
      <c r="A3700" s="13" t="inlineStr">
        <is>
          <t>Setessan Skirmisher / Escaramuçadora Setessana</t>
        </is>
      </c>
      <c r="B3700" s="13" t="inlineStr">
        <is>
          <t>Creature — Human Warrior / Criatura — Humano Guerreiro</t>
        </is>
      </c>
      <c r="C3700" s="13" t="inlineStr">
        <is>
          <t>Common / Comum</t>
        </is>
      </c>
      <c r="D3700" s="13" t="inlineStr">
        <is>
          <t>Constellation — Whenever an enchantment you control enters, this creature gets +1/+1 until end of turn. / Constelação — Toda vez que um encantamento entra no campo de batalha sob seu controle, Escaramuçadora Setessana recebe +1/+1 até o final do turno.</t>
        </is>
      </c>
      <c r="E3700" s="13" t="inlineStr">
        <is>
          <t>{1}{G}</t>
        </is>
      </c>
      <c r="F3700" s="13" t="inlineStr">
        <is>
          <t>Verde</t>
        </is>
      </c>
      <c r="G3700" s="8" t="n">
        <v>0.03</v>
      </c>
      <c r="H3700" s="13" t="inlineStr">
        <is>
          <t>Theros Beyond Death (THB)</t>
        </is>
      </c>
      <c r="I3700" s="13" t="inlineStr">
        <is>
          <t>Não</t>
        </is>
      </c>
      <c r="J3700" s="13" t="n">
        <v>2020</v>
      </c>
      <c r="K3700" s="10" t="n">
        <v>46024</v>
      </c>
      <c r="L3700" s="13" t="n">
        <v>1</v>
      </c>
      <c r="M3700" s="8">
        <f>L3700*G3700</f>
        <v/>
      </c>
      <c r="P3700" s="9" t="n"/>
    </row>
    <row r="3701">
      <c r="A3701" s="13" t="inlineStr">
        <is>
          <t>Pharika's Disciple / Discípula de Fárica</t>
        </is>
      </c>
      <c r="B3701" s="13" t="inlineStr">
        <is>
          <t>Creature — Centaur Warrior / Criatura — Centauro Guerreiro</t>
        </is>
      </c>
      <c r="C3701" s="13" t="inlineStr">
        <is>
          <t>Common / Comum</t>
        </is>
      </c>
      <c r="D3701" s="13" t="inlineStr">
        <is>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is>
      </c>
      <c r="E3701" s="13" t="inlineStr">
        <is>
          <t>{3}{G}</t>
        </is>
      </c>
      <c r="F3701" s="13" t="inlineStr">
        <is>
          <t>Verde</t>
        </is>
      </c>
      <c r="G3701" s="8" t="n">
        <v>0.05</v>
      </c>
      <c r="H3701" s="13" t="inlineStr">
        <is>
          <t>Magic Origins (ORI)</t>
        </is>
      </c>
      <c r="I3701" s="13" t="inlineStr">
        <is>
          <t>Não</t>
        </is>
      </c>
      <c r="J3701" s="13" t="n">
        <v>2015</v>
      </c>
      <c r="K3701" s="10" t="n">
        <v>46083</v>
      </c>
      <c r="L3701" s="13" t="n">
        <v>2</v>
      </c>
      <c r="M3701" s="8">
        <f>L3701*G3701</f>
        <v/>
      </c>
      <c r="P3701" s="9" t="n"/>
    </row>
    <row r="3702">
      <c r="A3702" s="13" t="inlineStr">
        <is>
          <t>Jaddi Offshoot / Ramificação de Jaddi</t>
        </is>
      </c>
      <c r="B3702" s="13" t="inlineStr">
        <is>
          <t>Creature — Plant / Criatura — Planta</t>
        </is>
      </c>
      <c r="C3702" s="13" t="inlineStr">
        <is>
          <t>Uncommon / Incomum</t>
        </is>
      </c>
      <c r="D3702" s="13" t="inlineStr">
        <is>
          <t>Defender Landfall — Whenever a land you control enters, you gain 1 life. / DefensorAterragem — Toda vez que um terreno entra no campo de batalha sob seu controle, você ganha 1 ponto de vida.</t>
        </is>
      </c>
      <c r="E3702" s="13" t="inlineStr">
        <is>
          <t>{G}</t>
        </is>
      </c>
      <c r="F3702" s="13" t="inlineStr">
        <is>
          <t>Verde</t>
        </is>
      </c>
      <c r="G3702" s="8" t="n">
        <v>0.1</v>
      </c>
      <c r="H3702" s="13" t="inlineStr">
        <is>
          <t>Battle for Zendikar (BFZ)</t>
        </is>
      </c>
      <c r="I3702" s="13" t="inlineStr">
        <is>
          <t>Não</t>
        </is>
      </c>
      <c r="J3702" s="13" t="n">
        <v>2015</v>
      </c>
      <c r="K3702" s="13" t="inlineStr">
        <is>
          <t>0/3</t>
        </is>
      </c>
      <c r="L3702" s="13" t="n">
        <v>1</v>
      </c>
      <c r="M3702" s="8">
        <f>L3702*G3702</f>
        <v/>
      </c>
      <c r="P3702" s="9" t="n"/>
    </row>
    <row r="3703">
      <c r="A3703" s="13" t="inlineStr">
        <is>
          <t>Bitterblade Warrior / Guerreiro Laminamarga</t>
        </is>
      </c>
      <c r="B3703" s="13" t="inlineStr">
        <is>
          <t>Creature — Jackal Warrior / Criatura — Chacal Guerreiro</t>
        </is>
      </c>
      <c r="C3703" s="13" t="inlineStr">
        <is>
          <t>Common / Comum</t>
        </is>
      </c>
      <c r="D3703" s="13" t="inlineStr">
        <is>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is>
      </c>
      <c r="E3703" s="13" t="inlineStr">
        <is>
          <t>{1}{G}</t>
        </is>
      </c>
      <c r="F3703" s="13" t="inlineStr">
        <is>
          <t>Verde</t>
        </is>
      </c>
      <c r="G3703" s="8" t="n">
        <v>0.03</v>
      </c>
      <c r="H3703" s="13" t="inlineStr">
        <is>
          <t>Amonkhet (AKH)</t>
        </is>
      </c>
      <c r="I3703" s="13" t="inlineStr">
        <is>
          <t>Não</t>
        </is>
      </c>
      <c r="J3703" s="13" t="n">
        <v>2017</v>
      </c>
      <c r="K3703" s="10" t="n">
        <v>46055</v>
      </c>
      <c r="L3703" s="13" t="n">
        <v>2</v>
      </c>
      <c r="M3703" s="8">
        <f>L3703*G3703</f>
        <v/>
      </c>
      <c r="P3703" s="9" t="n"/>
    </row>
    <row r="3704">
      <c r="A3704" s="13" t="inlineStr">
        <is>
          <t>Caustic Caterpillar / Lagarta Cáustica</t>
        </is>
      </c>
      <c r="B3704" s="13" t="inlineStr">
        <is>
          <t>Creature — Insect / Criatura — Inseto</t>
        </is>
      </c>
      <c r="C3704" s="13" t="inlineStr">
        <is>
          <t>Common / Comum</t>
        </is>
      </c>
      <c r="D3704" s="13" t="inlineStr">
        <is>
          <t>{1}{G}, Sacrifice this creature: Destroy target artifact or enchantment. / {1}{G}, Sacrifique Lagarta Cáustica: Destrua o artefato ou encantamento alvo.</t>
        </is>
      </c>
      <c r="E3704" s="13" t="inlineStr">
        <is>
          <t>{G}</t>
        </is>
      </c>
      <c r="F3704" s="13" t="inlineStr">
        <is>
          <t>Verde</t>
        </is>
      </c>
      <c r="G3704" s="8" t="n">
        <v>0.1</v>
      </c>
      <c r="H3704" s="13" t="inlineStr">
        <is>
          <t>Magic Origins (ORI)</t>
        </is>
      </c>
      <c r="I3704" s="13" t="inlineStr">
        <is>
          <t>Não</t>
        </is>
      </c>
      <c r="J3704" s="13" t="n">
        <v>2015</v>
      </c>
      <c r="K3704" s="10" t="n">
        <v>46023</v>
      </c>
      <c r="L3704" s="13" t="n">
        <v>1</v>
      </c>
      <c r="M3704" s="8">
        <f>L3704*G3704</f>
        <v/>
      </c>
      <c r="P3704" s="9" t="n"/>
    </row>
    <row r="3705">
      <c r="A3705" s="13" t="inlineStr">
        <is>
          <t>Rhox Maulers / Esmagadores Rhox</t>
        </is>
      </c>
      <c r="B3705" s="13" t="inlineStr">
        <is>
          <t>Creature — Rhino Soldier / Criatura — Rinoceronte Soldado</t>
        </is>
      </c>
      <c r="C3705" s="13" t="inlineStr">
        <is>
          <t>Common / Comum</t>
        </is>
      </c>
      <c r="D3705" s="13" t="inlineStr">
        <is>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is>
      </c>
      <c r="E3705" s="13" t="inlineStr">
        <is>
          <t>{4}{G}</t>
        </is>
      </c>
      <c r="F3705" s="13" t="inlineStr">
        <is>
          <t>Verde</t>
        </is>
      </c>
      <c r="G3705" s="8" t="n">
        <v>0.06</v>
      </c>
      <c r="H3705" s="13" t="inlineStr">
        <is>
          <t>Magic Origins (ORI)</t>
        </is>
      </c>
      <c r="I3705" s="13" t="inlineStr">
        <is>
          <t>Não</t>
        </is>
      </c>
      <c r="J3705" s="13" t="n">
        <v>2015</v>
      </c>
      <c r="K3705" s="10" t="n">
        <v>46116</v>
      </c>
      <c r="L3705" s="13" t="n">
        <v>1</v>
      </c>
      <c r="M3705" s="8">
        <f>L3705*G3705</f>
        <v/>
      </c>
      <c r="P3705" s="9" t="n"/>
    </row>
    <row r="3706">
      <c r="A3706" s="13" t="inlineStr">
        <is>
          <t>Lifecraft Cavalry / Cavalaria Vivideira</t>
        </is>
      </c>
      <c r="B3706" s="13" t="inlineStr">
        <is>
          <t>Creature — Elf Warrior / Criatura — Elfo Guerreiro</t>
        </is>
      </c>
      <c r="C3706" s="13" t="inlineStr">
        <is>
          <t>Common / Comum</t>
        </is>
      </c>
      <c r="D3706" s="13" t="inlineStr">
        <is>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is>
      </c>
      <c r="E3706" s="13" t="inlineStr">
        <is>
          <t>{4}{G}</t>
        </is>
      </c>
      <c r="F3706" s="13" t="inlineStr">
        <is>
          <t>Verde</t>
        </is>
      </c>
      <c r="G3706" s="8" t="n">
        <v>0.03</v>
      </c>
      <c r="H3706" s="13" t="inlineStr">
        <is>
          <t>Aether Revolt (AER)</t>
        </is>
      </c>
      <c r="I3706" s="13" t="inlineStr">
        <is>
          <t>Não</t>
        </is>
      </c>
      <c r="J3706" s="13" t="n">
        <v>2017</v>
      </c>
      <c r="K3706" s="10" t="n">
        <v>46116</v>
      </c>
      <c r="L3706" s="13" t="n">
        <v>1</v>
      </c>
      <c r="M3706" s="8">
        <f>L3706*G3706</f>
        <v/>
      </c>
      <c r="P3706" s="9" t="n"/>
    </row>
    <row r="3707">
      <c r="A3707" s="13" t="inlineStr">
        <is>
          <t>Yeva's Forcemage / Mago da Força de Yeva</t>
        </is>
      </c>
      <c r="B3707" s="13" t="inlineStr">
        <is>
          <t>Creature — Elf Shaman / Criatura — Elfo Xamã</t>
        </is>
      </c>
      <c r="C3707" s="13" t="inlineStr">
        <is>
          <t>Common / Comum</t>
        </is>
      </c>
      <c r="D3707" s="13" t="inlineStr">
        <is>
          <t>When this creature enters, target creature gets +2/+2 until end of turn. / Quando Mago da Força de Yeva entra no campo de batalha, a criatura alvo recebe +2/+2 até o final do turno.</t>
        </is>
      </c>
      <c r="E3707" s="13" t="inlineStr">
        <is>
          <t>{2}{G}</t>
        </is>
      </c>
      <c r="F3707" s="13" t="inlineStr">
        <is>
          <t>Verde</t>
        </is>
      </c>
      <c r="G3707" s="8" t="n">
        <v>0.03</v>
      </c>
      <c r="H3707" s="13" t="inlineStr">
        <is>
          <t>Magic 2013 (M13)</t>
        </is>
      </c>
      <c r="I3707" s="13" t="inlineStr">
        <is>
          <t>Não</t>
        </is>
      </c>
      <c r="J3707" s="13" t="n">
        <v>2012</v>
      </c>
      <c r="K3707" s="10" t="n">
        <v>46055</v>
      </c>
      <c r="L3707" s="13" t="n">
        <v>1</v>
      </c>
      <c r="M3707" s="8">
        <f>L3707*G3707</f>
        <v/>
      </c>
      <c r="P3707" s="9" t="n"/>
    </row>
    <row r="3708">
      <c r="A3708" s="13" t="inlineStr">
        <is>
          <t>Silkweaver Elite / Elite Teceseda</t>
        </is>
      </c>
      <c r="B3708" s="13" t="inlineStr">
        <is>
          <t>Creature — Elf Archer / Criatura — Elfo Arqueiro</t>
        </is>
      </c>
      <c r="C3708" s="13" t="inlineStr">
        <is>
          <t>Common / Comum</t>
        </is>
      </c>
      <c r="D3708" s="13" t="inlineStr">
        <is>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is>
      </c>
      <c r="E3708" s="13" t="inlineStr">
        <is>
          <t>{2}{G}</t>
        </is>
      </c>
      <c r="F3708" s="13" t="inlineStr">
        <is>
          <t>Verde</t>
        </is>
      </c>
      <c r="G3708" s="8" t="n">
        <v>0.03</v>
      </c>
      <c r="H3708" s="13" t="inlineStr">
        <is>
          <t>Aether Revolt (AER)</t>
        </is>
      </c>
      <c r="I3708" s="13" t="inlineStr">
        <is>
          <t>Não</t>
        </is>
      </c>
      <c r="J3708" s="13" t="n">
        <v>2017</v>
      </c>
      <c r="K3708" s="10" t="n">
        <v>46055</v>
      </c>
      <c r="L3708" s="13" t="n">
        <v>1</v>
      </c>
      <c r="M3708" s="8">
        <f>L3708*G3708</f>
        <v/>
      </c>
      <c r="P3708" s="9" t="n"/>
    </row>
    <row r="3709">
      <c r="A3709" s="13" t="inlineStr">
        <is>
          <t>Timberpack Wolf / Lobo da Alcateia do Arvoredo</t>
        </is>
      </c>
      <c r="B3709" s="13" t="inlineStr">
        <is>
          <t>Creature — Wolf / Criatura — Lobo</t>
        </is>
      </c>
      <c r="C3709" s="13" t="inlineStr">
        <is>
          <t>Common / Comum</t>
        </is>
      </c>
      <c r="D3709" s="13" t="inlineStr">
        <is>
          <t>This creature gets +1/+1 for each other creature you control named Timberpack Wolf. / Lobo da Alcateia do Arvoredo recebe +1/+1 para cada outra criatura com o nome Lobo da Alcateia do Arvoredo que você controle.</t>
        </is>
      </c>
      <c r="E3709" s="13" t="inlineStr">
        <is>
          <t>{1}{G}</t>
        </is>
      </c>
      <c r="F3709" s="13" t="inlineStr">
        <is>
          <t>Verde</t>
        </is>
      </c>
      <c r="G3709" s="8" t="n">
        <v>0.05</v>
      </c>
      <c r="H3709" s="13" t="inlineStr">
        <is>
          <t>Magic 2013 (M13)</t>
        </is>
      </c>
      <c r="I3709" s="13" t="inlineStr">
        <is>
          <t>Não</t>
        </is>
      </c>
      <c r="J3709" s="13" t="n">
        <v>2012</v>
      </c>
      <c r="K3709" s="10" t="n">
        <v>46055</v>
      </c>
      <c r="L3709" s="13" t="n">
        <v>1</v>
      </c>
      <c r="M3709" s="8">
        <f>L3709*G3709</f>
        <v/>
      </c>
      <c r="P3709" s="9" t="n"/>
    </row>
    <row r="3710">
      <c r="A3710" s="13" t="inlineStr">
        <is>
          <t>Territorial Witchstalker / Farejador de Bruxa Territorial</t>
        </is>
      </c>
      <c r="B3710" s="13" t="inlineStr">
        <is>
          <t>Creature — Wolf / Criatura — Lobo</t>
        </is>
      </c>
      <c r="C3710" s="13" t="inlineStr">
        <is>
          <t>Common / Comum</t>
        </is>
      </c>
      <c r="D3710" s="13" t="inlineStr">
        <is>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is>
      </c>
      <c r="E3710" s="13" t="inlineStr">
        <is>
          <t>{1}{G}</t>
        </is>
      </c>
      <c r="F3710" s="13" t="inlineStr">
        <is>
          <t>Verde</t>
        </is>
      </c>
      <c r="G3710" s="8" t="n">
        <v>0.22</v>
      </c>
      <c r="H3710" s="13" t="inlineStr">
        <is>
          <t>Wilds of Eldraine (WOE)</t>
        </is>
      </c>
      <c r="I3710" s="13" t="inlineStr">
        <is>
          <t>Sim</t>
        </is>
      </c>
      <c r="J3710" s="13" t="n">
        <v>2023</v>
      </c>
      <c r="K3710" s="10" t="n">
        <v>46083</v>
      </c>
      <c r="L3710" s="13" t="n">
        <v>1</v>
      </c>
      <c r="M3710" s="8">
        <f>L3710*G3710</f>
        <v/>
      </c>
      <c r="P3710" s="9" t="n"/>
    </row>
    <row r="3711">
      <c r="A3711" s="13" t="inlineStr">
        <is>
          <t>Toadstool Admirer / Admirador dos Cogumelos</t>
        </is>
      </c>
      <c r="B3711" s="13" t="inlineStr">
        <is>
          <t>Creature — Ouphe / Criatura — Trasgo</t>
        </is>
      </c>
      <c r="C3711" s="13" t="inlineStr">
        <is>
          <t>Common / Comum</t>
        </is>
      </c>
      <c r="D3711" s="13" t="inlineStr">
        <is>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is>
      </c>
      <c r="E3711" s="13" t="inlineStr">
        <is>
          <t>{G}</t>
        </is>
      </c>
      <c r="F3711" s="13" t="inlineStr">
        <is>
          <t>Verde</t>
        </is>
      </c>
      <c r="G3711" s="8" t="n">
        <v>0.32</v>
      </c>
      <c r="H3711" s="13" t="inlineStr">
        <is>
          <t>Wilds of Eldraine (WOE)</t>
        </is>
      </c>
      <c r="I3711" s="13" t="inlineStr">
        <is>
          <t>Sim</t>
        </is>
      </c>
      <c r="J3711" s="13" t="n">
        <v>2023</v>
      </c>
      <c r="K3711" s="10" t="n">
        <v>46023</v>
      </c>
      <c r="L3711" s="13" t="n">
        <v>1</v>
      </c>
      <c r="M3711" s="8">
        <f>L3711*G3711</f>
        <v/>
      </c>
      <c r="P3711" s="9" t="n"/>
    </row>
    <row r="3712">
      <c r="A3712" s="13" t="inlineStr">
        <is>
          <t>Sentinel Spider / Aranha Sentinela</t>
        </is>
      </c>
      <c r="B3712" s="13" t="inlineStr">
        <is>
          <t>Creature — Spider / Criatura — Aranha</t>
        </is>
      </c>
      <c r="C3712" s="13" t="inlineStr">
        <is>
          <t>Common / Comum</t>
        </is>
      </c>
      <c r="D3712" s="13" t="inlineStr">
        <is>
          <t>Vigilance, reach / Vigilância (Esta criatura não é virada para atacar.) Alcance (Esta criatura pode bloquear criaturas com voar.)</t>
        </is>
      </c>
      <c r="E3712" s="13" t="inlineStr">
        <is>
          <t>{3}{G}{G}</t>
        </is>
      </c>
      <c r="F3712" s="13" t="inlineStr">
        <is>
          <t>Verde</t>
        </is>
      </c>
      <c r="G3712" s="8" t="n">
        <v>0.05</v>
      </c>
      <c r="H3712" s="13" t="inlineStr">
        <is>
          <t>Magic 2013 (M13)</t>
        </is>
      </c>
      <c r="I3712" s="13" t="inlineStr">
        <is>
          <t>Não</t>
        </is>
      </c>
      <c r="J3712" s="13" t="n">
        <v>2012</v>
      </c>
      <c r="K3712" s="10" t="n">
        <v>46116</v>
      </c>
      <c r="L3712" s="13" t="n">
        <v>2</v>
      </c>
      <c r="M3712" s="8">
        <f>L3712*G3712</f>
        <v/>
      </c>
      <c r="P3712" s="9" t="n"/>
    </row>
    <row r="3713">
      <c r="A3713" s="13" t="inlineStr">
        <is>
          <t>Giant Spider / Aranha Gigante</t>
        </is>
      </c>
      <c r="B3713" s="13" t="inlineStr">
        <is>
          <t>Creature — Spider / Criatura — Aranha</t>
        </is>
      </c>
      <c r="C3713" s="13" t="inlineStr">
        <is>
          <t>Common / Comum</t>
        </is>
      </c>
      <c r="D3713" s="13" t="inlineStr">
        <is>
          <t>Reach (This creature can block creatures with flying.) / Alcance (Esta criatura pode bloquear criaturas com voar.)</t>
        </is>
      </c>
      <c r="E3713" s="13" t="inlineStr">
        <is>
          <t>{3}{G}</t>
        </is>
      </c>
      <c r="F3713" s="13" t="inlineStr">
        <is>
          <t>Verde</t>
        </is>
      </c>
      <c r="G3713" s="8" t="n">
        <v>0.03</v>
      </c>
      <c r="H3713" s="13" t="inlineStr">
        <is>
          <t>Amonkhet (AKH)</t>
        </is>
      </c>
      <c r="I3713" s="13" t="inlineStr">
        <is>
          <t>Não</t>
        </is>
      </c>
      <c r="J3713" s="13" t="n">
        <v>2017</v>
      </c>
      <c r="K3713" s="10" t="n">
        <v>46114</v>
      </c>
      <c r="L3713" s="13" t="n">
        <v>1</v>
      </c>
      <c r="M3713" s="8">
        <f>L3713*G3713</f>
        <v/>
      </c>
      <c r="P3713" s="9" t="n"/>
    </row>
    <row r="3714">
      <c r="A3714" s="13" t="inlineStr">
        <is>
          <t>Moss Viper / Víbora do Musgo</t>
        </is>
      </c>
      <c r="B3714" s="13" t="inlineStr">
        <is>
          <t>Creature — Snake / Criatura — Cobra</t>
        </is>
      </c>
      <c r="C3714" s="13" t="inlineStr">
        <is>
          <t>Common / Comum</t>
        </is>
      </c>
      <c r="D3714" s="13" t="inlineStr">
        <is>
          <t>Deathtouch / Toque mortífero</t>
        </is>
      </c>
      <c r="E3714" s="13" t="inlineStr">
        <is>
          <t>{G}</t>
        </is>
      </c>
      <c r="F3714" s="13" t="inlineStr">
        <is>
          <t>Verde</t>
        </is>
      </c>
      <c r="G3714" s="8" t="n">
        <v>0.03</v>
      </c>
      <c r="H3714" s="13" t="inlineStr">
        <is>
          <t>Theros Beyond Death (THB)</t>
        </is>
      </c>
      <c r="I3714" s="13" t="inlineStr">
        <is>
          <t>Não</t>
        </is>
      </c>
      <c r="J3714" s="13" t="n">
        <v>2020</v>
      </c>
      <c r="K3714" s="10" t="n">
        <v>46023</v>
      </c>
      <c r="L3714" s="13" t="n">
        <v>2</v>
      </c>
      <c r="M3714" s="8">
        <f>L3714*G3714</f>
        <v/>
      </c>
      <c r="P3714" s="9" t="n"/>
    </row>
    <row r="3715">
      <c r="A3715" s="13" t="inlineStr">
        <is>
          <t>Primal Huntbeast / Fera de Caça Primal</t>
        </is>
      </c>
      <c r="B3715" s="13" t="inlineStr">
        <is>
          <t>Creature — Beast / Criatura — Besta</t>
        </is>
      </c>
      <c r="C3715" s="13" t="inlineStr">
        <is>
          <t>Common / Comum</t>
        </is>
      </c>
      <c r="D3715" s="13" t="inlineStr">
        <is>
          <t>Hexproof (This creature can't be the target of spells or abilities your opponents control.) / Resistência à magia (Esta criatura não pode ser alvo de mágicas nem de habilidades que seus oponentes controlam.)</t>
        </is>
      </c>
      <c r="E3715" s="13" t="inlineStr">
        <is>
          <t>{3}{G}</t>
        </is>
      </c>
      <c r="F3715" s="13" t="inlineStr">
        <is>
          <t>Verde</t>
        </is>
      </c>
      <c r="G3715" s="8" t="n">
        <v>0.06</v>
      </c>
      <c r="H3715" s="13" t="inlineStr">
        <is>
          <t>Magic 2013 (M13)</t>
        </is>
      </c>
      <c r="I3715" s="13" t="inlineStr">
        <is>
          <t>Não</t>
        </is>
      </c>
      <c r="J3715" s="13" t="n">
        <v>2012</v>
      </c>
      <c r="K3715" s="10" t="n">
        <v>46084</v>
      </c>
      <c r="L3715" s="13" t="n">
        <v>1</v>
      </c>
      <c r="M3715" s="8">
        <f>L3715*G3715</f>
        <v/>
      </c>
      <c r="P3715" s="9" t="n"/>
    </row>
    <row r="3716">
      <c r="A3716" s="13" t="inlineStr">
        <is>
          <t>Rot Shambler / Trôpego Putrefato</t>
        </is>
      </c>
      <c r="B3716" s="13" t="inlineStr">
        <is>
          <t>Creature — Fungus / Criatura — Fungo</t>
        </is>
      </c>
      <c r="C3716" s="13" t="inlineStr">
        <is>
          <t>Uncommon / Incomum</t>
        </is>
      </c>
      <c r="D3716" s="13" t="inlineStr">
        <is>
          <t>Whenever another creature you control dies, put a +1/+1 counter on this creature. / Toda vez que outra criatura que você controla morrer, coloque um marcador +1/+1 em Trôpego Putrefato.</t>
        </is>
      </c>
      <c r="E3716" s="13" t="inlineStr">
        <is>
          <t>{1}{G}</t>
        </is>
      </c>
      <c r="F3716" s="13" t="inlineStr">
        <is>
          <t>Verde</t>
        </is>
      </c>
      <c r="G3716" s="8" t="n">
        <v>0.13</v>
      </c>
      <c r="H3716" s="13" t="inlineStr">
        <is>
          <t>Battle for Zendikar (BFZ)</t>
        </is>
      </c>
      <c r="I3716" s="13" t="inlineStr">
        <is>
          <t>Não</t>
        </is>
      </c>
      <c r="J3716" s="13" t="n">
        <v>2015</v>
      </c>
      <c r="K3716" s="10" t="n">
        <v>46023</v>
      </c>
      <c r="L3716" s="13" t="n">
        <v>2</v>
      </c>
      <c r="M3716" s="8">
        <f>L3716*G3716</f>
        <v/>
      </c>
      <c r="P3716" s="9" t="n"/>
    </row>
    <row r="3717">
      <c r="A3717" s="13" t="inlineStr">
        <is>
          <t>Skola Grovedancer / Dançarina do Bosque de Skola</t>
        </is>
      </c>
      <c r="B3717" s="13" t="inlineStr">
        <is>
          <t>Enchantment Creature — Satyr Druid / Criatura Encantamento — Sátiro Druida</t>
        </is>
      </c>
      <c r="C3717" s="13" t="inlineStr">
        <is>
          <t>Common / Comum</t>
        </is>
      </c>
      <c r="D3717" s="13" t="inlineStr">
        <is>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is>
      </c>
      <c r="E3717" s="13" t="inlineStr">
        <is>
          <t>{1}{G}</t>
        </is>
      </c>
      <c r="F3717" s="13" t="inlineStr">
        <is>
          <t>Verde</t>
        </is>
      </c>
      <c r="G3717" s="8" t="n">
        <v>0.03</v>
      </c>
      <c r="H3717" s="13" t="inlineStr">
        <is>
          <t>Theros Beyond Death (THB)</t>
        </is>
      </c>
      <c r="I3717" s="13" t="inlineStr">
        <is>
          <t>Não</t>
        </is>
      </c>
      <c r="J3717" s="13" t="n">
        <v>2020</v>
      </c>
      <c r="K3717" s="10" t="n">
        <v>46055</v>
      </c>
      <c r="L3717" s="13" t="n">
        <v>3</v>
      </c>
      <c r="M3717" s="8">
        <f>L3717*G3717</f>
        <v/>
      </c>
      <c r="P3717" s="9" t="n"/>
    </row>
    <row r="3718">
      <c r="A3718" s="13" t="inlineStr">
        <is>
          <t>Hyrax Tower Scout / Batedora da Torre de Hírax</t>
        </is>
      </c>
      <c r="B3718" s="13" t="inlineStr">
        <is>
          <t>Creature — Human Scout / Criatura — Humano Batedor</t>
        </is>
      </c>
      <c r="C3718" s="13" t="inlineStr">
        <is>
          <t>Common / Comum</t>
        </is>
      </c>
      <c r="D3718" s="13" t="inlineStr">
        <is>
          <t>When this creature enters, untap target creature. / Quando Batedora da Torre de Hírax entrar no campo de batalha, desvire a criatura alvo.</t>
        </is>
      </c>
      <c r="E3718" s="13" t="inlineStr">
        <is>
          <t>{2}{G}</t>
        </is>
      </c>
      <c r="F3718" s="13" t="inlineStr">
        <is>
          <t>Verde</t>
        </is>
      </c>
      <c r="G3718" s="8" t="n">
        <v>0.06</v>
      </c>
      <c r="H3718" s="13" t="inlineStr">
        <is>
          <t>Theros Beyond Death (THB)</t>
        </is>
      </c>
      <c r="I3718" s="13" t="inlineStr">
        <is>
          <t>Não</t>
        </is>
      </c>
      <c r="J3718" s="13" t="n">
        <v>2020</v>
      </c>
      <c r="K3718" s="10" t="n">
        <v>46084</v>
      </c>
      <c r="L3718" s="13" t="n">
        <v>1</v>
      </c>
      <c r="M3718" s="8">
        <f>L3718*G3718</f>
        <v/>
      </c>
      <c r="P3718" s="9" t="n"/>
    </row>
    <row r="3719">
      <c r="A3719" s="13" t="inlineStr">
        <is>
          <t>Aether Herder / Pastor do Éter</t>
        </is>
      </c>
      <c r="B3719" s="13" t="inlineStr">
        <is>
          <t>Creature — Elf Artificer Druid / Criatura — Elfo Artesão Druida</t>
        </is>
      </c>
      <c r="C3719" s="13" t="inlineStr">
        <is>
          <t>Common / Comum</t>
        </is>
      </c>
      <c r="D3719" s="13" t="inlineStr">
        <is>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is>
      </c>
      <c r="E3719" s="13" t="inlineStr">
        <is>
          <t>{3}{G}</t>
        </is>
      </c>
      <c r="F3719" s="13" t="inlineStr">
        <is>
          <t>Verde</t>
        </is>
      </c>
      <c r="G3719" s="8" t="n">
        <v>0.03</v>
      </c>
      <c r="H3719" s="13" t="inlineStr">
        <is>
          <t>Aether Revolt (AER)</t>
        </is>
      </c>
      <c r="I3719" s="13" t="inlineStr">
        <is>
          <t>Não</t>
        </is>
      </c>
      <c r="J3719" s="13" t="n">
        <v>2017</v>
      </c>
      <c r="K3719" s="10" t="n">
        <v>46084</v>
      </c>
      <c r="L3719" s="13" t="n">
        <v>2</v>
      </c>
      <c r="M3719" s="8">
        <f>L3719*G3719</f>
        <v/>
      </c>
      <c r="P3719" s="9" t="n"/>
    </row>
    <row r="3720">
      <c r="A3720" s="13" t="inlineStr">
        <is>
          <t>Peema Outrider / Vanguardeiro de Peema</t>
        </is>
      </c>
      <c r="B3720" s="13" t="inlineStr">
        <is>
          <t>Creature — Elf Artificer / Criatura — Elfo Artesão</t>
        </is>
      </c>
      <c r="C3720" s="13" t="inlineStr">
        <is>
          <t>Common / Comum</t>
        </is>
      </c>
      <c r="D3720" s="13" t="inlineStr">
        <is>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is>
      </c>
      <c r="E3720" s="13" t="inlineStr">
        <is>
          <t>{2}{G}{G}</t>
        </is>
      </c>
      <c r="F3720" s="13" t="inlineStr">
        <is>
          <t>Verde</t>
        </is>
      </c>
      <c r="G3720" s="8" t="n">
        <v>0.06</v>
      </c>
      <c r="H3720" s="13" t="inlineStr">
        <is>
          <t>Kaladesh (KLD)</t>
        </is>
      </c>
      <c r="I3720" s="13" t="inlineStr">
        <is>
          <t>Não</t>
        </is>
      </c>
      <c r="J3720" s="13" t="n">
        <v>2016</v>
      </c>
      <c r="K3720" s="10" t="n">
        <v>46084</v>
      </c>
      <c r="L3720" s="13" t="n">
        <v>1</v>
      </c>
      <c r="M3720" s="8">
        <f>L3720*G3720</f>
        <v/>
      </c>
      <c r="P3720" s="9" t="n"/>
    </row>
    <row r="3721">
      <c r="A3721" s="13" t="inlineStr">
        <is>
          <t>Hooded Brawler / Rufião de Capelo</t>
        </is>
      </c>
      <c r="B3721" s="13" t="inlineStr">
        <is>
          <t>Creature — Snake Warrior / Criatura — Naga Guerreiro</t>
        </is>
      </c>
      <c r="C3721" s="13" t="inlineStr">
        <is>
          <t>Common / Comum</t>
        </is>
      </c>
      <c r="D3721" s="13" t="inlineStr">
        <is>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is>
      </c>
      <c r="E3721" s="13" t="inlineStr">
        <is>
          <t>{2}{G}</t>
        </is>
      </c>
      <c r="F3721" s="13" t="inlineStr">
        <is>
          <t>Verde</t>
        </is>
      </c>
      <c r="G3721" s="8" t="n">
        <v>0.03</v>
      </c>
      <c r="H3721" s="13" t="inlineStr">
        <is>
          <t>Amonkhet (AKH)</t>
        </is>
      </c>
      <c r="I3721" s="13" t="inlineStr">
        <is>
          <t>Não</t>
        </is>
      </c>
      <c r="J3721" s="13" t="n">
        <v>2017</v>
      </c>
      <c r="K3721" s="10" t="n">
        <v>46056</v>
      </c>
      <c r="L3721" s="13" t="n">
        <v>2</v>
      </c>
      <c r="M3721" s="8">
        <f>L3721*G3721</f>
        <v/>
      </c>
      <c r="P3721" s="9" t="n"/>
    </row>
    <row r="3722">
      <c r="A3722" s="13" t="inlineStr">
        <is>
          <t>Aetherstream Leopard / Leopardo-das-correntes-de-éter</t>
        </is>
      </c>
      <c r="B3722" s="13" t="inlineStr">
        <is>
          <t>Creature — Cat / Criatura — Felino</t>
        </is>
      </c>
      <c r="C3722" s="13" t="inlineStr">
        <is>
          <t>Common / Comum</t>
        </is>
      </c>
      <c r="D3722" s="13"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3722" s="13" t="inlineStr">
        <is>
          <t>{2}{G}</t>
        </is>
      </c>
      <c r="F3722" s="13" t="inlineStr">
        <is>
          <t>Verde</t>
        </is>
      </c>
      <c r="G3722" s="8" t="n">
        <v>0.03</v>
      </c>
      <c r="H3722" s="13" t="inlineStr">
        <is>
          <t>Aether Revolt (AER)</t>
        </is>
      </c>
      <c r="I3722" s="13" t="inlineStr">
        <is>
          <t>Não</t>
        </is>
      </c>
      <c r="J3722" s="13" t="n">
        <v>2017</v>
      </c>
      <c r="K3722" s="10" t="n">
        <v>46083</v>
      </c>
      <c r="L3722" s="13" t="n">
        <v>1</v>
      </c>
      <c r="M3722" s="8">
        <f>L3722*G3722</f>
        <v/>
      </c>
      <c r="P3722" s="9" t="n"/>
    </row>
    <row r="3723">
      <c r="A3723" s="13" t="inlineStr">
        <is>
          <t>Initiate's Companion / Companheiro do Iniciado</t>
        </is>
      </c>
      <c r="B3723" s="13" t="inlineStr">
        <is>
          <t>Creature — Cat / Criatura — Felino</t>
        </is>
      </c>
      <c r="C3723" s="13" t="inlineStr">
        <is>
          <t>Common / Comum</t>
        </is>
      </c>
      <c r="D3723" s="13" t="inlineStr">
        <is>
          <t>Whenever this creature deals combat damage to a player, untap target creature or land. / Toda vez que Companheiro do Iniciado causar dano de combate a um jogador, desvire a criatura ou o terreno alvo.</t>
        </is>
      </c>
      <c r="E3723" s="13" t="inlineStr">
        <is>
          <t>{1}{G}</t>
        </is>
      </c>
      <c r="F3723" s="13" t="inlineStr">
        <is>
          <t>Verde</t>
        </is>
      </c>
      <c r="G3723" s="8" t="n">
        <v>0.03</v>
      </c>
      <c r="H3723" s="13" t="inlineStr">
        <is>
          <t>Amonkhet (AKH)</t>
        </is>
      </c>
      <c r="I3723" s="13" t="inlineStr">
        <is>
          <t>Não</t>
        </is>
      </c>
      <c r="J3723" s="13" t="n">
        <v>2017</v>
      </c>
      <c r="K3723" s="10" t="n">
        <v>46025</v>
      </c>
      <c r="L3723" s="13" t="n">
        <v>5</v>
      </c>
      <c r="M3723" s="8">
        <f>L3723*G3723</f>
        <v/>
      </c>
      <c r="P3723" s="9" t="n"/>
    </row>
    <row r="3724">
      <c r="A3724" s="13" t="inlineStr">
        <is>
          <t>Deadly Recluse / Recluso Mortal</t>
        </is>
      </c>
      <c r="B3724" s="13" t="inlineStr">
        <is>
          <t>Creature — Spider / Criatura — Aranha</t>
        </is>
      </c>
      <c r="C3724" s="13" t="inlineStr">
        <is>
          <t>Common / Comum</t>
        </is>
      </c>
      <c r="D3724" s="13"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3724" s="13" t="inlineStr">
        <is>
          <t>{1}{G}</t>
        </is>
      </c>
      <c r="F3724" s="13" t="inlineStr">
        <is>
          <t>Verde</t>
        </is>
      </c>
      <c r="G3724" s="8" t="n">
        <v>0.14</v>
      </c>
      <c r="H3724" s="13" t="inlineStr">
        <is>
          <t>Magic 2013 (M13)</t>
        </is>
      </c>
      <c r="I3724" s="13" t="inlineStr">
        <is>
          <t>Não</t>
        </is>
      </c>
      <c r="J3724" s="13" t="n">
        <v>2012</v>
      </c>
      <c r="K3724" s="10" t="n">
        <v>46054</v>
      </c>
      <c r="L3724" s="13" t="n">
        <v>2</v>
      </c>
      <c r="M3724" s="8">
        <f>L3724*G3724</f>
        <v/>
      </c>
      <c r="P3724" s="9" t="n"/>
    </row>
    <row r="3725">
      <c r="A3725" s="13" t="inlineStr">
        <is>
          <t>Riparian Tiger / Tigre Ripariano</t>
        </is>
      </c>
      <c r="B3725" s="13" t="inlineStr">
        <is>
          <t>Creature — Cat / Criatura — Felino</t>
        </is>
      </c>
      <c r="C3725" s="13" t="inlineStr">
        <is>
          <t>Common / Comum</t>
        </is>
      </c>
      <c r="D3725" s="13" t="inlineStr">
        <is>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is>
      </c>
      <c r="E3725" s="13" t="inlineStr">
        <is>
          <t>{3}{G}{G}</t>
        </is>
      </c>
      <c r="F3725" s="13" t="inlineStr">
        <is>
          <t>Verde</t>
        </is>
      </c>
      <c r="G3725" s="8" t="n">
        <v>0.03</v>
      </c>
      <c r="H3725" s="13" t="inlineStr">
        <is>
          <t>Kaladesh (KLD)</t>
        </is>
      </c>
      <c r="I3725" s="13" t="inlineStr">
        <is>
          <t>Não</t>
        </is>
      </c>
      <c r="J3725" s="13" t="n">
        <v>2016</v>
      </c>
      <c r="K3725" s="10" t="n">
        <v>46116</v>
      </c>
      <c r="L3725" s="13" t="n">
        <v>1</v>
      </c>
      <c r="M3725" s="8">
        <f>L3725*G3725</f>
        <v/>
      </c>
      <c r="P3725" s="9" t="n"/>
    </row>
    <row r="3726">
      <c r="A3726" s="13" t="inlineStr">
        <is>
          <t>Yeva's Forcemage / Mago da Força de Yeva</t>
        </is>
      </c>
      <c r="B3726" s="13" t="inlineStr">
        <is>
          <t>Creature — Elf Shaman / Criatura — Elfo Xamã</t>
        </is>
      </c>
      <c r="C3726" s="13" t="inlineStr">
        <is>
          <t>Common / Comum</t>
        </is>
      </c>
      <c r="D3726" s="13" t="inlineStr">
        <is>
          <t>When this creature enters, target creature gets +2/+2 until end of turn. / Quando Mago da Força de Yeva entra no campo de batalha, a criatura alvo recebe +2/+2 até o final do turno.</t>
        </is>
      </c>
      <c r="E3726" s="13" t="inlineStr">
        <is>
          <t>{2}{G}</t>
        </is>
      </c>
      <c r="F3726" s="13" t="inlineStr">
        <is>
          <t>Verde</t>
        </is>
      </c>
      <c r="G3726" s="8" t="n">
        <v>0.06</v>
      </c>
      <c r="H3726" s="13" t="inlineStr">
        <is>
          <t>Magic Origins (ORI)</t>
        </is>
      </c>
      <c r="I3726" s="13" t="inlineStr">
        <is>
          <t>Não</t>
        </is>
      </c>
      <c r="J3726" s="13" t="n">
        <v>2015</v>
      </c>
      <c r="K3726" s="10" t="n">
        <v>46055</v>
      </c>
      <c r="L3726" s="13" t="n">
        <v>3</v>
      </c>
      <c r="M3726" s="8">
        <f>L3726*G3726</f>
        <v/>
      </c>
      <c r="P3726" s="9" t="n"/>
    </row>
    <row r="3727">
      <c r="A3727" s="13" t="inlineStr">
        <is>
          <t>Cowl Prowler / Rastejador do Capote</t>
        </is>
      </c>
      <c r="B3727" s="13" t="inlineStr">
        <is>
          <t>Creature — Wurm / Criatura — Vorme</t>
        </is>
      </c>
      <c r="C3727" s="13" t="inlineStr">
        <is>
          <t>Common / Comum</t>
        </is>
      </c>
      <c r="E3727" s="13" t="inlineStr">
        <is>
          <t>{4}{G}{G}</t>
        </is>
      </c>
      <c r="F3727" s="13" t="inlineStr">
        <is>
          <t>Verde</t>
        </is>
      </c>
      <c r="G3727" s="8" t="n">
        <v>0.03</v>
      </c>
      <c r="H3727" s="13" t="inlineStr">
        <is>
          <t>Kaladesh (KLD)</t>
        </is>
      </c>
      <c r="I3727" s="13" t="inlineStr">
        <is>
          <t>Não</t>
        </is>
      </c>
      <c r="J3727" s="13" t="n">
        <v>2016</v>
      </c>
      <c r="K3727" s="10" t="n">
        <v>46179</v>
      </c>
      <c r="L3727" s="13" t="n">
        <v>6</v>
      </c>
      <c r="M3727" s="8">
        <f>L3727*G3727</f>
        <v/>
      </c>
      <c r="P3727" s="9" t="n"/>
    </row>
    <row r="3728">
      <c r="A3728" s="13" t="inlineStr">
        <is>
          <t>Archers' Parapet / Parapeito dos Arqueiros</t>
        </is>
      </c>
      <c r="B3728" s="13" t="inlineStr">
        <is>
          <t>Creature — Wall / Criatura — Barreira</t>
        </is>
      </c>
      <c r="C3728" s="13" t="inlineStr">
        <is>
          <t>Common / Comum</t>
        </is>
      </c>
      <c r="D3728" s="13" t="inlineStr">
        <is>
          <t>Defender {1}{B}, {T}: Each opponent loses 1 life. / Defensor {1}{B}, {T}: Cada oponente perde 1 ponto de vida.</t>
        </is>
      </c>
      <c r="E3728" s="13" t="inlineStr">
        <is>
          <t>{1}{G}</t>
        </is>
      </c>
      <c r="F3728" s="13" t="inlineStr">
        <is>
          <t>Verde</t>
        </is>
      </c>
      <c r="G3728" s="8" t="n">
        <v>0.05</v>
      </c>
      <c r="H3728" s="13" t="inlineStr">
        <is>
          <t>Khans of Tarkir (KTK)</t>
        </is>
      </c>
      <c r="I3728" s="13" t="inlineStr">
        <is>
          <t>Não</t>
        </is>
      </c>
      <c r="J3728" s="13" t="n">
        <v>2014</v>
      </c>
      <c r="K3728" s="13" t="inlineStr">
        <is>
          <t>0/5</t>
        </is>
      </c>
      <c r="L3728" s="13" t="n">
        <v>1</v>
      </c>
      <c r="M3728" s="8">
        <f>L3728*G3728</f>
        <v/>
      </c>
      <c r="P3728" s="9" t="n"/>
    </row>
    <row r="3729">
      <c r="A3729" s="13" t="inlineStr">
        <is>
          <t>Oashra Cultivator / Cultivadora de Oashra</t>
        </is>
      </c>
      <c r="B3729" s="13" t="inlineStr">
        <is>
          <t>Creature — Human Druid / Criatura — Humano Druida</t>
        </is>
      </c>
      <c r="C3729" s="13" t="inlineStr">
        <is>
          <t>Common / Comum</t>
        </is>
      </c>
      <c r="D3729" s="13" t="inlineStr">
        <is>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is>
      </c>
      <c r="E3729" s="13" t="inlineStr">
        <is>
          <t>{G}</t>
        </is>
      </c>
      <c r="F3729" s="13" t="inlineStr">
        <is>
          <t>Verde</t>
        </is>
      </c>
      <c r="G3729" s="8" t="n">
        <v>0.03</v>
      </c>
      <c r="H3729" s="13" t="inlineStr">
        <is>
          <t>Amonkhet (AKH)</t>
        </is>
      </c>
      <c r="I3729" s="13" t="inlineStr">
        <is>
          <t>Não</t>
        </is>
      </c>
      <c r="J3729" s="13" t="n">
        <v>2017</v>
      </c>
      <c r="K3729" s="13" t="inlineStr">
        <is>
          <t>0/3</t>
        </is>
      </c>
      <c r="L3729" s="13" t="n">
        <v>1</v>
      </c>
      <c r="M3729" s="8">
        <f>L3729*G3729</f>
        <v/>
      </c>
      <c r="P3729" s="9" t="n"/>
    </row>
    <row r="3730">
      <c r="A3730" s="13" t="inlineStr">
        <is>
          <t>Ornery Kudu / Kudu Turrão</t>
        </is>
      </c>
      <c r="B3730" s="13" t="inlineStr">
        <is>
          <t>Creature — Antelope / Criatura — Antílope</t>
        </is>
      </c>
      <c r="C3730" s="13" t="inlineStr">
        <is>
          <t>Common / Comum</t>
        </is>
      </c>
      <c r="D3730" s="13" t="inlineStr">
        <is>
          <t>When this creature enters, put a -1/-1 counter on target creature you control. / Quando Kudu Turrão entrar no campo de batalha, coloque um marcador -1/-1 na criatura alvo que você controla.</t>
        </is>
      </c>
      <c r="E3730" s="13" t="inlineStr">
        <is>
          <t>{2}{G}</t>
        </is>
      </c>
      <c r="F3730" s="13" t="inlineStr">
        <is>
          <t>Verde</t>
        </is>
      </c>
      <c r="G3730" s="8" t="n">
        <v>0.03</v>
      </c>
      <c r="H3730" s="13" t="inlineStr">
        <is>
          <t>Amonkhet (AKH)</t>
        </is>
      </c>
      <c r="I3730" s="13" t="inlineStr">
        <is>
          <t>Não</t>
        </is>
      </c>
      <c r="J3730" s="13" t="n">
        <v>2017</v>
      </c>
      <c r="K3730" s="10" t="n">
        <v>46115</v>
      </c>
      <c r="L3730" s="13" t="n">
        <v>1</v>
      </c>
      <c r="M3730" s="8">
        <f>L3730*G3730</f>
        <v/>
      </c>
      <c r="P3730" s="9" t="n"/>
    </row>
    <row r="3731">
      <c r="A3731" s="13" t="inlineStr">
        <is>
          <t>Nylea's Forerunner / Pioneiro de Nileia</t>
        </is>
      </c>
      <c r="B3731" s="13" t="inlineStr">
        <is>
          <t>Enchantment Creature — Beast / Criatura Encantamento — Besta</t>
        </is>
      </c>
      <c r="C3731" s="13" t="inlineStr">
        <is>
          <t>Common / Comum</t>
        </is>
      </c>
      <c r="D3731" s="13" t="inlineStr">
        <is>
          <t>Trample Other creatures you control have trample. / Atropelar As outras criaturas que você controla têm atropelar.</t>
        </is>
      </c>
      <c r="E3731" s="13" t="inlineStr">
        <is>
          <t>{4}{G}</t>
        </is>
      </c>
      <c r="F3731" s="13" t="inlineStr">
        <is>
          <t>Verde</t>
        </is>
      </c>
      <c r="G3731" s="8" t="n">
        <v>0.06</v>
      </c>
      <c r="H3731" s="13" t="inlineStr">
        <is>
          <t>Theros Beyond Death (THB)</t>
        </is>
      </c>
      <c r="I3731" s="13" t="inlineStr">
        <is>
          <t>Não</t>
        </is>
      </c>
      <c r="J3731" s="13" t="n">
        <v>2020</v>
      </c>
      <c r="K3731" s="10" t="n">
        <v>46086</v>
      </c>
      <c r="L3731" s="13" t="n">
        <v>1</v>
      </c>
      <c r="M3731" s="8">
        <f>L3731*G3731</f>
        <v/>
      </c>
      <c r="P3731" s="9" t="n"/>
    </row>
    <row r="3732">
      <c r="A3732" s="13" t="inlineStr">
        <is>
          <t>Sage of Shaila's Claim / Sábio da Reivindicação de Shaila</t>
        </is>
      </c>
      <c r="B3732" s="13" t="inlineStr">
        <is>
          <t>Creature — Elf Druid / Criatura — Elfo Druida</t>
        </is>
      </c>
      <c r="C3732" s="13" t="inlineStr">
        <is>
          <t>Common / Comum</t>
        </is>
      </c>
      <c r="D3732" s="13" t="inlineStr">
        <is>
          <t>When this creature enters, you get {E}{E}{E} (three energy counters). / Quando Sábio da Reivindicação de Shaila entra no campo de batalha, você recebe {E}{E}{E} (três marcadores de energia).</t>
        </is>
      </c>
      <c r="E3732" s="13" t="inlineStr">
        <is>
          <t>{1}{G}</t>
        </is>
      </c>
      <c r="F3732" s="13" t="inlineStr">
        <is>
          <t>Verde</t>
        </is>
      </c>
      <c r="G3732" s="8" t="n">
        <v>0.03</v>
      </c>
      <c r="H3732" s="13" t="inlineStr">
        <is>
          <t>Kaladesh (KLD)</t>
        </is>
      </c>
      <c r="I3732" s="13" t="inlineStr">
        <is>
          <t>Não</t>
        </is>
      </c>
      <c r="J3732" s="13" t="n">
        <v>2016</v>
      </c>
      <c r="K3732" s="10" t="n">
        <v>46024</v>
      </c>
      <c r="L3732" s="13" t="n">
        <v>1</v>
      </c>
      <c r="M3732" s="8">
        <f>L3732*G3732</f>
        <v/>
      </c>
      <c r="P3732" s="9" t="n"/>
    </row>
    <row r="3733">
      <c r="A3733" s="13" t="inlineStr">
        <is>
          <t>Quarry Hauler / Carregador da Pedreira</t>
        </is>
      </c>
      <c r="B3733" s="13" t="inlineStr">
        <is>
          <t>Creature — Camel / Criatura — Camelo</t>
        </is>
      </c>
      <c r="C3733" s="13" t="inlineStr">
        <is>
          <t>Common / Comum</t>
        </is>
      </c>
      <c r="D3733" s="13" t="inlineStr">
        <is>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is>
      </c>
      <c r="E3733" s="13" t="inlineStr">
        <is>
          <t>{3}{G}</t>
        </is>
      </c>
      <c r="F3733" s="13" t="inlineStr">
        <is>
          <t>Verde</t>
        </is>
      </c>
      <c r="G3733" s="8" t="n">
        <v>0.03</v>
      </c>
      <c r="H3733" s="13" t="inlineStr">
        <is>
          <t>Amonkhet (AKH)</t>
        </is>
      </c>
      <c r="I3733" s="13" t="inlineStr">
        <is>
          <t>Não</t>
        </is>
      </c>
      <c r="J3733" s="13" t="n">
        <v>2017</v>
      </c>
      <c r="K3733" s="10" t="n">
        <v>46085</v>
      </c>
      <c r="L3733" s="13" t="n">
        <v>3</v>
      </c>
      <c r="M3733" s="8">
        <f>L3733*G3733</f>
        <v/>
      </c>
      <c r="P3733" s="9" t="n"/>
    </row>
    <row r="3734">
      <c r="A3734" s="13" t="inlineStr">
        <is>
          <t>Highspire Artisan / Artesão dos Espigões</t>
        </is>
      </c>
      <c r="B3734" s="13" t="inlineStr">
        <is>
          <t>Creature — Elf Artificer / Criatura — Elfo Artesão</t>
        </is>
      </c>
      <c r="C3734" s="13" t="inlineStr">
        <is>
          <t>Common / Comum</t>
        </is>
      </c>
      <c r="D3734" s="13" t="inlineStr">
        <is>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is>
      </c>
      <c r="E3734" s="13" t="inlineStr">
        <is>
          <t>{2}{G}</t>
        </is>
      </c>
      <c r="F3734" s="13" t="inlineStr">
        <is>
          <t>Verde</t>
        </is>
      </c>
      <c r="G3734" s="8" t="n">
        <v>0.03</v>
      </c>
      <c r="H3734" s="13" t="inlineStr">
        <is>
          <t>Kaladesh (KLD)</t>
        </is>
      </c>
      <c r="I3734" s="13" t="inlineStr">
        <is>
          <t>Não</t>
        </is>
      </c>
      <c r="J3734" s="13" t="n">
        <v>2016</v>
      </c>
      <c r="K3734" s="13" t="inlineStr">
        <is>
          <t>0/3</t>
        </is>
      </c>
      <c r="L3734" s="13" t="n">
        <v>3</v>
      </c>
      <c r="M3734" s="8">
        <f>L3734*G3734</f>
        <v/>
      </c>
      <c r="P3734" s="9" t="n"/>
    </row>
    <row r="3735">
      <c r="A3735" s="13" t="inlineStr">
        <is>
          <t>Greater Sandwurm / Grão-vorme-da-areia</t>
        </is>
      </c>
      <c r="B3735" s="13" t="inlineStr">
        <is>
          <t>Creature — Wurm / Criatura — Vorme</t>
        </is>
      </c>
      <c r="C3735" s="13" t="inlineStr">
        <is>
          <t>Common / Comum</t>
        </is>
      </c>
      <c r="D3735" s="13" t="inlineStr">
        <is>
          <t>This creature can't be blocked by creatures with power 2 or less. Cycling {2} ({2}, Discard this card: Draw a card.) / Grão-vorme-da-areia não pode ser bloqueado por criaturas com poder igual ou inferior a 2. Reciclar {2} ({2}, descarte este card: Compre um card.)</t>
        </is>
      </c>
      <c r="E3735" s="13" t="inlineStr">
        <is>
          <t>{5}{G}{G}</t>
        </is>
      </c>
      <c r="F3735" s="13" t="inlineStr">
        <is>
          <t>Verde</t>
        </is>
      </c>
      <c r="G3735" s="8" t="n">
        <v>0.03</v>
      </c>
      <c r="H3735" s="13" t="inlineStr">
        <is>
          <t>Amonkhet (AKH)</t>
        </is>
      </c>
      <c r="I3735" s="13" t="inlineStr">
        <is>
          <t>Não</t>
        </is>
      </c>
      <c r="J3735" s="13" t="n">
        <v>2017</v>
      </c>
      <c r="K3735" s="10" t="n">
        <v>46210</v>
      </c>
      <c r="L3735" s="13" t="n">
        <v>2</v>
      </c>
      <c r="M3735" s="8">
        <f>L3735*G3735</f>
        <v/>
      </c>
      <c r="P3735" s="9" t="n"/>
    </row>
    <row r="3736">
      <c r="A3736" s="13" t="inlineStr">
        <is>
          <t>Shed Weakness / Eliminar Fraqueza</t>
        </is>
      </c>
      <c r="B3736" s="13" t="inlineStr">
        <is>
          <t>Instant / Mágica Instantânea</t>
        </is>
      </c>
      <c r="C3736" s="13" t="inlineStr">
        <is>
          <t>Common / Comum</t>
        </is>
      </c>
      <c r="D3736" s="13" t="inlineStr">
        <is>
          <t>Target creature gets +2/+2 until end of turn. You may remove a -1/-1 counter from it. / A criatura alvo recebe +2/+2 até o final do turno. Você pode remover um marcador -1/-1 dela.</t>
        </is>
      </c>
      <c r="E3736" s="13" t="inlineStr">
        <is>
          <t>{G}</t>
        </is>
      </c>
      <c r="F3736" s="13" t="inlineStr">
        <is>
          <t>Verde</t>
        </is>
      </c>
      <c r="G3736" s="8" t="n">
        <v>0.03</v>
      </c>
      <c r="H3736" s="13" t="inlineStr">
        <is>
          <t>Amonkhet (AKH)</t>
        </is>
      </c>
      <c r="I3736" s="13" t="inlineStr">
        <is>
          <t>Não</t>
        </is>
      </c>
      <c r="J3736" s="13" t="n">
        <v>2017</v>
      </c>
      <c r="L3736" s="13" t="n">
        <v>1</v>
      </c>
      <c r="M3736" s="8">
        <f>L3736*G3736</f>
        <v/>
      </c>
      <c r="P3736" s="9" t="n"/>
    </row>
    <row r="3737">
      <c r="A3737" s="13" t="inlineStr">
        <is>
          <t>Stinging Shot / Tiro Pungente</t>
        </is>
      </c>
      <c r="B3737" s="13" t="inlineStr">
        <is>
          <t>Instant / Mágica Instantânea</t>
        </is>
      </c>
      <c r="C3737" s="13" t="inlineStr">
        <is>
          <t>Common / Comum</t>
        </is>
      </c>
      <c r="D3737" s="13" t="inlineStr">
        <is>
          <t>Put three -1/-1 counters on target creature with flying. Cycling {2} ({2}, Discard this card: Draw a card.) / Coloque três marcadores -1/-1 na criatura alvo com voar. Reciclar {2} ({2}, Descarte este card: Compre um card.)</t>
        </is>
      </c>
      <c r="E3737" s="13" t="inlineStr">
        <is>
          <t>{G}</t>
        </is>
      </c>
      <c r="F3737" s="13" t="inlineStr">
        <is>
          <t>Verde</t>
        </is>
      </c>
      <c r="G3737" s="8" t="n">
        <v>0.03</v>
      </c>
      <c r="H3737" s="13" t="inlineStr">
        <is>
          <t>Amonkhet (AKH)</t>
        </is>
      </c>
      <c r="I3737" s="13" t="inlineStr">
        <is>
          <t>Não</t>
        </is>
      </c>
      <c r="J3737" s="13" t="n">
        <v>2017</v>
      </c>
      <c r="L3737" s="13" t="n">
        <v>2</v>
      </c>
      <c r="M3737" s="8">
        <f>L3737*G3737</f>
        <v/>
      </c>
      <c r="P3737" s="9" t="n"/>
    </row>
    <row r="3738">
      <c r="A3738" s="13" t="inlineStr">
        <is>
          <t>Infuse with the Elements / Infundir com os Elementos</t>
        </is>
      </c>
      <c r="B3738" s="13" t="inlineStr">
        <is>
          <t>Instant / Mágica Instantânea</t>
        </is>
      </c>
      <c r="C3738" s="13" t="inlineStr">
        <is>
          <t>Uncommon / Incomum</t>
        </is>
      </c>
      <c r="D3738" s="13" t="inlineStr">
        <is>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is>
      </c>
      <c r="E3738" s="13" t="inlineStr">
        <is>
          <t>{3}{G}</t>
        </is>
      </c>
      <c r="F3738" s="13" t="inlineStr">
        <is>
          <t>Verde</t>
        </is>
      </c>
      <c r="G3738" s="8" t="n">
        <v>0.09</v>
      </c>
      <c r="H3738" s="13" t="inlineStr">
        <is>
          <t>Battle for Zendikar (BFZ)</t>
        </is>
      </c>
      <c r="I3738" s="13" t="inlineStr">
        <is>
          <t>Não</t>
        </is>
      </c>
      <c r="J3738" s="13" t="n">
        <v>2015</v>
      </c>
      <c r="L3738" s="13" t="n">
        <v>1</v>
      </c>
      <c r="M3738" s="8">
        <f>L3738*G3738</f>
        <v/>
      </c>
      <c r="P3738" s="9" t="n"/>
    </row>
    <row r="3739">
      <c r="A3739" s="13" t="inlineStr">
        <is>
          <t>Titanic Growth / Crescimento Titânico</t>
        </is>
      </c>
      <c r="B3739" s="13" t="inlineStr">
        <is>
          <t>Instant / Mágica Instantânea</t>
        </is>
      </c>
      <c r="C3739" s="13" t="inlineStr">
        <is>
          <t>Common / Comum</t>
        </is>
      </c>
      <c r="D3739" s="13" t="inlineStr">
        <is>
          <t>Target creature gets +4/+4 until end of turn. / A criatura alvo recebe +4/+4 até o final do turno.</t>
        </is>
      </c>
      <c r="E3739" s="13" t="inlineStr">
        <is>
          <t>{1}{G}</t>
        </is>
      </c>
      <c r="F3739" s="13" t="inlineStr">
        <is>
          <t>Verde</t>
        </is>
      </c>
      <c r="G3739" s="8" t="n">
        <v>0.05</v>
      </c>
      <c r="H3739" s="13" t="inlineStr">
        <is>
          <t>Magic Origins (ORI)</t>
        </is>
      </c>
      <c r="I3739" s="13" t="inlineStr">
        <is>
          <t>Não</t>
        </is>
      </c>
      <c r="J3739" s="13" t="n">
        <v>2015</v>
      </c>
      <c r="L3739" s="13" t="n">
        <v>2</v>
      </c>
      <c r="M3739" s="8">
        <f>L3739*G3739</f>
        <v/>
      </c>
      <c r="P3739" s="9" t="n"/>
    </row>
    <row r="3740">
      <c r="A3740" s="13" t="inlineStr">
        <is>
          <t>Titanic Growth / Crescimento Titânico</t>
        </is>
      </c>
      <c r="B3740" s="13" t="inlineStr">
        <is>
          <t>Instant / Mágica Instantânea</t>
        </is>
      </c>
      <c r="C3740" s="13" t="inlineStr">
        <is>
          <t>Common / Comum</t>
        </is>
      </c>
      <c r="D3740" s="13" t="inlineStr">
        <is>
          <t>Target creature gets +4/+4 until end of turn. / A criatura alvo recebe +4/+4 até o final do turno.</t>
        </is>
      </c>
      <c r="E3740" s="13" t="inlineStr">
        <is>
          <t>{1}{G}</t>
        </is>
      </c>
      <c r="F3740" s="13" t="inlineStr">
        <is>
          <t>Verde</t>
        </is>
      </c>
      <c r="G3740" s="8" t="n">
        <v>0.05</v>
      </c>
      <c r="H3740" s="13" t="inlineStr">
        <is>
          <t>Magic 2012 (M12)</t>
        </is>
      </c>
      <c r="I3740" s="13" t="inlineStr">
        <is>
          <t>Não</t>
        </is>
      </c>
      <c r="J3740" s="13" t="n">
        <v>2011</v>
      </c>
      <c r="L3740" s="13" t="n">
        <v>1</v>
      </c>
      <c r="M3740" s="8">
        <f>L3740*G3740</f>
        <v/>
      </c>
      <c r="P3740" s="9" t="n"/>
    </row>
    <row r="3741">
      <c r="A3741" s="13" t="inlineStr">
        <is>
          <t>Reclaim / Restituir</t>
        </is>
      </c>
      <c r="B3741" s="13" t="inlineStr">
        <is>
          <t>Instant / Mágica Instantânea</t>
        </is>
      </c>
      <c r="C3741" s="13" t="inlineStr">
        <is>
          <t>Common / Comum</t>
        </is>
      </c>
      <c r="D3741" s="13" t="inlineStr">
        <is>
          <t>Put target card from your graveyard on top of your library. / Coloque o card alvo de seu cemitério no topo de seu grimório.</t>
        </is>
      </c>
      <c r="E3741" s="13" t="inlineStr">
        <is>
          <t>{G}</t>
        </is>
      </c>
      <c r="F3741" s="13" t="inlineStr">
        <is>
          <t>Verde</t>
        </is>
      </c>
      <c r="G3741" s="8" t="n">
        <v>0.08</v>
      </c>
      <c r="H3741" s="13" t="inlineStr">
        <is>
          <t>Magic Origins (ORI)</t>
        </is>
      </c>
      <c r="I3741" s="13" t="inlineStr">
        <is>
          <t>Não</t>
        </is>
      </c>
      <c r="J3741" s="13" t="n">
        <v>2015</v>
      </c>
      <c r="L3741" s="13" t="n">
        <v>3</v>
      </c>
      <c r="M3741" s="8">
        <f>L3741*G3741</f>
        <v/>
      </c>
      <c r="P3741" s="9" t="n"/>
    </row>
    <row r="3742">
      <c r="A3742" s="13" t="inlineStr">
        <is>
          <t>Aerial Volley / Salva Aérea</t>
        </is>
      </c>
      <c r="B3742" s="13" t="inlineStr">
        <is>
          <t>Instant / Mágica Instantânea</t>
        </is>
      </c>
      <c r="C3742" s="13" t="inlineStr">
        <is>
          <t>Common / Comum</t>
        </is>
      </c>
      <c r="D3742" s="13" t="inlineStr">
        <is>
          <t>Aerial Volley deals 3 damage divided as you choose among one, two, or three target creatures with flying. / Salva Aérea causa 3 pontos de dano distribuídos à sua escolha entre uma, duas ou três criaturas alvo com voar.</t>
        </is>
      </c>
      <c r="E3742" s="13" t="inlineStr">
        <is>
          <t>{G}</t>
        </is>
      </c>
      <c r="F3742" s="13" t="inlineStr">
        <is>
          <t>Verde</t>
        </is>
      </c>
      <c r="G3742" s="8" t="n">
        <v>0.06</v>
      </c>
      <c r="H3742" s="13" t="inlineStr">
        <is>
          <t>Magic Origins (ORI)</t>
        </is>
      </c>
      <c r="I3742" s="13" t="inlineStr">
        <is>
          <t>Não</t>
        </is>
      </c>
      <c r="J3742" s="13" t="n">
        <v>2015</v>
      </c>
      <c r="L3742" s="13" t="n">
        <v>2</v>
      </c>
      <c r="M3742" s="8">
        <f>L3742*G3742</f>
        <v/>
      </c>
      <c r="P3742" s="9" t="n"/>
    </row>
    <row r="3743">
      <c r="A3743" s="13" t="inlineStr">
        <is>
          <t>Gift of Strength / Dádiva da Força</t>
        </is>
      </c>
      <c r="B3743" s="13" t="inlineStr">
        <is>
          <t>Instant / Mágica Instantânea</t>
        </is>
      </c>
      <c r="C3743" s="13" t="inlineStr">
        <is>
          <t>Common / Comum</t>
        </is>
      </c>
      <c r="D3743" s="13" t="inlineStr">
        <is>
          <t>Target creature gets +3/+3 and gains reach until end of turn. / A criatura alvo recebe +3/+3 e ganha alcance até o final do turno.</t>
        </is>
      </c>
      <c r="E3743" s="13" t="inlineStr">
        <is>
          <t>{1}{G}</t>
        </is>
      </c>
      <c r="F3743" s="13" t="inlineStr">
        <is>
          <t>Verde</t>
        </is>
      </c>
      <c r="G3743" s="8" t="n">
        <v>0.03</v>
      </c>
      <c r="H3743" s="13" t="inlineStr">
        <is>
          <t>Theros Beyond Death (THB)</t>
        </is>
      </c>
      <c r="I3743" s="13" t="inlineStr">
        <is>
          <t>Não</t>
        </is>
      </c>
      <c r="J3743" s="13" t="n">
        <v>2020</v>
      </c>
      <c r="L3743" s="13" t="n">
        <v>2</v>
      </c>
      <c r="M3743" s="8">
        <f>L3743*G3743</f>
        <v/>
      </c>
      <c r="P3743" s="9" t="n"/>
    </row>
    <row r="3744">
      <c r="A3744" s="13" t="inlineStr">
        <is>
          <t>Vine Snare / Armadilha de Vinhas</t>
        </is>
      </c>
      <c r="B3744" s="13" t="inlineStr">
        <is>
          <t>Instant / Mágica Instantânea</t>
        </is>
      </c>
      <c r="C3744" s="13" t="inlineStr">
        <is>
          <t>Common / Comum</t>
        </is>
      </c>
      <c r="D3744" s="13" t="inlineStr">
        <is>
          <t>Prevent all combat damage that would be dealt this turn by creatures with power 4 or less. / Previna todo o dano de combate que seria causado neste turno por criaturas com poder igual ou inferior a 4.</t>
        </is>
      </c>
      <c r="E3744" s="13" t="inlineStr">
        <is>
          <t>{2}{G}</t>
        </is>
      </c>
      <c r="F3744" s="13" t="inlineStr">
        <is>
          <t>Verde</t>
        </is>
      </c>
      <c r="G3744" s="8" t="n">
        <v>0.06</v>
      </c>
      <c r="H3744" s="13" t="inlineStr">
        <is>
          <t>Magic Origins (ORI)</t>
        </is>
      </c>
      <c r="I3744" s="13" t="inlineStr">
        <is>
          <t>Não</t>
        </is>
      </c>
      <c r="J3744" s="13" t="n">
        <v>2015</v>
      </c>
      <c r="L3744" s="13" t="n">
        <v>2</v>
      </c>
      <c r="M3744" s="8">
        <f>L3744*G3744</f>
        <v/>
      </c>
      <c r="P3744" s="9" t="n"/>
    </row>
    <row r="3745">
      <c r="A3745" s="13" t="inlineStr">
        <is>
          <t>Inspire Awe / Inspirar Temor</t>
        </is>
      </c>
      <c r="B3745" s="13" t="inlineStr">
        <is>
          <t>Instant / Mágica Instantânea</t>
        </is>
      </c>
      <c r="C3745" s="13" t="inlineStr">
        <is>
          <t>Common / Comum</t>
        </is>
      </c>
      <c r="D3745" s="13" t="inlineStr">
        <is>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is>
      </c>
      <c r="E3745" s="13" t="inlineStr">
        <is>
          <t>{3}{G}</t>
        </is>
      </c>
      <c r="F3745" s="13" t="inlineStr">
        <is>
          <t>Verde</t>
        </is>
      </c>
      <c r="G3745" s="8" t="n">
        <v>0.03</v>
      </c>
      <c r="H3745" s="13" t="inlineStr">
        <is>
          <t>Theros Beyond Death (THB)</t>
        </is>
      </c>
      <c r="I3745" s="13" t="inlineStr">
        <is>
          <t>Não</t>
        </is>
      </c>
      <c r="J3745" s="13" t="n">
        <v>2020</v>
      </c>
      <c r="L3745" s="13" t="n">
        <v>2</v>
      </c>
      <c r="M3745" s="8">
        <f>L3745*G3745</f>
        <v/>
      </c>
      <c r="P3745" s="9" t="n"/>
    </row>
    <row r="3746">
      <c r="A3746" s="13" t="inlineStr">
        <is>
          <t>Appetite for the Unnatural / Apetite pelo Antinatural</t>
        </is>
      </c>
      <c r="B3746" s="13" t="inlineStr">
        <is>
          <t>Instant / Mágica Instantânea</t>
        </is>
      </c>
      <c r="C3746" s="13" t="inlineStr">
        <is>
          <t>Common / Comum</t>
        </is>
      </c>
      <c r="D3746" s="13" t="inlineStr">
        <is>
          <t>Destroy target artifact or enchantment. You gain 2 life. / Destrua o artefato ou encantamento alvo. Você ganha 2 pontos de vida.</t>
        </is>
      </c>
      <c r="E3746" s="13" t="inlineStr">
        <is>
          <t>{2}{G}</t>
        </is>
      </c>
      <c r="F3746" s="13" t="inlineStr">
        <is>
          <t>Verde</t>
        </is>
      </c>
      <c r="G3746" s="8" t="n">
        <v>0.03</v>
      </c>
      <c r="H3746" s="13" t="inlineStr">
        <is>
          <t>Kaladesh (KLD)</t>
        </is>
      </c>
      <c r="I3746" s="13" t="inlineStr">
        <is>
          <t>Não</t>
        </is>
      </c>
      <c r="J3746" s="13" t="n">
        <v>2016</v>
      </c>
      <c r="L3746" s="13" t="n">
        <v>3</v>
      </c>
      <c r="M3746" s="8">
        <f>L3746*G3746</f>
        <v/>
      </c>
      <c r="P3746" s="9" t="n"/>
    </row>
    <row r="3747">
      <c r="A3747" s="13" t="inlineStr">
        <is>
          <t>Gift of Strength / Dádiva da Força</t>
        </is>
      </c>
      <c r="B3747" s="13" t="inlineStr">
        <is>
          <t>Instant / Mágica Instantânea</t>
        </is>
      </c>
      <c r="C3747" s="13" t="inlineStr">
        <is>
          <t>Common / Comum</t>
        </is>
      </c>
      <c r="D3747" s="13" t="inlineStr">
        <is>
          <t>Target creature gets +3/+3 and gains reach until end of turn. / A criatura alvo recebe +3/+3 e ganha alcance até o final do turno.</t>
        </is>
      </c>
      <c r="E3747" s="13" t="inlineStr">
        <is>
          <t>{1}{G}</t>
        </is>
      </c>
      <c r="F3747" s="13" t="inlineStr">
        <is>
          <t>Verde</t>
        </is>
      </c>
      <c r="G3747" s="8" t="n">
        <v>0.03</v>
      </c>
      <c r="H3747" s="13" t="inlineStr">
        <is>
          <t>Hour of Devastation (HOU)</t>
        </is>
      </c>
      <c r="I3747" s="13" t="inlineStr">
        <is>
          <t>Não</t>
        </is>
      </c>
      <c r="J3747" s="13" t="n">
        <v>2017</v>
      </c>
      <c r="L3747" s="13" t="n">
        <v>1</v>
      </c>
      <c r="M3747" s="8">
        <f>L3747*G3747</f>
        <v/>
      </c>
      <c r="P3747" s="9" t="n"/>
    </row>
    <row r="3748">
      <c r="A3748" s="13" t="inlineStr">
        <is>
          <t>Rhonas's Stalwart / Destemida de Rhonas</t>
        </is>
      </c>
      <c r="B3748" s="13" t="inlineStr">
        <is>
          <t>Creature — Human Warrior / Criatura — Humano Guerreiro</t>
        </is>
      </c>
      <c r="C3748" s="13" t="inlineStr">
        <is>
          <t>Common / Comum</t>
        </is>
      </c>
      <c r="D3748" s="13" t="inlineStr">
        <is>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is>
      </c>
      <c r="E3748" s="13" t="inlineStr">
        <is>
          <t>{1}{G}</t>
        </is>
      </c>
      <c r="F3748" s="13" t="inlineStr">
        <is>
          <t>Verde</t>
        </is>
      </c>
      <c r="G3748" s="8" t="n">
        <v>0.03</v>
      </c>
      <c r="H3748" s="13" t="inlineStr">
        <is>
          <t>Hour of Devastation (HOU)</t>
        </is>
      </c>
      <c r="I3748" s="13" t="inlineStr">
        <is>
          <t>Não</t>
        </is>
      </c>
      <c r="J3748" s="13" t="n">
        <v>2017</v>
      </c>
      <c r="K3748" s="10" t="n">
        <v>46055</v>
      </c>
      <c r="L3748" s="13" t="n">
        <v>1</v>
      </c>
      <c r="M3748" s="8">
        <f>L3748*G3748</f>
        <v/>
      </c>
      <c r="P3748" s="9" t="n"/>
    </row>
    <row r="3749">
      <c r="A3749" s="13" t="inlineStr">
        <is>
          <t>Highspire Infusion / Infusão dos Espigões</t>
        </is>
      </c>
      <c r="B3749" s="13" t="inlineStr">
        <is>
          <t>Instant / Mágica Instantânea</t>
        </is>
      </c>
      <c r="C3749" s="13" t="inlineStr">
        <is>
          <t>Common / Comum</t>
        </is>
      </c>
      <c r="D3749" s="13" t="inlineStr">
        <is>
          <t>Target creature gets +3/+3 until end of turn. You get {E}{E} (two energy counters). / A criatura alvo recebe +3/+3 até o final do turno. Você recebe {E}{E} (dois marcadores de energia).</t>
        </is>
      </c>
      <c r="E3749" s="13" t="inlineStr">
        <is>
          <t>{1}{G}</t>
        </is>
      </c>
      <c r="F3749" s="13" t="inlineStr">
        <is>
          <t>Verde</t>
        </is>
      </c>
      <c r="G3749" s="8" t="n">
        <v>0.03</v>
      </c>
      <c r="H3749" s="13" t="inlineStr">
        <is>
          <t>Aether Revolt (AER)</t>
        </is>
      </c>
      <c r="I3749" s="13" t="inlineStr">
        <is>
          <t>Não</t>
        </is>
      </c>
      <c r="J3749" s="13" t="n">
        <v>2017</v>
      </c>
      <c r="L3749" s="13" t="n">
        <v>1</v>
      </c>
      <c r="M3749" s="8">
        <f>L3749*G3749</f>
        <v/>
      </c>
      <c r="P3749" s="9" t="n"/>
    </row>
    <row r="3750">
      <c r="A3750" s="13" t="inlineStr">
        <is>
          <t>Might of the Masses / Força das Massas</t>
        </is>
      </c>
      <c r="B3750" s="13" t="inlineStr">
        <is>
          <t>Instant / Mágica Instantânea</t>
        </is>
      </c>
      <c r="C3750" s="13" t="inlineStr">
        <is>
          <t>Common / Comum</t>
        </is>
      </c>
      <c r="D3750" s="13" t="inlineStr">
        <is>
          <t>Target creature gets +1/+1 until end of turn for each creature you control. / A criatura alvo recebe +1/+1 até o final do turno para cada criatura que você controla.</t>
        </is>
      </c>
      <c r="E3750" s="13" t="inlineStr">
        <is>
          <t>{G}</t>
        </is>
      </c>
      <c r="F3750" s="13" t="inlineStr">
        <is>
          <t>Verde</t>
        </is>
      </c>
      <c r="G3750" s="8" t="n">
        <v>0.06</v>
      </c>
      <c r="H3750" s="13" t="inlineStr">
        <is>
          <t>Magic Origins (ORI)</t>
        </is>
      </c>
      <c r="I3750" s="13" t="inlineStr">
        <is>
          <t>Não</t>
        </is>
      </c>
      <c r="J3750" s="13" t="n">
        <v>2015</v>
      </c>
      <c r="L3750" s="13" t="n">
        <v>1</v>
      </c>
      <c r="M3750" s="8">
        <f>L3750*G3750</f>
        <v/>
      </c>
      <c r="P3750" s="9" t="n"/>
    </row>
    <row r="3751">
      <c r="A3751" s="13" t="inlineStr">
        <is>
          <t>Blinding Fog / Neblina Cegante</t>
        </is>
      </c>
      <c r="B3751" s="13" t="inlineStr">
        <is>
          <t>Instant / Mágica Instantânea</t>
        </is>
      </c>
      <c r="C3751" s="13" t="inlineStr">
        <is>
          <t>Common / Comum</t>
        </is>
      </c>
      <c r="D3751" s="13" t="inlineStr">
        <is>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is>
      </c>
      <c r="E3751" s="13" t="inlineStr">
        <is>
          <t>{2}{G}</t>
        </is>
      </c>
      <c r="F3751" s="13" t="inlineStr">
        <is>
          <t>Verde</t>
        </is>
      </c>
      <c r="G3751" s="8" t="n">
        <v>0.03</v>
      </c>
      <c r="H3751" s="13" t="inlineStr">
        <is>
          <t>Ixalan (XLN)</t>
        </is>
      </c>
      <c r="I3751" s="13" t="inlineStr">
        <is>
          <t>Não</t>
        </is>
      </c>
      <c r="J3751" s="13" t="n">
        <v>2017</v>
      </c>
      <c r="L3751" s="13" t="n">
        <v>1</v>
      </c>
      <c r="M3751" s="8">
        <f>L3751*G3751</f>
        <v/>
      </c>
      <c r="P3751" s="9" t="n"/>
    </row>
    <row r="3752">
      <c r="A3752" s="13" t="inlineStr">
        <is>
          <t>Commencement of Festivities / Início das Festividades</t>
        </is>
      </c>
      <c r="B3752" s="13" t="inlineStr">
        <is>
          <t>Instant / Mágica Instantânea</t>
        </is>
      </c>
      <c r="C3752" s="13" t="inlineStr">
        <is>
          <t>Common / Comum</t>
        </is>
      </c>
      <c r="D3752" s="13" t="inlineStr">
        <is>
          <t>Prevent all combat damage that would be dealt to players this turn. / Previna todo o dano de combate que seria causado a jogadores neste turno.</t>
        </is>
      </c>
      <c r="E3752" s="13" t="inlineStr">
        <is>
          <t>{1}{G}</t>
        </is>
      </c>
      <c r="F3752" s="13" t="inlineStr">
        <is>
          <t>Verde</t>
        </is>
      </c>
      <c r="G3752" s="8" t="n">
        <v>0.03</v>
      </c>
      <c r="H3752" s="13" t="inlineStr">
        <is>
          <t>Kaladesh (KLD)</t>
        </is>
      </c>
      <c r="I3752" s="13" t="inlineStr">
        <is>
          <t>Não</t>
        </is>
      </c>
      <c r="J3752" s="13" t="n">
        <v>2016</v>
      </c>
      <c r="L3752" s="13" t="n">
        <v>2</v>
      </c>
      <c r="M3752" s="8">
        <f>L3752*G3752</f>
        <v/>
      </c>
      <c r="P3752" s="9" t="n"/>
    </row>
    <row r="3753">
      <c r="A3753" s="13" t="inlineStr">
        <is>
          <t>Plummet / Tombar</t>
        </is>
      </c>
      <c r="B3753" s="13" t="inlineStr">
        <is>
          <t>Instant / Mágica Instantânea</t>
        </is>
      </c>
      <c r="C3753" s="13" t="inlineStr">
        <is>
          <t>Common / Comum</t>
        </is>
      </c>
      <c r="D3753" s="13" t="inlineStr">
        <is>
          <t>Destroy target creature with flying. / Destrua a criatura alvo com voar.</t>
        </is>
      </c>
      <c r="E3753" s="13" t="inlineStr">
        <is>
          <t>{1}{G}</t>
        </is>
      </c>
      <c r="F3753" s="13" t="inlineStr">
        <is>
          <t>Verde</t>
        </is>
      </c>
      <c r="G3753" s="8" t="n">
        <v>0.03</v>
      </c>
      <c r="H3753" s="13" t="inlineStr">
        <is>
          <t>Theros Beyond Death (THB)</t>
        </is>
      </c>
      <c r="I3753" s="13" t="inlineStr">
        <is>
          <t>Não</t>
        </is>
      </c>
      <c r="J3753" s="13" t="n">
        <v>2020</v>
      </c>
      <c r="L3753" s="13" t="n">
        <v>2</v>
      </c>
      <c r="M3753" s="8">
        <f>L3753*G3753</f>
        <v/>
      </c>
      <c r="P3753" s="9" t="n"/>
    </row>
    <row r="3754">
      <c r="A3754" s="13" t="inlineStr">
        <is>
          <t>Awaken the Bear / Despertar o Urso</t>
        </is>
      </c>
      <c r="B3754" s="13" t="inlineStr">
        <is>
          <t>Instant / Mágica Instantânea</t>
        </is>
      </c>
      <c r="C3754" s="13" t="inlineStr">
        <is>
          <t>Common / Comum</t>
        </is>
      </c>
      <c r="D3754" s="13" t="inlineStr">
        <is>
          <t>Target creature gets +3/+3 and gains trample until end of turn. / A criatura alvo recebe +3/+3 e ganha atropelar até o final do turno.</t>
        </is>
      </c>
      <c r="E3754" s="13" t="inlineStr">
        <is>
          <t>{2}{G}</t>
        </is>
      </c>
      <c r="F3754" s="13" t="inlineStr">
        <is>
          <t>Verde</t>
        </is>
      </c>
      <c r="G3754" s="8" t="n">
        <v>0.08</v>
      </c>
      <c r="H3754" s="13" t="inlineStr">
        <is>
          <t>Khans of Tarkir (KTK)</t>
        </is>
      </c>
      <c r="I3754" s="13" t="inlineStr">
        <is>
          <t>Não</t>
        </is>
      </c>
      <c r="J3754" s="13" t="n">
        <v>2014</v>
      </c>
      <c r="L3754" s="13" t="n">
        <v>1</v>
      </c>
      <c r="M3754" s="8">
        <f>L3754*G3754</f>
        <v/>
      </c>
      <c r="P3754" s="9" t="n"/>
    </row>
    <row r="3755">
      <c r="A3755" s="13" t="inlineStr">
        <is>
          <t>Serpent's Gift / Dádiva da Serpente</t>
        </is>
      </c>
      <c r="B3755" s="13" t="inlineStr">
        <is>
          <t>Instant / Mágica Instantânea</t>
        </is>
      </c>
      <c r="C3755" s="13" t="inlineStr">
        <is>
          <t>Common / Comum</t>
        </is>
      </c>
      <c r="D3755" s="13" t="inlineStr">
        <is>
          <t>Target creature gains deathtouch until end of turn. (Any amount of damage it deals to a creature is enough to destroy it.) / A criatura alvo ganha toque mortífero até o final do turno. (Qualquer quantidade de dano que ela cause a uma criatura é suficiente para destruí-la.)</t>
        </is>
      </c>
      <c r="E3755" s="13" t="inlineStr">
        <is>
          <t>{2}{G}</t>
        </is>
      </c>
      <c r="F3755" s="13" t="inlineStr">
        <is>
          <t>Verde</t>
        </is>
      </c>
      <c r="G3755" s="8" t="n">
        <v>0.05</v>
      </c>
      <c r="H3755" s="13" t="inlineStr">
        <is>
          <t>Magic 2013 (M13)</t>
        </is>
      </c>
      <c r="I3755" s="13" t="inlineStr">
        <is>
          <t>Não</t>
        </is>
      </c>
      <c r="J3755" s="13" t="n">
        <v>2012</v>
      </c>
      <c r="L3755" s="13" t="n">
        <v>1</v>
      </c>
      <c r="M3755" s="8">
        <f>L3755*G3755</f>
        <v/>
      </c>
      <c r="P3755" s="9" t="n"/>
    </row>
    <row r="3756">
      <c r="A3756" s="13" t="inlineStr">
        <is>
          <t>Broken Wings / Asas Quebradas</t>
        </is>
      </c>
      <c r="B3756" s="13" t="inlineStr">
        <is>
          <t>Instant / Mágica Instantânea</t>
        </is>
      </c>
      <c r="C3756" s="13" t="inlineStr">
        <is>
          <t>Common / Comum</t>
        </is>
      </c>
      <c r="D3756" s="13" t="inlineStr">
        <is>
          <t>Destroy target artifact, enchantment, or creature with flying. / Destrua o artefato, o encantamento ou a criatura com voar alvo.</t>
        </is>
      </c>
      <c r="E3756" s="13" t="inlineStr">
        <is>
          <t>{2}{G}</t>
        </is>
      </c>
      <c r="F3756" s="13" t="inlineStr">
        <is>
          <t>Verde</t>
        </is>
      </c>
      <c r="G3756" s="8" t="n">
        <v>0.2</v>
      </c>
      <c r="H3756" s="13" t="inlineStr">
        <is>
          <t>Foundations (FDN)</t>
        </is>
      </c>
      <c r="I3756" s="13" t="inlineStr">
        <is>
          <t>Sim</t>
        </is>
      </c>
      <c r="J3756" s="13" t="n">
        <v>2024</v>
      </c>
      <c r="L3756" s="13" t="n">
        <v>1</v>
      </c>
      <c r="M3756" s="8">
        <f>L3756*G3756</f>
        <v/>
      </c>
      <c r="P3756" s="9" t="n"/>
    </row>
    <row r="3757">
      <c r="A3757" s="13" t="inlineStr">
        <is>
          <t>Ambuscade / Cilada</t>
        </is>
      </c>
      <c r="B3757" s="13" t="inlineStr">
        <is>
          <t>Instant / Mágica Instantânea</t>
        </is>
      </c>
      <c r="C3757" s="13" t="inlineStr">
        <is>
          <t>Common / Comum</t>
        </is>
      </c>
      <c r="D3757" s="13"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3757" s="13" t="inlineStr">
        <is>
          <t>{2}{G}</t>
        </is>
      </c>
      <c r="F3757" s="13" t="inlineStr">
        <is>
          <t>Verde</t>
        </is>
      </c>
      <c r="G3757" s="8" t="n">
        <v>0.03</v>
      </c>
      <c r="H3757" s="13" t="inlineStr">
        <is>
          <t>Hour of Devastation (HOU)</t>
        </is>
      </c>
      <c r="I3757" s="13" t="inlineStr">
        <is>
          <t>Não</t>
        </is>
      </c>
      <c r="J3757" s="13" t="n">
        <v>2017</v>
      </c>
      <c r="L3757" s="13" t="n">
        <v>1</v>
      </c>
      <c r="M3757" s="8">
        <f>L3757*G3757</f>
        <v/>
      </c>
      <c r="P3757" s="9" t="n"/>
    </row>
    <row r="3758">
      <c r="A3758" s="13" t="inlineStr">
        <is>
          <t>Hunt the Weak / Caçar os Fracos</t>
        </is>
      </c>
      <c r="B3758" s="13" t="inlineStr">
        <is>
          <t>Sorcery / Feitiço</t>
        </is>
      </c>
      <c r="C3758" s="13" t="inlineStr">
        <is>
          <t>Common / Comum</t>
        </is>
      </c>
      <c r="D3758" s="13"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3758" s="13" t="inlineStr">
        <is>
          <t>{3}{G}</t>
        </is>
      </c>
      <c r="F3758" s="13" t="inlineStr">
        <is>
          <t>Verde</t>
        </is>
      </c>
      <c r="G3758" s="8" t="n">
        <v>0.03</v>
      </c>
      <c r="H3758" s="13" t="inlineStr">
        <is>
          <t>Rivals of Ixalan (RIX)</t>
        </is>
      </c>
      <c r="I3758" s="13" t="inlineStr">
        <is>
          <t>Não</t>
        </is>
      </c>
      <c r="J3758" s="13" t="n">
        <v>2018</v>
      </c>
      <c r="L3758" s="13" t="n">
        <v>1</v>
      </c>
      <c r="M3758" s="8">
        <f>L3758*G3758</f>
        <v/>
      </c>
      <c r="P3758" s="9" t="n"/>
    </row>
    <row r="3759">
      <c r="A3759" s="13" t="inlineStr">
        <is>
          <t>Prey Upon / Apresar</t>
        </is>
      </c>
      <c r="B3759" s="13" t="inlineStr">
        <is>
          <t>Sorcery / Feitiço</t>
        </is>
      </c>
      <c r="C3759" s="13" t="inlineStr">
        <is>
          <t>Common / Comum</t>
        </is>
      </c>
      <c r="D3759" s="13"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759" s="13" t="inlineStr">
        <is>
          <t>{G}</t>
        </is>
      </c>
      <c r="F3759" s="13" t="inlineStr">
        <is>
          <t>Verde</t>
        </is>
      </c>
      <c r="G3759" s="8" t="n">
        <v>0.05</v>
      </c>
      <c r="H3759" s="13" t="inlineStr">
        <is>
          <t>Ultimate Masters (UMA)</t>
        </is>
      </c>
      <c r="I3759" s="13" t="inlineStr">
        <is>
          <t>Não</t>
        </is>
      </c>
      <c r="J3759" s="13" t="n">
        <v>2018</v>
      </c>
      <c r="L3759" s="13" t="n">
        <v>2</v>
      </c>
      <c r="M3759" s="8">
        <f>L3759*G3759</f>
        <v/>
      </c>
      <c r="P3759" s="9" t="n"/>
    </row>
    <row r="3760">
      <c r="A3760" s="13" t="inlineStr">
        <is>
          <t>Beneath the Sands / Sob as Areias</t>
        </is>
      </c>
      <c r="B3760" s="13" t="inlineStr">
        <is>
          <t>Sorcery / Feitiço</t>
        </is>
      </c>
      <c r="C3760" s="13" t="inlineStr">
        <is>
          <t>Common / Comum</t>
        </is>
      </c>
      <c r="D3760" s="13"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3760" s="13" t="inlineStr">
        <is>
          <t>{2}{G}</t>
        </is>
      </c>
      <c r="F3760" s="13" t="inlineStr">
        <is>
          <t>Verde</t>
        </is>
      </c>
      <c r="G3760" s="8" t="n">
        <v>0.03</v>
      </c>
      <c r="H3760" s="13" t="inlineStr">
        <is>
          <t>Hour of Devastation (HOU)</t>
        </is>
      </c>
      <c r="I3760" s="13" t="inlineStr">
        <is>
          <t>Não</t>
        </is>
      </c>
      <c r="J3760" s="13" t="n">
        <v>2017</v>
      </c>
      <c r="L3760" s="13" t="n">
        <v>1</v>
      </c>
      <c r="M3760" s="8">
        <f>L3760*G3760</f>
        <v/>
      </c>
      <c r="P3760" s="9" t="n"/>
    </row>
    <row r="3761">
      <c r="A3761" s="13" t="inlineStr">
        <is>
          <t>Benefaction of Rhonas / Beneficência de Rhonas</t>
        </is>
      </c>
      <c r="B3761" s="13" t="inlineStr">
        <is>
          <t>Sorcery / Feitiço</t>
        </is>
      </c>
      <c r="C3761" s="13" t="inlineStr">
        <is>
          <t>Common / Comum</t>
        </is>
      </c>
      <c r="D3761" s="13" t="inlineStr">
        <is>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is>
      </c>
      <c r="E3761" s="13" t="inlineStr">
        <is>
          <t>{2}{G}</t>
        </is>
      </c>
      <c r="F3761" s="13" t="inlineStr">
        <is>
          <t>Verde</t>
        </is>
      </c>
      <c r="G3761" s="8" t="n">
        <v>0.03</v>
      </c>
      <c r="H3761" s="13" t="inlineStr">
        <is>
          <t>Amonkhet (AKH)</t>
        </is>
      </c>
      <c r="I3761" s="13" t="inlineStr">
        <is>
          <t>Não</t>
        </is>
      </c>
      <c r="J3761" s="13" t="n">
        <v>2017</v>
      </c>
      <c r="L3761" s="13" t="n">
        <v>1</v>
      </c>
      <c r="M3761" s="8">
        <f>L3761*G3761</f>
        <v/>
      </c>
      <c r="P3761" s="9" t="n"/>
    </row>
    <row r="3762">
      <c r="A3762" s="13" t="inlineStr">
        <is>
          <t>Nissa's Pilgrimage / Peregrinação de Nissa</t>
        </is>
      </c>
      <c r="B3762" s="13" t="inlineStr">
        <is>
          <t>Sorcery / Feitiço</t>
        </is>
      </c>
      <c r="C3762" s="13" t="inlineStr">
        <is>
          <t>Common / Comum</t>
        </is>
      </c>
      <c r="D3762" s="13"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3762" s="13" t="inlineStr">
        <is>
          <t>{2}{G}</t>
        </is>
      </c>
      <c r="F3762" s="13" t="inlineStr">
        <is>
          <t>Verde</t>
        </is>
      </c>
      <c r="G3762" s="8" t="n">
        <v>0.3</v>
      </c>
      <c r="H3762" s="13" t="inlineStr">
        <is>
          <t>Magic Origins (ORI)</t>
        </is>
      </c>
      <c r="I3762" s="13" t="inlineStr">
        <is>
          <t>Não</t>
        </is>
      </c>
      <c r="J3762" s="13" t="n">
        <v>2015</v>
      </c>
      <c r="L3762" s="13" t="n">
        <v>1</v>
      </c>
      <c r="M3762" s="8">
        <f>L3762*G3762</f>
        <v/>
      </c>
      <c r="P3762" s="9" t="n"/>
    </row>
    <row r="3763">
      <c r="A3763" s="13" t="inlineStr">
        <is>
          <t>Hour of Promise / Hora da Promessa</t>
        </is>
      </c>
      <c r="B3763" s="13" t="inlineStr">
        <is>
          <t>Sorcery / Feitiço</t>
        </is>
      </c>
      <c r="C3763" s="13" t="inlineStr">
        <is>
          <t>Rare / Rara</t>
        </is>
      </c>
      <c r="D3763" s="13" t="inlineStr">
        <is>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is>
      </c>
      <c r="E3763" s="13" t="inlineStr">
        <is>
          <t>{4}{G}</t>
        </is>
      </c>
      <c r="F3763" s="13" t="inlineStr">
        <is>
          <t>Verde</t>
        </is>
      </c>
      <c r="G3763" s="8" t="n">
        <v>0.5</v>
      </c>
      <c r="H3763" s="13" t="inlineStr">
        <is>
          <t>Hour of Devastation (HOU)</t>
        </is>
      </c>
      <c r="I3763" s="13" t="inlineStr">
        <is>
          <t>Não</t>
        </is>
      </c>
      <c r="J3763" s="13" t="n">
        <v>2017</v>
      </c>
      <c r="L3763" s="13" t="n">
        <v>1</v>
      </c>
      <c r="M3763" s="8">
        <f>L3763*G3763</f>
        <v/>
      </c>
      <c r="P3763" s="9" t="n"/>
    </row>
    <row r="3764">
      <c r="A3764" s="13" t="inlineStr">
        <is>
          <t>Curse of the Werefox / Maldição da Mulher-raposa</t>
        </is>
      </c>
      <c r="B3764" s="13" t="inlineStr">
        <is>
          <t>Sorcery / Feitiço</t>
        </is>
      </c>
      <c r="C3764" s="13" t="inlineStr">
        <is>
          <t>Common / Comum</t>
        </is>
      </c>
      <c r="D3764" s="13" t="inlineStr">
        <is>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is>
      </c>
      <c r="E3764" s="13" t="inlineStr">
        <is>
          <t>{2}{G}</t>
        </is>
      </c>
      <c r="F3764" s="13" t="inlineStr">
        <is>
          <t>Verde</t>
        </is>
      </c>
      <c r="G3764" s="8" t="n">
        <v>0.25</v>
      </c>
      <c r="H3764" s="13" t="inlineStr">
        <is>
          <t>Wilds of Eldraine (WOE)</t>
        </is>
      </c>
      <c r="I3764" s="13" t="inlineStr">
        <is>
          <t>Sim</t>
        </is>
      </c>
      <c r="J3764" s="13" t="n">
        <v>2023</v>
      </c>
      <c r="L3764" s="13" t="n">
        <v>1</v>
      </c>
      <c r="M3764" s="8">
        <f>L3764*G3764</f>
        <v/>
      </c>
      <c r="P3764" s="9" t="n"/>
    </row>
    <row r="3765">
      <c r="A3765" s="13" t="inlineStr">
        <is>
          <t>Attune with Aether / Harmonizar-se com o Éter</t>
        </is>
      </c>
      <c r="B3765" s="13" t="inlineStr">
        <is>
          <t>Sorcery / Feitiço</t>
        </is>
      </c>
      <c r="C3765" s="13" t="inlineStr">
        <is>
          <t>Common / Comum</t>
        </is>
      </c>
      <c r="D3765" s="13" t="inlineStr">
        <is>
          <t>Search your library for a basic land card, reveal it, put it into your hand, then shuffle. You get {E}{E} (two energy counters). / Procure um card de terreno básico em seu grimório, revele-o, coloque-o em sua mão e, depois, embaralhe seu grimório. Você recebe {E}{E} (dois marcadores de energia).</t>
        </is>
      </c>
      <c r="E3765" s="13" t="inlineStr">
        <is>
          <t>{G}</t>
        </is>
      </c>
      <c r="F3765" s="13" t="inlineStr">
        <is>
          <t>Verde</t>
        </is>
      </c>
      <c r="G3765" s="8" t="n">
        <v>0.07000000000000001</v>
      </c>
      <c r="H3765" s="13" t="inlineStr">
        <is>
          <t>Kaladesh (KLD)</t>
        </is>
      </c>
      <c r="I3765" s="13" t="inlineStr">
        <is>
          <t>Não</t>
        </is>
      </c>
      <c r="J3765" s="13" t="n">
        <v>2016</v>
      </c>
      <c r="L3765" s="13" t="n">
        <v>1</v>
      </c>
      <c r="M3765" s="8">
        <f>L3765*G3765</f>
        <v/>
      </c>
      <c r="P3765" s="9" t="n"/>
    </row>
    <row r="3766">
      <c r="A3766" s="13" t="inlineStr">
        <is>
          <t>Sylvan Scrying / Auspício Silvestre</t>
        </is>
      </c>
      <c r="B3766" s="13" t="inlineStr">
        <is>
          <t>Sorcery / Feitiço</t>
        </is>
      </c>
      <c r="C3766" s="13" t="inlineStr">
        <is>
          <t>Uncommon / Incomum</t>
        </is>
      </c>
      <c r="D3766" s="13" t="inlineStr">
        <is>
          <t>Search your library for a land card, reveal it, put it into your hand, then shuffle. / Procure um card de terreno em seu grimório, revele-o e coloque-o em sua mão. Depois, embaralhe seu grimório.</t>
        </is>
      </c>
      <c r="E3766" s="13" t="inlineStr">
        <is>
          <t>{1}{G}</t>
        </is>
      </c>
      <c r="F3766" s="13" t="inlineStr">
        <is>
          <t>Verde</t>
        </is>
      </c>
      <c r="G3766" s="8" t="n">
        <v>0.34</v>
      </c>
      <c r="H3766" s="13" t="inlineStr">
        <is>
          <t>Battle for Zendikar (BFZ)</t>
        </is>
      </c>
      <c r="I3766" s="13" t="inlineStr">
        <is>
          <t>Não</t>
        </is>
      </c>
      <c r="J3766" s="13" t="n">
        <v>2015</v>
      </c>
      <c r="L3766" s="13" t="n">
        <v>2</v>
      </c>
      <c r="M3766" s="8">
        <f>L3766*G3766</f>
        <v/>
      </c>
      <c r="P3766" s="9" t="n"/>
    </row>
    <row r="3767">
      <c r="A3767" s="13" t="inlineStr">
        <is>
          <t>Hunt the Weak / Caçar os Fracos</t>
        </is>
      </c>
      <c r="B3767" s="13" t="inlineStr">
        <is>
          <t>Sorcery / Feitiço</t>
        </is>
      </c>
      <c r="C3767" s="13" t="inlineStr">
        <is>
          <t>Common / Comum</t>
        </is>
      </c>
      <c r="D3767" s="13"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3767" s="13" t="inlineStr">
        <is>
          <t>{3}{G}</t>
        </is>
      </c>
      <c r="F3767" s="13" t="inlineStr">
        <is>
          <t>Verde</t>
        </is>
      </c>
      <c r="G3767" s="8" t="n">
        <v>0.03</v>
      </c>
      <c r="H3767" s="13" t="inlineStr">
        <is>
          <t>Kaladesh (KLD)</t>
        </is>
      </c>
      <c r="I3767" s="13" t="inlineStr">
        <is>
          <t>Não</t>
        </is>
      </c>
      <c r="J3767" s="13" t="n">
        <v>2016</v>
      </c>
      <c r="L3767" s="13" t="n">
        <v>4</v>
      </c>
      <c r="M3767" s="8">
        <f>L3767*G3767</f>
        <v/>
      </c>
      <c r="P3767" s="9" t="n"/>
    </row>
    <row r="3768">
      <c r="A3768" s="13" t="inlineStr">
        <is>
          <t>Cartouche of Strength / Cártula da Força</t>
        </is>
      </c>
      <c r="B3768" s="13" t="inlineStr">
        <is>
          <t>Enchantment — Aura Cartouche / Encantamento — Aura Cártula</t>
        </is>
      </c>
      <c r="C3768" s="13" t="inlineStr">
        <is>
          <t>Common / Comum</t>
        </is>
      </c>
      <c r="D3768" s="13" t="inlineStr">
        <is>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is>
      </c>
      <c r="E3768" s="13" t="inlineStr">
        <is>
          <t>{2}{G}</t>
        </is>
      </c>
      <c r="F3768" s="13" t="inlineStr">
        <is>
          <t>Verde</t>
        </is>
      </c>
      <c r="G3768" s="8" t="n">
        <v>0.06</v>
      </c>
      <c r="H3768" s="13" t="inlineStr">
        <is>
          <t>Amonkhet (AKH)</t>
        </is>
      </c>
      <c r="I3768" s="13" t="inlineStr">
        <is>
          <t>Não</t>
        </is>
      </c>
      <c r="J3768" s="13" t="n">
        <v>2017</v>
      </c>
      <c r="L3768" s="13" t="n">
        <v>2</v>
      </c>
      <c r="M3768" s="8">
        <f>L3768*G3768</f>
        <v/>
      </c>
      <c r="P3768" s="9" t="n"/>
    </row>
    <row r="3769">
      <c r="A3769" s="13" t="inlineStr">
        <is>
          <t>Setessan Training / Treinamento Setessano</t>
        </is>
      </c>
      <c r="B3769" s="13" t="inlineStr">
        <is>
          <t>Enchantment — Aura / Encantamento — Aura</t>
        </is>
      </c>
      <c r="C3769" s="13" t="inlineStr">
        <is>
          <t>Common / Comum</t>
        </is>
      </c>
      <c r="D3769" s="13" t="inlineStr">
        <is>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is>
      </c>
      <c r="E3769" s="13" t="inlineStr">
        <is>
          <t>{1}{G}</t>
        </is>
      </c>
      <c r="F3769" s="13" t="inlineStr">
        <is>
          <t>Verde</t>
        </is>
      </c>
      <c r="G3769" s="8" t="n">
        <v>0.04</v>
      </c>
      <c r="H3769" s="13" t="inlineStr">
        <is>
          <t>Theros Beyond Death (THB)</t>
        </is>
      </c>
      <c r="I3769" s="13" t="inlineStr">
        <is>
          <t>Não</t>
        </is>
      </c>
      <c r="J3769" s="13" t="n">
        <v>2020</v>
      </c>
      <c r="L3769" s="13" t="n">
        <v>1</v>
      </c>
      <c r="M3769" s="8">
        <f>L3769*G3769</f>
        <v/>
      </c>
      <c r="P3769" s="9" t="n"/>
    </row>
    <row r="3770">
      <c r="A3770" s="13" t="inlineStr">
        <is>
          <t>Mantle of Webs / Manto de Teias</t>
        </is>
      </c>
      <c r="B3770" s="13" t="inlineStr">
        <is>
          <t>Enchantment — Aura / Encantamento — Aura</t>
        </is>
      </c>
      <c r="C3770" s="13" t="inlineStr">
        <is>
          <t>Common / Comum</t>
        </is>
      </c>
      <c r="D3770" s="13" t="inlineStr">
        <is>
          <t>Enchant creature Enchanted creature gets +1/+3 and has reach. (It can block creatures with flying.) / Encantar criaturaA criatura encantada recebe +1/+3 e tem alcance. (Ela pode bloquear criaturas com voar.)</t>
        </is>
      </c>
      <c r="E3770" s="13" t="inlineStr">
        <is>
          <t>{1}{G}</t>
        </is>
      </c>
      <c r="F3770" s="13" t="inlineStr">
        <is>
          <t>Verde</t>
        </is>
      </c>
      <c r="G3770" s="8" t="n">
        <v>0.06</v>
      </c>
      <c r="H3770" s="13" t="inlineStr">
        <is>
          <t>Magic Origins (ORI)</t>
        </is>
      </c>
      <c r="I3770" s="13" t="inlineStr">
        <is>
          <t>Não</t>
        </is>
      </c>
      <c r="J3770" s="13" t="n">
        <v>2015</v>
      </c>
      <c r="L3770" s="13" t="n">
        <v>1</v>
      </c>
      <c r="M3770" s="8">
        <f>L3770*G3770</f>
        <v/>
      </c>
      <c r="P3770" s="9" t="n"/>
    </row>
    <row r="3771">
      <c r="A3771" s="13" t="inlineStr">
        <is>
          <t>Crystal Carapace / Carapaça de Cristal</t>
        </is>
      </c>
      <c r="B3771" s="13" t="inlineStr">
        <is>
          <t>Enchantment — Aura / Encantamento — Aura</t>
        </is>
      </c>
      <c r="C3771" s="13" t="inlineStr">
        <is>
          <t>Common / Comum</t>
        </is>
      </c>
      <c r="D3771" s="13" t="inlineStr">
        <is>
          <t>Enchant creature Enchanted creature gets +3/+3 and has ward {2}. Cycling {2} ({2}, Discard this card: Draw a card.) / Encantar criatura A criatura encantada recebe +3/+3 e tem salvaguarda {2}. Reciclar {2} ({2}, descarte este card: Compre um card.)</t>
        </is>
      </c>
      <c r="E3771" s="13" t="inlineStr">
        <is>
          <t>{3}{G}</t>
        </is>
      </c>
      <c r="F3771" s="13" t="inlineStr">
        <is>
          <t>Verde</t>
        </is>
      </c>
      <c r="G3771" s="8" t="n">
        <v>0.25</v>
      </c>
      <c r="H3771" s="13" t="inlineStr">
        <is>
          <t>March of the Machine (MOM)</t>
        </is>
      </c>
      <c r="I3771" s="13" t="inlineStr">
        <is>
          <t>Sim</t>
        </is>
      </c>
      <c r="J3771" s="13" t="n">
        <v>2023</v>
      </c>
      <c r="L3771" s="13" t="n">
        <v>1</v>
      </c>
      <c r="M3771" s="8">
        <f>L3771*G3771</f>
        <v/>
      </c>
      <c r="P3771" s="9" t="n"/>
    </row>
    <row r="3772">
      <c r="A3772" s="13" t="inlineStr">
        <is>
          <t>Soldier</t>
        </is>
      </c>
      <c r="B3772" s="13" t="inlineStr">
        <is>
          <t>Token</t>
        </is>
      </c>
      <c r="C3772" s="13" t="inlineStr">
        <is>
          <t>Token</t>
        </is>
      </c>
      <c r="D3772" s="13" t="inlineStr">
        <is>
          <t>Token</t>
        </is>
      </c>
      <c r="E3772" s="13" t="inlineStr">
        <is>
          <t>-</t>
        </is>
      </c>
      <c r="F3772" s="13" t="inlineStr">
        <is>
          <t>-</t>
        </is>
      </c>
      <c r="G3772" s="8" t="n">
        <v>0.5</v>
      </c>
      <c r="H3772" s="13" t="inlineStr">
        <is>
          <t>Marvel Secret Lair (MSH)</t>
        </is>
      </c>
      <c r="I3772" s="13" t="inlineStr">
        <is>
          <t>Não</t>
        </is>
      </c>
      <c r="J3772" s="13" t="n">
        <v>2026</v>
      </c>
      <c r="K3772" s="10" t="n">
        <v>46024</v>
      </c>
      <c r="L3772" s="13" t="n">
        <v>3</v>
      </c>
      <c r="M3772" s="8">
        <f>L3772*G3772</f>
        <v/>
      </c>
      <c r="P3772" s="9" t="n"/>
    </row>
    <row r="3773">
      <c r="A3773" s="13" t="inlineStr">
        <is>
          <t>Robot Villain</t>
        </is>
      </c>
      <c r="B3773" s="13" t="inlineStr">
        <is>
          <t>Token</t>
        </is>
      </c>
      <c r="C3773" s="13" t="inlineStr">
        <is>
          <t>Token</t>
        </is>
      </c>
      <c r="D3773" s="13" t="inlineStr">
        <is>
          <t>Token</t>
        </is>
      </c>
      <c r="E3773" s="13" t="inlineStr">
        <is>
          <t>-</t>
        </is>
      </c>
      <c r="F3773" s="13" t="inlineStr">
        <is>
          <t>-</t>
        </is>
      </c>
      <c r="G3773" s="8" t="n">
        <v>0.99</v>
      </c>
      <c r="H3773" s="13" t="inlineStr">
        <is>
          <t>Marvel Secret Lair (MSH)</t>
        </is>
      </c>
      <c r="I3773" s="13" t="inlineStr">
        <is>
          <t>Não</t>
        </is>
      </c>
      <c r="J3773" s="13" t="n">
        <v>2026</v>
      </c>
      <c r="K3773" s="10" t="n">
        <v>46055</v>
      </c>
      <c r="L3773" s="13" t="n">
        <v>1</v>
      </c>
      <c r="M3773" s="8">
        <f>L3773*G3773</f>
        <v/>
      </c>
      <c r="P3773" s="9" t="n"/>
    </row>
    <row r="3774">
      <c r="A3774" s="13" t="inlineStr">
        <is>
          <t>Villain</t>
        </is>
      </c>
      <c r="B3774" s="13" t="inlineStr">
        <is>
          <t>Token</t>
        </is>
      </c>
      <c r="C3774" s="13" t="inlineStr">
        <is>
          <t>Token</t>
        </is>
      </c>
      <c r="D3774" s="13" t="inlineStr">
        <is>
          <t>Token</t>
        </is>
      </c>
      <c r="E3774" s="13" t="inlineStr">
        <is>
          <t>-</t>
        </is>
      </c>
      <c r="F3774" s="13" t="inlineStr">
        <is>
          <t>-</t>
        </is>
      </c>
      <c r="G3774" s="8" t="n">
        <v>0.5</v>
      </c>
      <c r="H3774" s="13" t="inlineStr">
        <is>
          <t>Marvel Secret Lair (MSH)</t>
        </is>
      </c>
      <c r="I3774" s="13" t="inlineStr">
        <is>
          <t>Não</t>
        </is>
      </c>
      <c r="J3774" s="13" t="n">
        <v>2026</v>
      </c>
      <c r="K3774" s="10" t="n">
        <v>46024</v>
      </c>
      <c r="L3774" s="13" t="n">
        <v>2</v>
      </c>
      <c r="M3774" s="8">
        <f>L3774*G3774</f>
        <v/>
      </c>
      <c r="P3774" s="9" t="n"/>
    </row>
    <row r="3775">
      <c r="A3775" s="13" t="inlineStr">
        <is>
          <t>Mountain / Montanha</t>
        </is>
      </c>
      <c r="B3775" s="13" t="inlineStr">
        <is>
          <t>Basic Land — Mountain / Terreno Básico — Montanha</t>
        </is>
      </c>
      <c r="C3775" s="13" t="inlineStr">
        <is>
          <t>Common / Comum</t>
        </is>
      </c>
      <c r="D3775" s="13" t="inlineStr">
        <is>
          <t>({T}: Add {R}.) / R</t>
        </is>
      </c>
      <c r="F3775" s="13" t="inlineStr">
        <is>
          <t>Vermelho</t>
        </is>
      </c>
      <c r="G3775" s="8" t="n">
        <v>0.89</v>
      </c>
      <c r="H3775" s="13" t="inlineStr">
        <is>
          <t>Marvel Super Heroes (MSH)</t>
        </is>
      </c>
      <c r="I3775" s="13" t="inlineStr">
        <is>
          <t>Não</t>
        </is>
      </c>
      <c r="J3775" s="13" t="n">
        <v>2026</v>
      </c>
      <c r="L3775" s="13" t="n">
        <v>1</v>
      </c>
      <c r="M3775" s="8">
        <f>L3775*G3775</f>
        <v/>
      </c>
      <c r="P3775" s="9" t="n"/>
    </row>
    <row r="3776">
      <c r="A3776" s="13" t="inlineStr">
        <is>
          <t>Castle Doom</t>
        </is>
      </c>
      <c r="B3776" s="13" t="inlineStr">
        <is>
          <t>Land</t>
        </is>
      </c>
      <c r="C3776" s="13" t="inlineStr">
        <is>
          <t>Rare / Rara</t>
        </is>
      </c>
      <c r="D3776" s="13" t="inlineStr">
        <is>
          <t>{T}: Add {C}. {T}: Add one mana of any color. Spend this mana only to cast an artifact spell. {3}, {T}, Sacrifice an artifact: Create a 3/3 colorless Robot Villain artifact creature token named Doombot. Activate only as a sorcery.</t>
        </is>
      </c>
      <c r="F3776" s="13" t="inlineStr">
        <is>
          <t>Incolor</t>
        </is>
      </c>
      <c r="G3776" s="8" t="n">
        <v>11.18</v>
      </c>
      <c r="H3776" s="13" t="inlineStr">
        <is>
          <t>Marvel Super Heroes (MSH)</t>
        </is>
      </c>
      <c r="I3776" s="13" t="inlineStr">
        <is>
          <t>Não</t>
        </is>
      </c>
      <c r="J3776" s="13" t="n">
        <v>2026</v>
      </c>
      <c r="L3776" s="13" t="n">
        <v>1</v>
      </c>
      <c r="M3776" s="8">
        <f>L3776*G3776</f>
        <v/>
      </c>
      <c r="P3776" s="9" t="n"/>
    </row>
    <row r="3777">
      <c r="A3777" s="13" t="inlineStr">
        <is>
          <t>Invisible Woman, Sue Storm</t>
        </is>
      </c>
      <c r="B3777" s="13" t="inlineStr">
        <is>
          <t>Legendary Creature — Human Hero</t>
        </is>
      </c>
      <c r="C3777" s="13" t="inlineStr">
        <is>
          <t>Uncommon / Incomum</t>
        </is>
      </c>
      <c r="D3777" s="13" t="inlineStr">
        <is>
          <t>Lifelink Whenever you put one or more +1/+1 counters on one or more other Heroes you control, you may create a 0/4 colorless Wall creature token with defender.</t>
        </is>
      </c>
      <c r="E3777" s="13" t="inlineStr">
        <is>
          <t>{4}{W}</t>
        </is>
      </c>
      <c r="F3777" s="13" t="inlineStr">
        <is>
          <t>Branco</t>
        </is>
      </c>
      <c r="G3777" s="8" t="n">
        <v>1.33</v>
      </c>
      <c r="H3777" s="13" t="inlineStr">
        <is>
          <t>Marvel Super Heroes (MSH) SC</t>
        </is>
      </c>
      <c r="I3777" s="13" t="inlineStr">
        <is>
          <t>Não</t>
        </is>
      </c>
      <c r="J3777" s="13" t="n">
        <v>2026</v>
      </c>
      <c r="K3777" s="10" t="n">
        <v>46144</v>
      </c>
      <c r="L3777" s="13" t="n">
        <v>1</v>
      </c>
      <c r="M3777" s="8">
        <f>L3777*G3777</f>
        <v/>
      </c>
      <c r="P3777" s="9" t="n"/>
    </row>
    <row r="3778">
      <c r="A3778" s="13" t="inlineStr">
        <is>
          <t>Speed, Young Avenger</t>
        </is>
      </c>
      <c r="B3778" s="13" t="inlineStr">
        <is>
          <t>Legendary Creature — Mutant Hero</t>
        </is>
      </c>
      <c r="C3778" s="13" t="inlineStr">
        <is>
          <t>Uncommon / Incomum</t>
        </is>
      </c>
      <c r="D3778" s="13" t="inlineStr">
        <is>
          <t>Haste Whenever you cast a noncreature spell, you may pay {1}. When you do, target creature with haste can't be blocked this turn except by creatures with haste.</t>
        </is>
      </c>
      <c r="E3778" s="13" t="inlineStr">
        <is>
          <t>{1}{R}</t>
        </is>
      </c>
      <c r="F3778" s="13" t="inlineStr">
        <is>
          <t>Vermelho</t>
        </is>
      </c>
      <c r="G3778" s="8" t="n">
        <v>0.19</v>
      </c>
      <c r="H3778" s="13" t="inlineStr">
        <is>
          <t>Marvel Super Heroes (MSH)</t>
        </is>
      </c>
      <c r="I3778" s="13" t="inlineStr">
        <is>
          <t>Sim</t>
        </is>
      </c>
      <c r="J3778" s="13" t="n">
        <v>2026</v>
      </c>
      <c r="K3778" s="10" t="n">
        <v>46055</v>
      </c>
      <c r="L3778" s="13" t="n">
        <v>1</v>
      </c>
      <c r="M3778" s="8">
        <f>L3778*G3778</f>
        <v/>
      </c>
      <c r="P3778" s="9" t="n"/>
    </row>
    <row r="3779">
      <c r="A3779" s="13" t="inlineStr">
        <is>
          <t>Tigra, Feline Fury</t>
        </is>
      </c>
      <c r="B3779" s="13" t="inlineStr">
        <is>
          <t>Legendary Creature — Cat Human Hero</t>
        </is>
      </c>
      <c r="C3779" s="13" t="inlineStr">
        <is>
          <t>Uncommon / Incomum</t>
        </is>
      </c>
      <c r="D3779" s="13" t="inlineStr">
        <is>
          <t>Flash Trample Whenever you gain life, put a +1/+1 counter on Tigra.</t>
        </is>
      </c>
      <c r="E3779" s="13" t="inlineStr">
        <is>
          <t>{1}{G}</t>
        </is>
      </c>
      <c r="F3779" s="13" t="inlineStr">
        <is>
          <t>Verde</t>
        </is>
      </c>
      <c r="G3779" s="8" t="n">
        <v>0.5</v>
      </c>
      <c r="H3779" s="13" t="inlineStr">
        <is>
          <t>Marvel Super Heroes (MSH)</t>
        </is>
      </c>
      <c r="I3779" s="13" t="inlineStr">
        <is>
          <t>Não</t>
        </is>
      </c>
      <c r="J3779" s="13" t="n">
        <v>2026</v>
      </c>
      <c r="K3779" s="10" t="n">
        <v>46024</v>
      </c>
      <c r="L3779" s="13" t="n">
        <v>1</v>
      </c>
      <c r="M3779" s="8">
        <f>L3779*G3779</f>
        <v/>
      </c>
      <c r="P3779" s="9" t="n"/>
    </row>
    <row r="3780">
      <c r="A3780" s="13" t="inlineStr">
        <is>
          <t>Villainous Hideout</t>
        </is>
      </c>
      <c r="B3780" s="13" t="inlineStr">
        <is>
          <t>Land</t>
        </is>
      </c>
      <c r="C3780" s="13" t="inlineStr">
        <is>
          <t>Uncommon / Incomum</t>
        </is>
      </c>
      <c r="D3780" s="13" t="inlineStr">
        <is>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is>
      </c>
      <c r="F3780" s="13" t="inlineStr">
        <is>
          <t>Incolor</t>
        </is>
      </c>
      <c r="G3780" s="8" t="n">
        <v>0.6</v>
      </c>
      <c r="H3780" s="13" t="inlineStr">
        <is>
          <t>Marvel Super Heroes (MSH)</t>
        </is>
      </c>
      <c r="I3780" s="13" t="inlineStr">
        <is>
          <t>Não</t>
        </is>
      </c>
      <c r="J3780" s="13" t="n">
        <v>2026</v>
      </c>
      <c r="L3780" s="13" t="n">
        <v>1</v>
      </c>
      <c r="M3780" s="8">
        <f>L3780*G3780</f>
        <v/>
      </c>
      <c r="P3780" s="9" t="n"/>
    </row>
    <row r="3781">
      <c r="A3781" s="13" t="inlineStr">
        <is>
          <t>Dependable Quinjet</t>
        </is>
      </c>
      <c r="B3781" s="13" t="inlineStr">
        <is>
          <t>Artifact — Vehicle</t>
        </is>
      </c>
      <c r="C3781" s="13" t="inlineStr">
        <is>
          <t>Common / Comum</t>
        </is>
      </c>
      <c r="D3781" s="13" t="inlineStr">
        <is>
          <t>Flying {T}: Add one mana of any color. Crew 4 (Tap any number of creatures you control with total power 4 or more: This Vehicle becomes an artifact creature until end of turn.)</t>
        </is>
      </c>
      <c r="E3781" s="13" t="inlineStr">
        <is>
          <t>{3}</t>
        </is>
      </c>
      <c r="F3781" s="13" t="inlineStr">
        <is>
          <t>Incolor</t>
        </is>
      </c>
      <c r="G3781" s="8" t="n">
        <v>0.12</v>
      </c>
      <c r="H3781" s="13" t="inlineStr">
        <is>
          <t>Marvel Super Heroes (MSH)</t>
        </is>
      </c>
      <c r="I3781" s="13" t="inlineStr">
        <is>
          <t>Não</t>
        </is>
      </c>
      <c r="J3781" s="13" t="n">
        <v>2026</v>
      </c>
      <c r="K3781" s="10" t="n">
        <v>46084</v>
      </c>
      <c r="L3781" s="13" t="n">
        <v>1</v>
      </c>
      <c r="M3781" s="8">
        <f>L3781*G3781</f>
        <v/>
      </c>
      <c r="P3781" s="9" t="n"/>
    </row>
    <row r="3782">
      <c r="A3782" s="13" t="inlineStr">
        <is>
          <t>Aerial Doombot</t>
        </is>
      </c>
      <c r="B3782" s="13" t="inlineStr">
        <is>
          <t>Artifact Creature — Robot Villain</t>
        </is>
      </c>
      <c r="C3782" s="13" t="inlineStr">
        <is>
          <t>Common / Comum</t>
        </is>
      </c>
      <c r="D3782" s="13" t="inlineStr">
        <is>
          <t>Flying Power-up — {5}{U}: Put three +1/+1 counters on this creature. (Activate each power-up ability only once. Reduce the cost by its mana cost if it entered this turn.)</t>
        </is>
      </c>
      <c r="E3782" s="13" t="inlineStr">
        <is>
          <t>{U}</t>
        </is>
      </c>
      <c r="F3782" s="13" t="inlineStr">
        <is>
          <t>Azul</t>
        </is>
      </c>
      <c r="G3782" s="8" t="n">
        <v>0.05</v>
      </c>
      <c r="H3782" s="13" t="inlineStr">
        <is>
          <t>Marvel Super Heroes (MSH)</t>
        </is>
      </c>
      <c r="I3782" s="13" t="inlineStr">
        <is>
          <t>Não</t>
        </is>
      </c>
      <c r="J3782" s="13" t="n">
        <v>2026</v>
      </c>
      <c r="K3782" s="10" t="n">
        <v>46023</v>
      </c>
      <c r="L3782" s="13" t="n">
        <v>2</v>
      </c>
      <c r="M3782" s="8">
        <f>L3782*G3782</f>
        <v/>
      </c>
      <c r="P3782" s="9" t="n"/>
    </row>
    <row r="3783">
      <c r="A3783" s="13" t="inlineStr">
        <is>
          <t>Lightning Strike / Golpe Relampejante</t>
        </is>
      </c>
      <c r="B3783" s="13" t="inlineStr">
        <is>
          <t>Instant / Mágica Instantânea</t>
        </is>
      </c>
      <c r="C3783" s="13" t="inlineStr">
        <is>
          <t>Common / Comum</t>
        </is>
      </c>
      <c r="D3783" s="13" t="inlineStr">
        <is>
          <t>Lightning Strike deals 3 damage to any target. / Golpe Relampejante causa 3 pontos de dano à criatura ou ao jogador alvo.</t>
        </is>
      </c>
      <c r="E3783" s="13" t="inlineStr">
        <is>
          <t>{1}{R}</t>
        </is>
      </c>
      <c r="F3783" s="13" t="inlineStr">
        <is>
          <t>Vermelho</t>
        </is>
      </c>
      <c r="G3783" s="8" t="n">
        <v>0.04</v>
      </c>
      <c r="H3783" s="13" t="inlineStr">
        <is>
          <t>Marvel Super Heroes (MSH)</t>
        </is>
      </c>
      <c r="I3783" s="13" t="inlineStr">
        <is>
          <t>Não</t>
        </is>
      </c>
      <c r="J3783" s="13" t="n">
        <v>2026</v>
      </c>
      <c r="L3783" s="13" t="n">
        <v>1</v>
      </c>
      <c r="M3783" s="8">
        <f>L3783*G3783</f>
        <v/>
      </c>
      <c r="P3783" s="9" t="n"/>
    </row>
    <row r="3784">
      <c r="A3784" s="13" t="inlineStr">
        <is>
          <t>Guerrilla Gorilla</t>
        </is>
      </c>
      <c r="B3784" s="13" t="inlineStr">
        <is>
          <t>Creature — Ape Soldier Hero</t>
        </is>
      </c>
      <c r="C3784" s="13" t="inlineStr">
        <is>
          <t>Common / Comum</t>
        </is>
      </c>
      <c r="D3784" s="13" t="inlineStr">
        <is>
          <t>Reach Sacrifice this creature: Destroy target noncreature artifact or noncreature enchantment. Activate only as a sorcery.</t>
        </is>
      </c>
      <c r="E3784" s="13" t="inlineStr">
        <is>
          <t>{1}{G}</t>
        </is>
      </c>
      <c r="F3784" s="13" t="inlineStr">
        <is>
          <t>Verde</t>
        </is>
      </c>
      <c r="G3784" s="8" t="n">
        <v>0.12</v>
      </c>
      <c r="H3784" s="13" t="inlineStr">
        <is>
          <t>Marvel Super Heroes (MSH)</t>
        </is>
      </c>
      <c r="I3784" s="13" t="inlineStr">
        <is>
          <t>Não</t>
        </is>
      </c>
      <c r="J3784" s="13" t="n">
        <v>2026</v>
      </c>
      <c r="K3784" s="10" t="n">
        <v>46055</v>
      </c>
      <c r="L3784" s="13" t="n">
        <v>1</v>
      </c>
      <c r="M3784" s="8">
        <f>L3784*G3784</f>
        <v/>
      </c>
      <c r="P3784" s="9" t="n"/>
    </row>
    <row r="3785">
      <c r="A3785" s="13" t="inlineStr">
        <is>
          <t>Bold Biochemist</t>
        </is>
      </c>
      <c r="B3785" s="13" t="inlineStr">
        <is>
          <t>Creature — Human Scientist</t>
        </is>
      </c>
      <c r="C3785" s="13" t="inlineStr">
        <is>
          <t>Common / Comum</t>
        </is>
      </c>
      <c r="D3785" s="13" t="inlineStr">
        <is>
          <t>Power-up — {5}{U}: Put a +1/+1 counter on this creature and draw two cards. (Activate each power-up ability only once. Reduce the cost by its mana cost if it entered this turn.)</t>
        </is>
      </c>
      <c r="E3785" s="13" t="inlineStr">
        <is>
          <t>{1}{U}</t>
        </is>
      </c>
      <c r="F3785" s="13" t="inlineStr">
        <is>
          <t>Azul</t>
        </is>
      </c>
      <c r="G3785" s="8" t="n">
        <v>0.09</v>
      </c>
      <c r="H3785" s="13" t="inlineStr">
        <is>
          <t>Marvel Super Heroes (MSH)</t>
        </is>
      </c>
      <c r="I3785" s="13" t="inlineStr">
        <is>
          <t>Não</t>
        </is>
      </c>
      <c r="J3785" s="13" t="n">
        <v>2026</v>
      </c>
      <c r="K3785" s="10" t="n">
        <v>46082</v>
      </c>
      <c r="L3785" s="13" t="n">
        <v>2</v>
      </c>
      <c r="M3785" s="8">
        <f>L3785*G3785</f>
        <v/>
      </c>
      <c r="P3785" s="9" t="n"/>
    </row>
    <row r="3786">
      <c r="A3786" s="13" t="inlineStr">
        <is>
          <t>Hero in Training</t>
        </is>
      </c>
      <c r="B3786" s="13" t="inlineStr">
        <is>
          <t>Creature — Human Hero</t>
        </is>
      </c>
      <c r="C3786" s="13" t="inlineStr">
        <is>
          <t>Common / Comum</t>
        </is>
      </c>
      <c r="D3786" s="13" t="inlineStr">
        <is>
          <t>When this creature enters, draw a card. If you control another Hero, you gain 2 life.</t>
        </is>
      </c>
      <c r="E3786" s="13" t="inlineStr">
        <is>
          <t>{2}{W}</t>
        </is>
      </c>
      <c r="F3786" s="13" t="inlineStr">
        <is>
          <t>Branco</t>
        </is>
      </c>
      <c r="G3786" s="8" t="n">
        <v>0.09</v>
      </c>
      <c r="H3786" s="13" t="inlineStr">
        <is>
          <t>Marvel Super Heroes (MSH)</t>
        </is>
      </c>
      <c r="I3786" s="13" t="inlineStr">
        <is>
          <t>Não</t>
        </is>
      </c>
      <c r="J3786" s="13" t="n">
        <v>2026</v>
      </c>
      <c r="K3786" s="10" t="n">
        <v>46055</v>
      </c>
      <c r="L3786" s="13" t="n">
        <v>3</v>
      </c>
      <c r="M3786" s="8">
        <f>L3786*G3786</f>
        <v/>
      </c>
      <c r="P3786" s="9" t="n"/>
    </row>
    <row r="3787">
      <c r="A3787" s="13" t="inlineStr">
        <is>
          <t>HYDRA Infiltration</t>
        </is>
      </c>
      <c r="B3787" s="13" t="inlineStr">
        <is>
          <t>Enchantment</t>
        </is>
      </c>
      <c r="C3787" s="13" t="inlineStr">
        <is>
          <t>Common / Comum</t>
        </is>
      </c>
      <c r="D3787" s="13" t="inlineStr">
        <is>
          <t>When this enchantment enters, target opponent discards two cards. Whenever a creature you control attacks alone, target opponent loses 1 life and you gain 1 life.</t>
        </is>
      </c>
      <c r="E3787" s="13" t="inlineStr">
        <is>
          <t>{3}{B}</t>
        </is>
      </c>
      <c r="F3787" s="13" t="inlineStr">
        <is>
          <t>Preto</t>
        </is>
      </c>
      <c r="G3787" s="8" t="n">
        <v>0.11</v>
      </c>
      <c r="H3787" s="13" t="inlineStr">
        <is>
          <t>Marvel Super Heroes (MSH)</t>
        </is>
      </c>
      <c r="I3787" s="13" t="inlineStr">
        <is>
          <t>Não</t>
        </is>
      </c>
      <c r="J3787" s="13" t="n">
        <v>2026</v>
      </c>
      <c r="L3787" s="13" t="n">
        <v>1</v>
      </c>
      <c r="M3787" s="8">
        <f>L3787*G3787</f>
        <v/>
      </c>
      <c r="P3787" s="9" t="n"/>
    </row>
    <row r="3788">
      <c r="A3788" s="13" t="inlineStr">
        <is>
          <t>S.H.I.E.L.D. Spy Kit</t>
        </is>
      </c>
      <c r="B3788" s="13" t="inlineStr">
        <is>
          <t>Artifact — Equipment</t>
        </is>
      </c>
      <c r="C3788" s="13" t="inlineStr">
        <is>
          <t>Common / Comum</t>
        </is>
      </c>
      <c r="D3788" s="13" t="inlineStr">
        <is>
          <t>Equipped creature gets +1/+1. Whenever equipped creature attacks alone, untap it and scry 1. (Look at the top card of your library. You may put that card on the bottom.) Equip {1} ({1}: Attach to target creature you control. Equip only as a sorcery.)</t>
        </is>
      </c>
      <c r="E3788" s="13" t="inlineStr">
        <is>
          <t>{W}</t>
        </is>
      </c>
      <c r="F3788" s="13" t="inlineStr">
        <is>
          <t>Branco</t>
        </is>
      </c>
      <c r="G3788" s="8" t="n">
        <v>0.22</v>
      </c>
      <c r="H3788" s="13" t="inlineStr">
        <is>
          <t>Marvel Super Heroes (MSH)</t>
        </is>
      </c>
      <c r="I3788" s="13" t="inlineStr">
        <is>
          <t>Sim</t>
        </is>
      </c>
      <c r="J3788" s="13" t="n">
        <v>2026</v>
      </c>
      <c r="L3788" s="13" t="n">
        <v>1</v>
      </c>
      <c r="M3788" s="8">
        <f>L3788*G3788</f>
        <v/>
      </c>
      <c r="P3788" s="9" t="n"/>
    </row>
    <row r="3789">
      <c r="A3789" s="13" t="inlineStr">
        <is>
          <t>Brawn, Amadeus Cho</t>
        </is>
      </c>
      <c r="B3789" s="13" t="inlineStr">
        <is>
          <t>Legendary Creature — Gamma Scientist Hero</t>
        </is>
      </c>
      <c r="C3789" s="13" t="inlineStr">
        <is>
          <t>Uncommon / Incomum</t>
        </is>
      </c>
      <c r="D3789" s="13" t="inlineStr">
        <is>
          <t>When Brawn enters, draw a card. Power-up — {4}{G/U}: Put a +1/+1 counter on Brawn for each card in your hand. (Activate each power-up ability only once. Reduce the cost by his mana cost if he entered this turn.)</t>
        </is>
      </c>
      <c r="E3789" s="13" t="inlineStr">
        <is>
          <t>{1}{G/U}</t>
        </is>
      </c>
      <c r="F3789" s="13" t="inlineStr">
        <is>
          <t>Verde, Azul</t>
        </is>
      </c>
      <c r="G3789" s="8" t="n">
        <v>7.6</v>
      </c>
      <c r="H3789" s="13" t="inlineStr">
        <is>
          <t>Marvel Super Heroes Commander (MSC)</t>
        </is>
      </c>
      <c r="I3789" s="13" t="inlineStr">
        <is>
          <t>Não</t>
        </is>
      </c>
      <c r="J3789" s="13" t="n">
        <v>2026</v>
      </c>
      <c r="K3789" s="10" t="n">
        <v>46023</v>
      </c>
      <c r="L3789" s="13" t="n">
        <v>1</v>
      </c>
      <c r="M3789" s="8">
        <f>L3789*G3789</f>
        <v/>
      </c>
      <c r="P3789" s="9" t="n"/>
    </row>
    <row r="3790">
      <c r="A3790" s="13" t="inlineStr">
        <is>
          <t>A.I.M. Bot</t>
        </is>
      </c>
      <c r="B3790" s="13" t="inlineStr">
        <is>
          <t>Artifact Creature — Robot Villain</t>
        </is>
      </c>
      <c r="C3790" s="13" t="inlineStr">
        <is>
          <t>Common / Comum</t>
        </is>
      </c>
      <c r="D3790" s="13" t="inlineStr">
        <is>
          <t>Flying (This creature can't be blocked except by creatures with flying or reach.)</t>
        </is>
      </c>
      <c r="E3790" s="13" t="inlineStr">
        <is>
          <t>{2}{U}</t>
        </is>
      </c>
      <c r="F3790" s="13" t="inlineStr">
        <is>
          <t>Azul</t>
        </is>
      </c>
      <c r="G3790" s="8" t="n">
        <v>4.03</v>
      </c>
      <c r="H3790" s="13" t="inlineStr">
        <is>
          <t>Marvel Super Heroes Commander (MSC)</t>
        </is>
      </c>
      <c r="I3790" s="13" t="inlineStr">
        <is>
          <t>Não</t>
        </is>
      </c>
      <c r="J3790" s="13" t="n">
        <v>2026</v>
      </c>
      <c r="K3790" s="10" t="n">
        <v>46083</v>
      </c>
      <c r="L3790" s="13" t="n">
        <v>2</v>
      </c>
      <c r="M3790" s="8">
        <f>L3790*G3790</f>
        <v/>
      </c>
      <c r="P3790" s="9" t="n"/>
    </row>
    <row r="3791">
      <c r="A3791" s="13" t="inlineStr">
        <is>
          <t>Atlantean Cavalry</t>
        </is>
      </c>
      <c r="B3791" s="13" t="inlineStr">
        <is>
          <t>Creature — Merfolk Soldier</t>
        </is>
      </c>
      <c r="C3791" s="13" t="inlineStr">
        <is>
          <t>Common / Comum</t>
        </is>
      </c>
      <c r="D3791" s="13" t="inlineStr">
        <is>
          <t>Vigilance Whenever you draw your second card each turn, put a +1/+1 counter on this creature.</t>
        </is>
      </c>
      <c r="E3791" s="13" t="inlineStr">
        <is>
          <t>{2}{U}</t>
        </is>
      </c>
      <c r="F3791" s="13" t="inlineStr">
        <is>
          <t>Azul</t>
        </is>
      </c>
      <c r="G3791" s="8" t="n">
        <v>0.09</v>
      </c>
      <c r="H3791" s="13" t="inlineStr">
        <is>
          <t>Marvel Super Heroes (MSH)</t>
        </is>
      </c>
      <c r="I3791" s="13" t="inlineStr">
        <is>
          <t>Não</t>
        </is>
      </c>
      <c r="J3791" s="13" t="n">
        <v>2026</v>
      </c>
      <c r="K3791" s="10" t="n">
        <v>46056</v>
      </c>
      <c r="L3791" s="13" t="n">
        <v>1</v>
      </c>
      <c r="M3791" s="8">
        <f>L3791*G3791</f>
        <v/>
      </c>
      <c r="P3791" s="9" t="n"/>
    </row>
    <row r="3792">
      <c r="A3792" s="13" t="inlineStr">
        <is>
          <t>Graviton, Fundamental Force</t>
        </is>
      </c>
      <c r="B3792" s="13" t="inlineStr">
        <is>
          <t>Legendary Creature — Human Villain</t>
        </is>
      </c>
      <c r="C3792" s="13" t="inlineStr">
        <is>
          <t>Uncommon / Incomum</t>
        </is>
      </c>
      <c r="D3792" s="13" t="inlineStr">
        <is>
          <t>Whenever you draw your second card each turn, choose one — • Target creature gains flying until end of turn. (It can't be blocked except by creatures with flying or reach.) • Tap target creature.</t>
        </is>
      </c>
      <c r="E3792" s="13" t="inlineStr">
        <is>
          <t>{2}{U}</t>
        </is>
      </c>
      <c r="F3792" s="13" t="inlineStr">
        <is>
          <t>Azul</t>
        </is>
      </c>
      <c r="G3792" s="8" t="n">
        <v>1.87</v>
      </c>
      <c r="H3792" s="13" t="inlineStr">
        <is>
          <t>Marvel Super Heroes Commander (MSC)</t>
        </is>
      </c>
      <c r="I3792" s="13" t="inlineStr">
        <is>
          <t>Não</t>
        </is>
      </c>
      <c r="J3792" s="13" t="n">
        <v>2026</v>
      </c>
      <c r="K3792" s="10" t="n">
        <v>46084</v>
      </c>
      <c r="L3792" s="13" t="n">
        <v>1</v>
      </c>
      <c r="M3792" s="8">
        <f>L3792*G3792</f>
        <v/>
      </c>
      <c r="P3792" s="9" t="n"/>
    </row>
    <row r="3793">
      <c r="A3793" s="13" t="inlineStr">
        <is>
          <t>Blue Marvel, Adam Brashear</t>
        </is>
      </c>
      <c r="B3793" s="13" t="inlineStr">
        <is>
          <t>Legendary Creature — Human Scientist Hero</t>
        </is>
      </c>
      <c r="C3793" s="13" t="inlineStr">
        <is>
          <t>Uncommon / Incomum</t>
        </is>
      </c>
      <c r="D3793" s="13" t="inlineStr">
        <is>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is>
      </c>
      <c r="E3793" s="13" t="inlineStr">
        <is>
          <t>{3}{U}{U}</t>
        </is>
      </c>
      <c r="F3793" s="13" t="inlineStr">
        <is>
          <t>Azul</t>
        </is>
      </c>
      <c r="G3793" s="8" t="n">
        <v>1.34</v>
      </c>
      <c r="H3793" s="13" t="inlineStr">
        <is>
          <t>Marvel Super Heroes Commander (MSC)</t>
        </is>
      </c>
      <c r="I3793" s="13" t="inlineStr">
        <is>
          <t>Não</t>
        </is>
      </c>
      <c r="J3793" s="13" t="n">
        <v>2026</v>
      </c>
      <c r="K3793" s="10" t="n">
        <v>46145</v>
      </c>
      <c r="L3793" s="13" t="n">
        <v>1</v>
      </c>
      <c r="M3793" s="8">
        <f>L3793*G3793</f>
        <v/>
      </c>
      <c r="P3793" s="9" t="n"/>
    </row>
    <row r="3794">
      <c r="A3794" s="13" t="inlineStr">
        <is>
          <t>A.I.M. Scientists</t>
        </is>
      </c>
      <c r="B3794" s="13" t="inlineStr">
        <is>
          <t>Creature — Human Scientist Villain</t>
        </is>
      </c>
      <c r="C3794" s="13" t="inlineStr">
        <is>
          <t>Common / Comum</t>
        </is>
      </c>
      <c r="D3794" s="13" t="inlineStr">
        <is>
          <t>When this creature enters, it connives. (Draw a card, then discard a card. If you discarded a nonland card, put a +1/+1 counter on this creature.) Basic landcycling {2} ({2}, Discard this card: Search your library for a basic land card, reveal it, put it into your hand, then shuffle.)</t>
        </is>
      </c>
      <c r="E3794" s="13" t="inlineStr">
        <is>
          <t>{3}{U}</t>
        </is>
      </c>
      <c r="F3794" s="13" t="inlineStr">
        <is>
          <t>Azul</t>
        </is>
      </c>
      <c r="G3794" s="8" t="n">
        <v>0.09</v>
      </c>
      <c r="H3794" s="13" t="inlineStr">
        <is>
          <t>Marvel Super Heroes (MSH)</t>
        </is>
      </c>
      <c r="I3794" s="13" t="inlineStr">
        <is>
          <t>Não</t>
        </is>
      </c>
      <c r="J3794" s="13" t="n">
        <v>2026</v>
      </c>
      <c r="K3794" s="10" t="n">
        <v>46084</v>
      </c>
      <c r="L3794" s="13" t="n">
        <v>1</v>
      </c>
      <c r="M3794" s="8">
        <f>L3794*G3794</f>
        <v/>
      </c>
      <c r="P3794" s="9" t="n"/>
    </row>
    <row r="3795">
      <c r="A3795" s="13" t="inlineStr">
        <is>
          <t>Super Intelligence</t>
        </is>
      </c>
      <c r="B3795" s="13" t="inlineStr">
        <is>
          <t>Enchantment — Aura</t>
        </is>
      </c>
      <c r="C3795" s="13" t="inlineStr">
        <is>
          <t>Uncommon / Incomum</t>
        </is>
      </c>
      <c r="D3795" s="13" t="inlineStr">
        <is>
          <t>Enchant creature At the beginning of the upkeep of enchanted creature's controller, that player draws a card.</t>
        </is>
      </c>
      <c r="E3795" s="13" t="inlineStr">
        <is>
          <t>{U}</t>
        </is>
      </c>
      <c r="F3795" s="13" t="inlineStr">
        <is>
          <t>Azul</t>
        </is>
      </c>
      <c r="G3795" s="8" t="n">
        <v>0.73</v>
      </c>
      <c r="H3795" s="13" t="inlineStr">
        <is>
          <t>Marvel Super Heroes (MSH)</t>
        </is>
      </c>
      <c r="I3795" s="13" t="inlineStr">
        <is>
          <t>Não</t>
        </is>
      </c>
      <c r="J3795" s="13" t="n">
        <v>2026</v>
      </c>
      <c r="L3795" s="13" t="n">
        <v>1</v>
      </c>
      <c r="M3795" s="8">
        <f>L3795*G3795</f>
        <v/>
      </c>
      <c r="P3795" s="9" t="n"/>
    </row>
    <row r="3796">
      <c r="A3796" s="13" t="inlineStr">
        <is>
          <t>H.E.R.B.I.E. Scout Unit</t>
        </is>
      </c>
      <c r="B3796" s="13" t="inlineStr">
        <is>
          <t>Artifact Creature — Robot Scout</t>
        </is>
      </c>
      <c r="C3796" s="13" t="inlineStr">
        <is>
          <t>Common / Comum</t>
        </is>
      </c>
      <c r="D3796" s="13" t="inlineStr">
        <is>
          <t>Flying When this creature enters, draw a card, then you may put a land card from your hand onto the battlefield tapped.</t>
        </is>
      </c>
      <c r="E3796" s="13" t="inlineStr">
        <is>
          <t>{4}</t>
        </is>
      </c>
      <c r="F3796" s="13" t="inlineStr">
        <is>
          <t>Incolor</t>
        </is>
      </c>
      <c r="G3796" s="8" t="n">
        <v>0.12</v>
      </c>
      <c r="H3796" s="13" t="inlineStr">
        <is>
          <t>Marvel Super Heroes (MSH)</t>
        </is>
      </c>
      <c r="I3796" s="13" t="inlineStr">
        <is>
          <t>Não</t>
        </is>
      </c>
      <c r="J3796" s="13" t="n">
        <v>2026</v>
      </c>
      <c r="K3796" s="10" t="n">
        <v>46024</v>
      </c>
      <c r="L3796" s="13" t="n">
        <v>1</v>
      </c>
      <c r="M3796" s="8">
        <f>L3796*G3796</f>
        <v/>
      </c>
      <c r="P3796" s="9" t="n"/>
    </row>
    <row r="3797">
      <c r="A3797" s="13" t="inlineStr">
        <is>
          <t>Depower</t>
        </is>
      </c>
      <c r="B3797" s="13" t="inlineStr">
        <is>
          <t>Instant</t>
        </is>
      </c>
      <c r="C3797" s="13" t="inlineStr">
        <is>
          <t>Common / Comum</t>
        </is>
      </c>
      <c r="D3797" s="13" t="inlineStr">
        <is>
          <t>This spell costs {2} less to cast if it targets an attacking creature. Target creature gets -4/-0 until end of turn. Draw a card.</t>
        </is>
      </c>
      <c r="E3797" s="13" t="inlineStr">
        <is>
          <t>{2}{U}</t>
        </is>
      </c>
      <c r="F3797" s="13" t="inlineStr">
        <is>
          <t>Azul</t>
        </is>
      </c>
      <c r="G3797" s="8" t="n">
        <v>0.09</v>
      </c>
      <c r="H3797" s="13" t="inlineStr">
        <is>
          <t>Marvel Super Heroes (MSH)</t>
        </is>
      </c>
      <c r="I3797" s="13" t="inlineStr">
        <is>
          <t>Não</t>
        </is>
      </c>
      <c r="J3797" s="13" t="n">
        <v>2026</v>
      </c>
      <c r="L3797" s="13" t="n">
        <v>1</v>
      </c>
      <c r="M3797" s="8">
        <f>L3797*G3797</f>
        <v/>
      </c>
      <c r="P3797" s="9" t="n"/>
    </row>
    <row r="3798">
      <c r="A3798" s="13" t="inlineStr">
        <is>
          <t>Trickster's Stratagem</t>
        </is>
      </c>
      <c r="B3798" s="13" t="inlineStr">
        <is>
          <t>Sorcery</t>
        </is>
      </c>
      <c r="C3798" s="13" t="inlineStr">
        <is>
          <t>Common / Comum</t>
        </is>
      </c>
      <c r="D3798" s="13" t="inlineStr">
        <is>
          <t>The owner of target creature an opponent controls puts it into their library second from the top or on the bottom. Then up to one target creature you control connives. (Draw a card, then discard a card. If you discarded a nonland card, put a +1/+1 counter on that creature.)</t>
        </is>
      </c>
      <c r="E3798" s="13" t="inlineStr">
        <is>
          <t>{3}{U}</t>
        </is>
      </c>
      <c r="F3798" s="13" t="inlineStr">
        <is>
          <t>Azul</t>
        </is>
      </c>
      <c r="G3798" s="8" t="n">
        <v>0.09</v>
      </c>
      <c r="H3798" s="13" t="inlineStr">
        <is>
          <t>Marvel Super Heroes (MSH)</t>
        </is>
      </c>
      <c r="I3798" s="13" t="inlineStr">
        <is>
          <t>Não</t>
        </is>
      </c>
      <c r="J3798" s="13" t="n">
        <v>2026</v>
      </c>
      <c r="L3798" s="13" t="n">
        <v>1</v>
      </c>
      <c r="M3798" s="8">
        <f>L3798*G3798</f>
        <v/>
      </c>
      <c r="P3798" s="9" t="n"/>
    </row>
    <row r="3799">
      <c r="A3799" s="13" t="inlineStr">
        <is>
          <t>Stark's Ingenuity</t>
        </is>
      </c>
      <c r="B3799" s="13" t="inlineStr">
        <is>
          <t>Enchantment — Aura</t>
        </is>
      </c>
      <c r="C3799" s="13" t="inlineStr">
        <is>
          <t>Rare / Rara</t>
        </is>
      </c>
      <c r="D3799" s="13" t="inlineStr">
        <is>
          <t>Enchant creature you control When this Aura enters, you may pay {X}. If you do, draw X cards. Whenever you draw a card, put a +1/+1 counter on enchanted creature.</t>
        </is>
      </c>
      <c r="E3799" s="13" t="inlineStr">
        <is>
          <t>{2}{U}</t>
        </is>
      </c>
      <c r="F3799" s="13" t="inlineStr">
        <is>
          <t>Azul</t>
        </is>
      </c>
      <c r="G3799" s="8" t="n">
        <v>27.55</v>
      </c>
      <c r="H3799" s="13" t="inlineStr">
        <is>
          <t>Marvel Super Heroes Commander (MSC)</t>
        </is>
      </c>
      <c r="I3799" s="13" t="inlineStr">
        <is>
          <t>Não</t>
        </is>
      </c>
      <c r="J3799" s="13" t="n">
        <v>2026</v>
      </c>
      <c r="L3799" s="13" t="n">
        <v>1</v>
      </c>
      <c r="M3799" s="8">
        <f>L3799*G3799</f>
        <v/>
      </c>
      <c r="P3799" s="9" t="n"/>
    </row>
    <row r="3800">
      <c r="A3800" s="13" t="inlineStr">
        <is>
          <t>Thriving Isle / Ilha Vicejante</t>
        </is>
      </c>
      <c r="B3800" s="13" t="inlineStr">
        <is>
          <t>Land / Terreno</t>
        </is>
      </c>
      <c r="C3800" s="13" t="inlineStr">
        <is>
          <t>Common / Comum</t>
        </is>
      </c>
      <c r="D3800" s="13" t="inlineStr">
        <is>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is>
      </c>
      <c r="F3800" s="13" t="inlineStr">
        <is>
          <t>Azul</t>
        </is>
      </c>
      <c r="G3800" s="8" t="n">
        <v>0.43</v>
      </c>
      <c r="H3800" s="13" t="inlineStr">
        <is>
          <t>Marvel Super Heroes Commander (MSC)</t>
        </is>
      </c>
      <c r="I3800" s="13" t="inlineStr">
        <is>
          <t>Não</t>
        </is>
      </c>
      <c r="J3800" s="13" t="n">
        <v>2026</v>
      </c>
      <c r="L3800" s="13" t="n">
        <v>2</v>
      </c>
      <c r="M3800" s="8">
        <f>L3800*G3800</f>
        <v/>
      </c>
      <c r="P3800" s="9" t="n"/>
    </row>
    <row r="3801">
      <c r="A3801" s="13" t="inlineStr">
        <is>
          <t>Island / Ilha</t>
        </is>
      </c>
      <c r="B3801" s="13" t="inlineStr">
        <is>
          <t>Basic Land — Island / Terreno Básico — Ilha</t>
        </is>
      </c>
      <c r="C3801" s="13" t="inlineStr">
        <is>
          <t>Common / Comum</t>
        </is>
      </c>
      <c r="D3801" s="13" t="inlineStr">
        <is>
          <t>({T}: Add {U}.) / U</t>
        </is>
      </c>
      <c r="F3801" s="13" t="inlineStr">
        <is>
          <t>Azul</t>
        </is>
      </c>
      <c r="G3801" s="8" t="n">
        <v>0.8</v>
      </c>
      <c r="H3801" s="13" t="inlineStr">
        <is>
          <t>Marvel Super Heroes (MSH) FA 280</t>
        </is>
      </c>
      <c r="I3801" s="13" t="inlineStr">
        <is>
          <t>Não</t>
        </is>
      </c>
      <c r="J3801" s="13" t="n">
        <v>2026</v>
      </c>
      <c r="L3801" s="13" t="n">
        <v>1</v>
      </c>
      <c r="M3801" s="8">
        <f>L3801*G3801</f>
        <v/>
      </c>
      <c r="P3801" s="9" t="n"/>
    </row>
    <row r="3802">
      <c r="A3802" s="13" t="inlineStr">
        <is>
          <t>Island / Ilha</t>
        </is>
      </c>
      <c r="B3802" s="13" t="inlineStr">
        <is>
          <t>Basic Land — Island / Terreno Básico — Ilha</t>
        </is>
      </c>
      <c r="C3802" s="13" t="inlineStr">
        <is>
          <t>Common / Comum</t>
        </is>
      </c>
      <c r="D3802" s="13" t="inlineStr">
        <is>
          <t>({T}: Add {U}.) / U</t>
        </is>
      </c>
      <c r="F3802" s="13" t="inlineStr">
        <is>
          <t>Azul</t>
        </is>
      </c>
      <c r="G3802" s="8" t="n">
        <v>0.2</v>
      </c>
      <c r="H3802" s="13" t="inlineStr">
        <is>
          <t>Marvel Super Heroes (MSH)</t>
        </is>
      </c>
      <c r="I3802" s="13" t="inlineStr">
        <is>
          <t>Não</t>
        </is>
      </c>
      <c r="J3802" s="13" t="n">
        <v>2026</v>
      </c>
      <c r="L3802" s="13" t="n">
        <v>12</v>
      </c>
      <c r="M3802" s="8">
        <f>L3802*G3802</f>
        <v/>
      </c>
      <c r="P3802" s="9" t="n"/>
    </row>
    <row r="3803">
      <c r="A3803" s="13" t="inlineStr">
        <is>
          <t>S.H.I.E.L.D. Deployment Drone</t>
        </is>
      </c>
      <c r="B3803" s="13" t="inlineStr">
        <is>
          <t>Artifact Creature — Robot</t>
        </is>
      </c>
      <c r="C3803" s="13" t="inlineStr">
        <is>
          <t>Common / Comum</t>
        </is>
      </c>
      <c r="D3803" s="13" t="inlineStr">
        <is>
          <t>Flying When this creature enters, create a 1/1 white Soldier creature token.</t>
        </is>
      </c>
      <c r="E3803" s="13" t="inlineStr">
        <is>
          <t>{2}{U}</t>
        </is>
      </c>
      <c r="F3803" s="13" t="inlineStr">
        <is>
          <t>Azul</t>
        </is>
      </c>
      <c r="G3803" s="8" t="n">
        <v>0.09</v>
      </c>
      <c r="H3803" s="13" t="inlineStr">
        <is>
          <t>Marvel Super Heroes (MSH)</t>
        </is>
      </c>
      <c r="I3803" s="13" t="inlineStr">
        <is>
          <t>Não</t>
        </is>
      </c>
      <c r="J3803" s="13" t="n">
        <v>2026</v>
      </c>
      <c r="K3803" s="10" t="n">
        <v>46055</v>
      </c>
      <c r="L3803" s="13" t="n">
        <v>1</v>
      </c>
      <c r="M3803" s="8">
        <f>L3803*G3803</f>
        <v/>
      </c>
      <c r="P3803" s="9" t="n"/>
    </row>
    <row r="3804">
      <c r="A3804" s="13" t="inlineStr">
        <is>
          <t>Hydraulic Helper</t>
        </is>
      </c>
      <c r="B3804" s="13" t="inlineStr">
        <is>
          <t>Artifact Creature — Robot</t>
        </is>
      </c>
      <c r="C3804" s="13" t="inlineStr">
        <is>
          <t>Common / Comum</t>
        </is>
      </c>
      <c r="D3804" s="13" t="inlineStr">
        <is>
          <t>Defender {T}: Add {U}. This mana can't be spent to cast a nonartifact spell.</t>
        </is>
      </c>
      <c r="E3804" s="13" t="inlineStr">
        <is>
          <t>{1}{U}</t>
        </is>
      </c>
      <c r="F3804" s="13" t="inlineStr">
        <is>
          <t>Azul</t>
        </is>
      </c>
      <c r="G3804" s="8" t="n">
        <v>0.09</v>
      </c>
      <c r="H3804" s="13" t="inlineStr">
        <is>
          <t>Marvel Super Heroes (MSH)</t>
        </is>
      </c>
      <c r="I3804" s="13" t="inlineStr">
        <is>
          <t>Não</t>
        </is>
      </c>
      <c r="J3804" s="13" t="n">
        <v>2026</v>
      </c>
      <c r="K3804" s="10" t="n">
        <v>46083</v>
      </c>
      <c r="L3804" s="13" t="n">
        <v>1</v>
      </c>
      <c r="M3804" s="8">
        <f>L3804*G3804</f>
        <v/>
      </c>
      <c r="P3804" s="9" t="n"/>
    </row>
    <row r="3805">
      <c r="A3805" s="13" t="inlineStr">
        <is>
          <t>Ultron Drone</t>
        </is>
      </c>
      <c r="B3805" s="13" t="inlineStr">
        <is>
          <t>Artifact Creature — Robot Villain</t>
        </is>
      </c>
      <c r="C3805" s="13" t="inlineStr">
        <is>
          <t>Common / Comum</t>
        </is>
      </c>
      <c r="D3805" s="13" t="inlineStr">
        <is>
          <t>Power-up — {6}: Put two +1/+1 counters on this creature and create a 2/2 colorless Robot Villain artifact creature token. (Activate each power-up ability only once. Reduce the cost by its mana cost if it entered this turn.)</t>
        </is>
      </c>
      <c r="E3805" s="13" t="inlineStr">
        <is>
          <t>{3}</t>
        </is>
      </c>
      <c r="F3805" s="13" t="inlineStr">
        <is>
          <t>Incolor</t>
        </is>
      </c>
      <c r="G3805" s="8" t="n">
        <v>0.12</v>
      </c>
      <c r="H3805" s="13" t="inlineStr">
        <is>
          <t>Marvel Super Heroes (MSH)</t>
        </is>
      </c>
      <c r="I3805" s="13" t="inlineStr">
        <is>
          <t>Não</t>
        </is>
      </c>
      <c r="J3805" s="13" t="n">
        <v>2026</v>
      </c>
      <c r="K3805" s="10" t="n">
        <v>46083</v>
      </c>
      <c r="L3805" s="13" t="n">
        <v>1</v>
      </c>
      <c r="M3805" s="8">
        <f>L3805*G3805</f>
        <v/>
      </c>
      <c r="P3805" s="9" t="n"/>
    </row>
    <row r="3806">
      <c r="A3806" s="13" t="inlineStr">
        <is>
          <t>Victor Mancha, Runaway</t>
        </is>
      </c>
      <c r="B3806" s="13" t="inlineStr">
        <is>
          <t>Legendary Artifact Creature — Human Hero</t>
        </is>
      </c>
      <c r="C3806" s="13" t="inlineStr">
        <is>
          <t>Uncommon / Incomum</t>
        </is>
      </c>
      <c r="D3806" s="13" t="inlineStr">
        <is>
          <t>When Victor Mancha enters, exile target card from your graveyard. You may play it for as long as you control Victor Mancha.</t>
        </is>
      </c>
      <c r="E3806" s="13" t="inlineStr">
        <is>
          <t>{5}</t>
        </is>
      </c>
      <c r="F3806" s="13" t="inlineStr">
        <is>
          <t>Incolor</t>
        </is>
      </c>
      <c r="G3806" s="8" t="n">
        <v>2.35</v>
      </c>
      <c r="H3806" s="13" t="inlineStr">
        <is>
          <t>Marvel Super Heroes Commander (MSC)</t>
        </is>
      </c>
      <c r="I3806" s="13" t="inlineStr">
        <is>
          <t>Não</t>
        </is>
      </c>
      <c r="J3806" s="13" t="n">
        <v>2026</v>
      </c>
      <c r="K3806" s="10" t="n">
        <v>46116</v>
      </c>
      <c r="L3806" s="13" t="n">
        <v>1</v>
      </c>
      <c r="M3806" s="8">
        <f>L3806*G3806</f>
        <v/>
      </c>
      <c r="P3806" s="9" t="n"/>
    </row>
    <row r="3807">
      <c r="A3807" s="13" t="inlineStr">
        <is>
          <t>War Machine, James Rhodes</t>
        </is>
      </c>
      <c r="B3807" s="13" t="inlineStr">
        <is>
          <t>Legendary Artifact Creature — Human Hero</t>
        </is>
      </c>
      <c r="C3807" s="13" t="inlineStr">
        <is>
          <t>Uncommon / Incomum</t>
        </is>
      </c>
      <c r="D3807" s="13" t="inlineStr">
        <is>
          <t>Flying (This creature can't be blocked except by creatures with flying or reach.) Whenever War Machine attacks, tap up to one target creature.</t>
        </is>
      </c>
      <c r="E3807" s="13" t="inlineStr">
        <is>
          <t>{3}{W/U}</t>
        </is>
      </c>
      <c r="F3807" s="13" t="inlineStr">
        <is>
          <t>Azul, Branco</t>
        </is>
      </c>
      <c r="G3807" s="8" t="n">
        <v>7.6</v>
      </c>
      <c r="H3807" s="13" t="inlineStr">
        <is>
          <t>Marvel Super Heroes Commander (MSC)</t>
        </is>
      </c>
      <c r="I3807" s="13" t="inlineStr">
        <is>
          <t>Não</t>
        </is>
      </c>
      <c r="J3807" s="13" t="n">
        <v>2026</v>
      </c>
      <c r="K3807" s="10" t="n">
        <v>46056</v>
      </c>
      <c r="L3807" s="13" t="n">
        <v>1</v>
      </c>
      <c r="M3807" s="8">
        <f>L3807*G3807</f>
        <v/>
      </c>
      <c r="P3807" s="9" t="n"/>
    </row>
    <row r="3808">
      <c r="A3808" s="13" t="inlineStr">
        <is>
          <t>Repulsor Bots</t>
        </is>
      </c>
      <c r="B3808" s="13" t="inlineStr">
        <is>
          <t>Artifact Creature — Robot Hero</t>
        </is>
      </c>
      <c r="C3808" s="13" t="inlineStr">
        <is>
          <t>Rare / Rara</t>
        </is>
      </c>
      <c r="D3808" s="13" t="inlineStr">
        <is>
          <t>Flying (This creature can't be blocked except by creatures with flying or reach.) When this creature enters, return up to two other target artifacts and/or creatures to their owners' hands.</t>
        </is>
      </c>
      <c r="E3808" s="13" t="inlineStr">
        <is>
          <t>{4}{U}{U}</t>
        </is>
      </c>
      <c r="F3808" s="13" t="inlineStr">
        <is>
          <t>Azul</t>
        </is>
      </c>
      <c r="G3808" s="8" t="n">
        <v>24.7</v>
      </c>
      <c r="H3808" s="13" t="inlineStr">
        <is>
          <t>Marvel Super Heroes Commander (MSC)</t>
        </is>
      </c>
      <c r="I3808" s="13" t="inlineStr">
        <is>
          <t>Não</t>
        </is>
      </c>
      <c r="J3808" s="13" t="n">
        <v>2026</v>
      </c>
      <c r="K3808" s="10" t="n">
        <v>46116</v>
      </c>
      <c r="L3808" s="13" t="n">
        <v>1</v>
      </c>
      <c r="M3808" s="8">
        <f>L3808*G3808</f>
        <v/>
      </c>
      <c r="P3808" s="9" t="n"/>
    </row>
    <row r="3809">
      <c r="A3809" s="13" t="inlineStr">
        <is>
          <t>Vibranium Energy Daggers</t>
        </is>
      </c>
      <c r="B3809" s="13" t="inlineStr">
        <is>
          <t>Artifact — Equipment</t>
        </is>
      </c>
      <c r="C3809" s="13" t="inlineStr">
        <is>
          <t>Common / Comum</t>
        </is>
      </c>
      <c r="D3809" s="13" t="inlineStr">
        <is>
          <t>Indestructible (Effects that say "destroy" don't destroy this Equipment.) Equipped creature gets +2/+2. Equip {3} ({3}: Attach to target creature you control. Equip only as a sorcery.)</t>
        </is>
      </c>
      <c r="E3809" s="13" t="inlineStr">
        <is>
          <t>{1}</t>
        </is>
      </c>
      <c r="F3809" s="13" t="inlineStr">
        <is>
          <t>Incolor</t>
        </is>
      </c>
      <c r="G3809" s="8" t="n">
        <v>0.12</v>
      </c>
      <c r="H3809" s="13" t="inlineStr">
        <is>
          <t>Marvel Super Heroes (MSH)</t>
        </is>
      </c>
      <c r="I3809" s="13" t="inlineStr">
        <is>
          <t>Não</t>
        </is>
      </c>
      <c r="J3809" s="13" t="n">
        <v>2026</v>
      </c>
      <c r="L3809" s="13" t="n">
        <v>1</v>
      </c>
      <c r="M3809" s="8">
        <f>L3809*G3809</f>
        <v/>
      </c>
      <c r="P3809" s="9" t="n"/>
    </row>
    <row r="3810">
      <c r="A3810" s="13" t="inlineStr">
        <is>
          <t>Futurist Forge</t>
        </is>
      </c>
      <c r="B3810" s="13" t="inlineStr">
        <is>
          <t>Artifact</t>
        </is>
      </c>
      <c r="C3810" s="13" t="inlineStr">
        <is>
          <t>Common / Comum</t>
        </is>
      </c>
      <c r="D3810" s="13" t="inlineStr">
        <is>
          <t>When this artifact enters, draw a card. {3}{U}, Sacrifice this artifact: Draw two cards.</t>
        </is>
      </c>
      <c r="E3810" s="13" t="inlineStr">
        <is>
          <t>{1}{U}</t>
        </is>
      </c>
      <c r="F3810" s="13" t="inlineStr">
        <is>
          <t>Azul</t>
        </is>
      </c>
      <c r="G3810" s="8" t="n">
        <v>0.18</v>
      </c>
      <c r="H3810" s="13" t="inlineStr">
        <is>
          <t>Marvel Super Heroes (MSH)</t>
        </is>
      </c>
      <c r="I3810" s="13" t="inlineStr">
        <is>
          <t>Não</t>
        </is>
      </c>
      <c r="J3810" s="13" t="n">
        <v>2026</v>
      </c>
      <c r="L3810" s="13" t="n">
        <v>1</v>
      </c>
      <c r="M3810" s="8">
        <f>L3810*G3810</f>
        <v/>
      </c>
      <c r="P3810" s="9" t="n"/>
    </row>
    <row r="3811">
      <c r="A3811" s="13" t="inlineStr">
        <is>
          <t>Thirst for Knowledge / Sede de Conhecimento</t>
        </is>
      </c>
      <c r="B3811" s="13" t="inlineStr">
        <is>
          <t>Instant / Mágica Instantânea</t>
        </is>
      </c>
      <c r="C3811" s="13" t="inlineStr">
        <is>
          <t>Uncommon / Incomum</t>
        </is>
      </c>
      <c r="D3811" s="13" t="inlineStr">
        <is>
          <t>Draw three cards. Then discard two cards unless you discard an artifact card. / Compre três cards. Em seguida, descarte dois cards, a menos que você descarte um card de artefato.</t>
        </is>
      </c>
      <c r="E3811" s="13" t="inlineStr">
        <is>
          <t>{2}{U}</t>
        </is>
      </c>
      <c r="F3811" s="13" t="inlineStr">
        <is>
          <t>Azul</t>
        </is>
      </c>
      <c r="G3811" s="8" t="n">
        <v>0.12</v>
      </c>
      <c r="H3811" s="13" t="inlineStr">
        <is>
          <t>Marvel Super Heroes (MSH)</t>
        </is>
      </c>
      <c r="I3811" s="13" t="inlineStr">
        <is>
          <t>Não</t>
        </is>
      </c>
      <c r="J3811" s="13" t="n">
        <v>2026</v>
      </c>
      <c r="L3811" s="13" t="n">
        <v>1</v>
      </c>
      <c r="M3811" s="8">
        <f>L3811*G3811</f>
        <v/>
      </c>
      <c r="P3811" s="9" t="n"/>
    </row>
    <row r="3812">
      <c r="A3812" s="13" t="inlineStr">
        <is>
          <t>Frozen in Ice</t>
        </is>
      </c>
      <c r="B3812" s="13" t="inlineStr">
        <is>
          <t>Enchantment — Aura</t>
        </is>
      </c>
      <c r="C3812" s="13" t="inlineStr">
        <is>
          <t>Common / Comum</t>
        </is>
      </c>
      <c r="D3812" s="13" t="inlineStr">
        <is>
          <t>Enchant creature When this Aura enters, tap enchanted creature. Enchanted creature loses all abilities and can't become untapped.</t>
        </is>
      </c>
      <c r="E3812" s="13" t="inlineStr">
        <is>
          <t>{2}{U}</t>
        </is>
      </c>
      <c r="F3812" s="13" t="inlineStr">
        <is>
          <t>Azul</t>
        </is>
      </c>
      <c r="G3812" s="8" t="n">
        <v>0.09</v>
      </c>
      <c r="H3812" s="13" t="inlineStr">
        <is>
          <t>Marvel Super Heroes (MSH)</t>
        </is>
      </c>
      <c r="I3812" s="13" t="inlineStr">
        <is>
          <t>Não</t>
        </is>
      </c>
      <c r="J3812" s="13" t="n">
        <v>2026</v>
      </c>
      <c r="L3812" s="13" t="n">
        <v>1</v>
      </c>
      <c r="M3812" s="8">
        <f>L3812*G3812</f>
        <v/>
      </c>
      <c r="P3812" s="9" t="n"/>
    </row>
    <row r="3813">
      <c r="A3813" s="13" t="inlineStr">
        <is>
          <t>Island / Ilha</t>
        </is>
      </c>
      <c r="B3813" s="13" t="inlineStr">
        <is>
          <t>Basic Land — Island / Terreno Básico — Ilha</t>
        </is>
      </c>
      <c r="C3813" s="13" t="inlineStr">
        <is>
          <t>Common / Comum</t>
        </is>
      </c>
      <c r="D3813" s="13" t="inlineStr">
        <is>
          <t>({T}: Add {U}.) / U</t>
        </is>
      </c>
      <c r="F3813" s="13" t="inlineStr">
        <is>
          <t>Azul</t>
        </is>
      </c>
      <c r="G3813" s="8" t="n">
        <v>0.8</v>
      </c>
      <c r="H3813" s="13" t="inlineStr">
        <is>
          <t>Marvel Super Heroes (MSH) FA 279</t>
        </is>
      </c>
      <c r="I3813" s="13" t="inlineStr">
        <is>
          <t>Não</t>
        </is>
      </c>
      <c r="J3813" s="13" t="n">
        <v>2026</v>
      </c>
      <c r="L3813" s="13" t="n">
        <v>1</v>
      </c>
      <c r="M3813" s="8">
        <f>L3813*G3813</f>
        <v/>
      </c>
      <c r="P3813" s="9" t="n"/>
    </row>
    <row r="3814">
      <c r="A3814" s="13" t="inlineStr">
        <is>
          <t>Red Room Recruit</t>
        </is>
      </c>
      <c r="B3814" s="13" t="inlineStr">
        <is>
          <t>Creature — Human Spy Villain</t>
        </is>
      </c>
      <c r="C3814" s="13" t="inlineStr">
        <is>
          <t>Common / Comum</t>
        </is>
      </c>
      <c r="D3814" s="13" t="inlineStr">
        <is>
          <t>When this creature enters, it connives. (Draw a card, then discard a card. If you discarded a nonland card, put a +1/+1 counter on this creature.)</t>
        </is>
      </c>
      <c r="E3814" s="13" t="inlineStr">
        <is>
          <t>{1}{B}</t>
        </is>
      </c>
      <c r="F3814" s="13" t="inlineStr">
        <is>
          <t>Preto</t>
        </is>
      </c>
      <c r="G3814" s="8" t="n">
        <v>0.1</v>
      </c>
      <c r="H3814" s="13" t="inlineStr">
        <is>
          <t>Marvel Super Heroes (MSH)</t>
        </is>
      </c>
      <c r="I3814" s="13" t="inlineStr">
        <is>
          <t>Não</t>
        </is>
      </c>
      <c r="J3814" s="13" t="n">
        <v>2026</v>
      </c>
      <c r="K3814" s="10" t="n">
        <v>46054</v>
      </c>
      <c r="L3814" s="13" t="n">
        <v>1</v>
      </c>
      <c r="M3814" s="8">
        <f>L3814*G3814</f>
        <v/>
      </c>
      <c r="P3814" s="9" t="n"/>
    </row>
    <row r="3815">
      <c r="A3815" s="13" t="inlineStr">
        <is>
          <t>Boomerang / Bumerangue</t>
        </is>
      </c>
      <c r="B3815" s="13" t="inlineStr">
        <is>
          <t>Instant / Mágica Instantânea</t>
        </is>
      </c>
      <c r="C3815" s="13" t="inlineStr">
        <is>
          <t>Common / Comum</t>
        </is>
      </c>
      <c r="D3815" s="13" t="inlineStr">
        <is>
          <t>Return target permanent to its owner's hand. / Devolve a permanente alvo para a mão de seu dono.</t>
        </is>
      </c>
      <c r="E3815" s="13" t="inlineStr">
        <is>
          <t>{U}{U}</t>
        </is>
      </c>
      <c r="F3815" s="13" t="inlineStr">
        <is>
          <t>Azul</t>
        </is>
      </c>
      <c r="G3815" s="8" t="n">
        <v>0.68</v>
      </c>
      <c r="H3815" s="13" t="inlineStr">
        <is>
          <t>Marvel Super Heroes (MSH)</t>
        </is>
      </c>
      <c r="I3815" s="13" t="inlineStr">
        <is>
          <t>Não</t>
        </is>
      </c>
      <c r="J3815" s="13" t="n">
        <v>2024</v>
      </c>
      <c r="L3815" s="13" t="n">
        <v>1</v>
      </c>
      <c r="M3815" s="8">
        <f>L3815*G3815</f>
        <v/>
      </c>
      <c r="P3815" s="9" t="n"/>
    </row>
    <row r="3816">
      <c r="A3816" s="13" t="inlineStr">
        <is>
          <t>Ninja of the Hand</t>
        </is>
      </c>
      <c r="B3816" s="13" t="inlineStr">
        <is>
          <t>Creature — Human Ninja Villain</t>
        </is>
      </c>
      <c r="C3816" s="13" t="inlineStr">
        <is>
          <t>Common / Comum</t>
        </is>
      </c>
      <c r="D3816" s="13" t="inlineStr">
        <is>
          <t>Deathtouch Power-up — {4}{B}: Each opponent discards a card. Put a +1/+1 counter on this creature. (Activate each power-up ability only once. Reduce the cost by its mana cost if it entered this turn.)</t>
        </is>
      </c>
      <c r="E3816" s="13" t="inlineStr">
        <is>
          <t>{2}{B}</t>
        </is>
      </c>
      <c r="F3816" s="13" t="inlineStr">
        <is>
          <t>Preto</t>
        </is>
      </c>
      <c r="G3816" s="8" t="n">
        <v>0.08</v>
      </c>
      <c r="H3816" s="13" t="inlineStr">
        <is>
          <t>Marvel Super Heroes (MSH)</t>
        </is>
      </c>
      <c r="I3816" s="13" t="inlineStr">
        <is>
          <t>Não</t>
        </is>
      </c>
      <c r="J3816" s="13" t="n">
        <v>2026</v>
      </c>
      <c r="K3816" s="10" t="n">
        <v>46055</v>
      </c>
      <c r="L3816" s="13" t="n">
        <v>1</v>
      </c>
      <c r="M3816" s="8">
        <f>L3816*G3816</f>
        <v/>
      </c>
      <c r="P3816" s="9" t="n"/>
    </row>
    <row r="3817">
      <c r="A3817" s="13" t="inlineStr">
        <is>
          <t>Baron Strucker, HYDRA Overlord</t>
        </is>
      </c>
      <c r="B3817" s="13" t="inlineStr">
        <is>
          <t>Legendary Creature — Human Villain</t>
        </is>
      </c>
      <c r="C3817" s="13" t="inlineStr">
        <is>
          <t>Uncommon / Incomum</t>
        </is>
      </c>
      <c r="D3817" s="13" t="inlineStr">
        <is>
          <t>Villain spells you cast cost {1} less to cast. Whenever another Villain you control enters, you may have it connive. Do this only once each turn. (Draw a card, then discard a card. If you discarded a nonland card, put a +1/+1 counter on that creature.)</t>
        </is>
      </c>
      <c r="E3817" s="13" t="inlineStr">
        <is>
          <t>{2}{B}</t>
        </is>
      </c>
      <c r="F3817" s="13" t="inlineStr">
        <is>
          <t>Preto</t>
        </is>
      </c>
      <c r="G3817" s="8" t="n">
        <v>0.15</v>
      </c>
      <c r="H3817" s="13" t="inlineStr">
        <is>
          <t>Marvel Super Heroes (MSH)</t>
        </is>
      </c>
      <c r="I3817" s="13" t="inlineStr">
        <is>
          <t>Sim</t>
        </is>
      </c>
      <c r="J3817" s="13" t="n">
        <v>2026</v>
      </c>
      <c r="K3817" s="10" t="n">
        <v>46055</v>
      </c>
      <c r="L3817" s="13" t="n">
        <v>1</v>
      </c>
      <c r="M3817" s="8">
        <f>L3817*G3817</f>
        <v/>
      </c>
      <c r="P3817" s="9" t="n"/>
    </row>
    <row r="3818">
      <c r="A3818" s="13" t="inlineStr">
        <is>
          <t>Tombstone, Career Criminal</t>
        </is>
      </c>
      <c r="B3818" s="13" t="inlineStr">
        <is>
          <t>Legendary Creature — Human Villain</t>
        </is>
      </c>
      <c r="C3818" s="13" t="inlineStr">
        <is>
          <t>Uncommon / Incomum</t>
        </is>
      </c>
      <c r="D3818" s="13" t="inlineStr">
        <is>
          <t>When Tombstone enters, return target Villain card from your graveyard to your hand. Villain spells you cast cost {1} less to cast.</t>
        </is>
      </c>
      <c r="E3818" s="13" t="inlineStr">
        <is>
          <t>{2}{B}</t>
        </is>
      </c>
      <c r="F3818" s="13" t="inlineStr">
        <is>
          <t>Preto</t>
        </is>
      </c>
      <c r="G3818" s="8" t="n">
        <v>0.21</v>
      </c>
      <c r="H3818" s="13" t="inlineStr">
        <is>
          <t>Marvel Super Heroes Commander (MSC)</t>
        </is>
      </c>
      <c r="I3818" s="13" t="inlineStr">
        <is>
          <t>Não</t>
        </is>
      </c>
      <c r="J3818" s="13" t="n">
        <v>2026</v>
      </c>
      <c r="K3818" s="10" t="n">
        <v>46055</v>
      </c>
      <c r="L3818" s="13" t="n">
        <v>1</v>
      </c>
      <c r="M3818" s="8">
        <f>L3818*G3818</f>
        <v/>
      </c>
      <c r="P3818" s="9" t="n"/>
    </row>
    <row r="3819">
      <c r="A3819" s="13" t="inlineStr">
        <is>
          <t>Crossbones, Malicious Mercenary</t>
        </is>
      </c>
      <c r="B3819" s="13" t="inlineStr">
        <is>
          <t>Legendary Creature — Human Mercenary Villain</t>
        </is>
      </c>
      <c r="C3819" s="13" t="inlineStr">
        <is>
          <t>Uncommon / Incomum</t>
        </is>
      </c>
      <c r="D3819" s="13" t="inlineStr">
        <is>
          <t>Deathtouch Whenever another Villain you control enters, put a +1/+1 counter on Crossbones. He deals 2 damage to each opponent. This ability triggers only once each turn.</t>
        </is>
      </c>
      <c r="E3819" s="13" t="inlineStr">
        <is>
          <t>{3}{B}</t>
        </is>
      </c>
      <c r="F3819" s="13" t="inlineStr">
        <is>
          <t>Preto</t>
        </is>
      </c>
      <c r="G3819" s="8" t="n">
        <v>0.38</v>
      </c>
      <c r="H3819" s="13" t="inlineStr">
        <is>
          <t>Marvel Super Heroes (MSH)</t>
        </is>
      </c>
      <c r="I3819" s="13" t="inlineStr">
        <is>
          <t>Não</t>
        </is>
      </c>
      <c r="J3819" s="13" t="n">
        <v>2026</v>
      </c>
      <c r="K3819" s="10" t="n">
        <v>46084</v>
      </c>
      <c r="L3819" s="13" t="n">
        <v>1</v>
      </c>
      <c r="M3819" s="8">
        <f>L3819*G3819</f>
        <v/>
      </c>
      <c r="P3819" s="9" t="n"/>
    </row>
    <row r="3820">
      <c r="A3820" s="13" t="inlineStr">
        <is>
          <t>Glamorous Grapplers</t>
        </is>
      </c>
      <c r="B3820" s="13" t="inlineStr">
        <is>
          <t>Creature — Human Performer Villain</t>
        </is>
      </c>
      <c r="C3820" s="13" t="inlineStr">
        <is>
          <t>Common / Comum</t>
        </is>
      </c>
      <c r="D3820" s="13" t="inlineStr">
        <is>
          <t>Menace (This creature can't be blocked except by two or more creatures.)</t>
        </is>
      </c>
      <c r="E3820" s="13" t="inlineStr">
        <is>
          <t>{3}{B}</t>
        </is>
      </c>
      <c r="F3820" s="13" t="inlineStr">
        <is>
          <t>Preto</t>
        </is>
      </c>
      <c r="G3820" s="8" t="n">
        <v>4.75</v>
      </c>
      <c r="H3820" s="13" t="inlineStr">
        <is>
          <t>Marvel Super Heroes Commander (MSC)</t>
        </is>
      </c>
      <c r="I3820" s="13" t="inlineStr">
        <is>
          <t>Não</t>
        </is>
      </c>
      <c r="J3820" s="13" t="n">
        <v>2026</v>
      </c>
      <c r="K3820" s="10" t="n">
        <v>46084</v>
      </c>
      <c r="L3820" s="13" t="n">
        <v>1</v>
      </c>
      <c r="M3820" s="8">
        <f>L3820*G3820</f>
        <v/>
      </c>
      <c r="P3820" s="9" t="n"/>
    </row>
    <row r="3821">
      <c r="A3821" s="13" t="inlineStr">
        <is>
          <t>Roxxon Brutes</t>
        </is>
      </c>
      <c r="B3821" s="13" t="inlineStr">
        <is>
          <t>Creature — Human Berserker Villain</t>
        </is>
      </c>
      <c r="C3821" s="13" t="inlineStr">
        <is>
          <t>Common / Comum</t>
        </is>
      </c>
      <c r="D3821" s="13" t="inlineStr">
        <is>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is>
      </c>
      <c r="E3821" s="13" t="inlineStr">
        <is>
          <t>{4}{B}</t>
        </is>
      </c>
      <c r="F3821" s="13" t="inlineStr">
        <is>
          <t>Preto</t>
        </is>
      </c>
      <c r="G3821" s="8" t="n">
        <v>0.11</v>
      </c>
      <c r="H3821" s="13" t="inlineStr">
        <is>
          <t>Marvel Super Heroes (MSH)</t>
        </is>
      </c>
      <c r="I3821" s="13" t="inlineStr">
        <is>
          <t>Não</t>
        </is>
      </c>
      <c r="J3821" s="13" t="n">
        <v>2026</v>
      </c>
      <c r="K3821" s="10" t="n">
        <v>46116</v>
      </c>
      <c r="L3821" s="13" t="n">
        <v>1</v>
      </c>
      <c r="M3821" s="8">
        <f>L3821*G3821</f>
        <v/>
      </c>
      <c r="P3821" s="9" t="n"/>
    </row>
    <row r="3822">
      <c r="A3822" s="13" t="inlineStr">
        <is>
          <t>Minotaur, Roxxon CEO</t>
        </is>
      </c>
      <c r="B3822" s="13" t="inlineStr">
        <is>
          <t>Legendary Creature — Minotaur Villain</t>
        </is>
      </c>
      <c r="C3822" s="13" t="inlineStr">
        <is>
          <t>Rare / Rara</t>
        </is>
      </c>
      <c r="D3822" s="13" t="inlineStr">
        <is>
          <t>Whenever Minotaur, Roxxon CEO or another nontoken creature dies, you create a 2/1 black Villain creature token with menace. (It can't be blocked except by two or more creatures.)</t>
        </is>
      </c>
      <c r="E3822" s="13" t="inlineStr">
        <is>
          <t>{4}{B}{B}</t>
        </is>
      </c>
      <c r="F3822" s="13" t="inlineStr">
        <is>
          <t>Preto</t>
        </is>
      </c>
      <c r="G3822" s="8" t="n">
        <v>25.65</v>
      </c>
      <c r="H3822" s="13" t="inlineStr">
        <is>
          <t>Marvel Super Heroes Commander (MSC)</t>
        </is>
      </c>
      <c r="I3822" s="13" t="inlineStr">
        <is>
          <t>Não</t>
        </is>
      </c>
      <c r="J3822" s="13" t="n">
        <v>2026</v>
      </c>
      <c r="K3822" s="10" t="n">
        <v>46116</v>
      </c>
      <c r="L3822" s="13" t="n">
        <v>1</v>
      </c>
      <c r="M3822" s="8">
        <f>L3822*G3822</f>
        <v/>
      </c>
      <c r="P3822" s="9" t="n"/>
    </row>
    <row r="3823">
      <c r="A3823" s="13" t="inlineStr">
        <is>
          <t>Dark Deed</t>
        </is>
      </c>
      <c r="B3823" s="13" t="inlineStr">
        <is>
          <t>Instant</t>
        </is>
      </c>
      <c r="C3823" s="13" t="inlineStr">
        <is>
          <t>Uncommon / Incomum</t>
        </is>
      </c>
      <c r="D3823" s="13" t="inlineStr">
        <is>
          <t>Target creature gets -4/-4 until end of turn.</t>
        </is>
      </c>
      <c r="E3823" s="13" t="inlineStr">
        <is>
          <t>{1}{B}</t>
        </is>
      </c>
      <c r="F3823" s="13" t="inlineStr">
        <is>
          <t>Preto</t>
        </is>
      </c>
      <c r="G3823" s="8" t="n">
        <v>0.32</v>
      </c>
      <c r="H3823" s="13" t="inlineStr">
        <is>
          <t>Marvel Super Heroes (MSH)</t>
        </is>
      </c>
      <c r="I3823" s="13" t="inlineStr">
        <is>
          <t>Não</t>
        </is>
      </c>
      <c r="J3823" s="13" t="n">
        <v>2026</v>
      </c>
      <c r="L3823" s="13" t="n">
        <v>1</v>
      </c>
      <c r="M3823" s="8">
        <f>L3823*G3823</f>
        <v/>
      </c>
      <c r="P3823" s="9" t="n"/>
    </row>
    <row r="3824">
      <c r="A3824" s="13" t="inlineStr">
        <is>
          <t>Visions of Villainy</t>
        </is>
      </c>
      <c r="B3824" s="13" t="inlineStr">
        <is>
          <t>Instant</t>
        </is>
      </c>
      <c r="C3824" s="13" t="inlineStr">
        <is>
          <t>Common / Comum</t>
        </is>
      </c>
      <c r="D3824" s="13" t="inlineStr">
        <is>
          <t>This spell costs {1} less to cast if you control a Villain. You draw two cards and lose 2 life.</t>
        </is>
      </c>
      <c r="E3824" s="13" t="inlineStr">
        <is>
          <t>{2}{B}</t>
        </is>
      </c>
      <c r="F3824" s="13" t="inlineStr">
        <is>
          <t>Preto</t>
        </is>
      </c>
      <c r="G3824" s="8" t="n">
        <v>0.05</v>
      </c>
      <c r="H3824" s="13" t="inlineStr">
        <is>
          <t>Marvel Super Heroes (MSH)</t>
        </is>
      </c>
      <c r="I3824" s="13" t="inlineStr">
        <is>
          <t>Não</t>
        </is>
      </c>
      <c r="J3824" s="13" t="n">
        <v>2026</v>
      </c>
      <c r="L3824" s="13" t="n">
        <v>1</v>
      </c>
      <c r="M3824" s="8">
        <f>L3824*G3824</f>
        <v/>
      </c>
      <c r="P3824" s="9" t="n"/>
    </row>
    <row r="3825">
      <c r="A3825" s="13" t="inlineStr">
        <is>
          <t>Hour of Defeat</t>
        </is>
      </c>
      <c r="B3825" s="13" t="inlineStr">
        <is>
          <t>Instant</t>
        </is>
      </c>
      <c r="C3825" s="13" t="inlineStr">
        <is>
          <t>Common / Comum</t>
        </is>
      </c>
      <c r="D3825" s="13" t="inlineStr">
        <is>
          <t>Destroy target creature. Surveil 1. (Look at the top card of your library. You may put it into your graveyard.)</t>
        </is>
      </c>
      <c r="E3825" s="13" t="inlineStr">
        <is>
          <t>{3}{B}</t>
        </is>
      </c>
      <c r="F3825" s="13" t="inlineStr">
        <is>
          <t>Preto</t>
        </is>
      </c>
      <c r="G3825" s="8" t="n">
        <v>0.02</v>
      </c>
      <c r="H3825" s="13" t="inlineStr">
        <is>
          <t>Marvel Super Heroes (MSH)</t>
        </is>
      </c>
      <c r="I3825" s="13" t="inlineStr">
        <is>
          <t>Não</t>
        </is>
      </c>
      <c r="J3825" s="13" t="n">
        <v>2026</v>
      </c>
      <c r="L3825" s="13" t="n">
        <v>1</v>
      </c>
      <c r="M3825" s="8">
        <f>L3825*G3825</f>
        <v/>
      </c>
      <c r="P3825" s="9" t="n"/>
    </row>
    <row r="3826">
      <c r="A3826" s="13" t="inlineStr">
        <is>
          <t>Thriving Moor / Charco Vicejante</t>
        </is>
      </c>
      <c r="B3826" s="13" t="inlineStr">
        <is>
          <t>Land / Terreno</t>
        </is>
      </c>
      <c r="C3826" s="13" t="inlineStr">
        <is>
          <t>Common / Comum</t>
        </is>
      </c>
      <c r="D3826" s="13" t="inlineStr">
        <is>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is>
      </c>
      <c r="F3826" s="13" t="inlineStr">
        <is>
          <t>Preto</t>
        </is>
      </c>
      <c r="G3826" s="8" t="n">
        <v>0.17</v>
      </c>
      <c r="H3826" s="13" t="inlineStr">
        <is>
          <t>Marvel Super Heroes Commander (MSC)</t>
        </is>
      </c>
      <c r="I3826" s="13" t="inlineStr">
        <is>
          <t>Não</t>
        </is>
      </c>
      <c r="J3826" s="13" t="n">
        <v>2026</v>
      </c>
      <c r="L3826" s="13" t="n">
        <v>1</v>
      </c>
      <c r="M3826" s="8">
        <f>L3826*G3826</f>
        <v/>
      </c>
      <c r="P3826" s="9" t="n"/>
    </row>
    <row r="3827">
      <c r="A3827" s="13" t="inlineStr">
        <is>
          <t>Swamp / Pântano</t>
        </is>
      </c>
      <c r="B3827" s="13" t="inlineStr">
        <is>
          <t>Basic Land — Swamp / Terreno Básico — Pântano</t>
        </is>
      </c>
      <c r="C3827" s="13" t="inlineStr">
        <is>
          <t>Common / Comum</t>
        </is>
      </c>
      <c r="D3827" s="13" t="inlineStr">
        <is>
          <t>({T}: Add {B}.) / B</t>
        </is>
      </c>
      <c r="F3827" s="13" t="inlineStr">
        <is>
          <t>Preto</t>
        </is>
      </c>
      <c r="G3827" s="8" t="n">
        <v>0.49</v>
      </c>
      <c r="H3827" s="13" t="inlineStr">
        <is>
          <t>Marvel Super Heroes (MSH) FA 281</t>
        </is>
      </c>
      <c r="I3827" s="13" t="inlineStr">
        <is>
          <t>Sim</t>
        </is>
      </c>
      <c r="J3827" s="13" t="n">
        <v>2026</v>
      </c>
      <c r="L3827" s="13" t="n">
        <v>1</v>
      </c>
      <c r="M3827" s="8">
        <f>L3827*G3827</f>
        <v/>
      </c>
      <c r="P3827" s="9" t="n"/>
    </row>
    <row r="3828">
      <c r="A3828" s="13" t="inlineStr">
        <is>
          <t>Swamp / Pântano</t>
        </is>
      </c>
      <c r="B3828" s="13" t="inlineStr">
        <is>
          <t>Basic Land — Swamp / Terreno Básico — Pântano</t>
        </is>
      </c>
      <c r="C3828" s="13" t="inlineStr">
        <is>
          <t>Common / Comum</t>
        </is>
      </c>
      <c r="D3828" s="13" t="inlineStr">
        <is>
          <t>({T}: Add {B}.) / B</t>
        </is>
      </c>
      <c r="F3828" s="13" t="inlineStr">
        <is>
          <t>Preto</t>
        </is>
      </c>
      <c r="G3828" s="8" t="n">
        <v>0.2</v>
      </c>
      <c r="H3828" s="13" t="inlineStr">
        <is>
          <t xml:space="preserve">Marvel Super Heroes (MSH) </t>
        </is>
      </c>
      <c r="I3828" s="13" t="inlineStr">
        <is>
          <t>Sim</t>
        </is>
      </c>
      <c r="J3828" s="13" t="n">
        <v>2026</v>
      </c>
      <c r="L3828" s="13" t="n">
        <v>6</v>
      </c>
      <c r="M3828" s="8">
        <f>L3828*G3828</f>
        <v/>
      </c>
      <c r="P3828" s="9" t="n"/>
    </row>
    <row r="3829">
      <c r="A3829" s="13" t="inlineStr">
        <is>
          <t>Agent of Atlas</t>
        </is>
      </c>
      <c r="B3829" s="13" t="inlineStr">
        <is>
          <t>Creature — Human Spy Hero</t>
        </is>
      </c>
      <c r="C3829" s="13" t="inlineStr">
        <is>
          <t>Common / Comum</t>
        </is>
      </c>
      <c r="D3829" s="13" t="inlineStr">
        <is>
          <t>Prowess (Whenever you cast a noncreature spell, this creature gets +1/+1 until end of turn.)</t>
        </is>
      </c>
      <c r="E3829" s="13" t="inlineStr">
        <is>
          <t>{1}{W}</t>
        </is>
      </c>
      <c r="F3829" s="13" t="inlineStr">
        <is>
          <t>Branco</t>
        </is>
      </c>
      <c r="G3829" s="8" t="n">
        <v>0.07000000000000001</v>
      </c>
      <c r="H3829" s="13" t="inlineStr">
        <is>
          <t>Marvel Super Heroes (MSH)</t>
        </is>
      </c>
      <c r="I3829" s="13" t="inlineStr">
        <is>
          <t>Não</t>
        </is>
      </c>
      <c r="J3829" s="13" t="n">
        <v>2026</v>
      </c>
      <c r="K3829" s="10" t="n">
        <v>46055</v>
      </c>
      <c r="L3829" s="13" t="n">
        <v>1</v>
      </c>
      <c r="M3829" s="8">
        <f>L3829*G3829</f>
        <v/>
      </c>
      <c r="P3829" s="9" t="n"/>
    </row>
    <row r="3830">
      <c r="A3830" s="13" t="inlineStr">
        <is>
          <t>Peggy Carter, Secret Agent</t>
        </is>
      </c>
      <c r="B3830" s="13" t="inlineStr">
        <is>
          <t>Legendary Creature — Human Spy Hero</t>
        </is>
      </c>
      <c r="C3830" s="13" t="inlineStr">
        <is>
          <t>Uncommon / Incomum</t>
        </is>
      </c>
      <c r="D3830" s="13" t="inlineStr">
        <is>
          <t>Whenever a creature you control attacks alone, it gains indestructible until end of turn. (Damage and effects that say "destroy" don't destroy it.)</t>
        </is>
      </c>
      <c r="E3830" s="13" t="inlineStr">
        <is>
          <t>{1}{W}</t>
        </is>
      </c>
      <c r="F3830" s="13" t="inlineStr">
        <is>
          <t>Branco</t>
        </is>
      </c>
      <c r="G3830" s="8" t="n">
        <v>7.5</v>
      </c>
      <c r="H3830" s="13" t="inlineStr">
        <is>
          <t>Marvel Super Heroes Commander (MSC)</t>
        </is>
      </c>
      <c r="I3830" s="13" t="inlineStr">
        <is>
          <t>Não</t>
        </is>
      </c>
      <c r="J3830" s="13" t="n">
        <v>2026</v>
      </c>
      <c r="K3830" s="10" t="n">
        <v>46024</v>
      </c>
      <c r="L3830" s="13" t="n">
        <v>1</v>
      </c>
      <c r="M3830" s="8">
        <f>L3830*G3830</f>
        <v/>
      </c>
      <c r="P3830" s="9" t="n"/>
    </row>
    <row r="3831">
      <c r="A3831" s="13" t="inlineStr">
        <is>
          <t>Brave Brawler</t>
        </is>
      </c>
      <c r="B3831" s="13" t="inlineStr">
        <is>
          <t>Creature — Human Warrior Hero</t>
        </is>
      </c>
      <c r="C3831" s="13" t="inlineStr">
        <is>
          <t>Common / Comum</t>
        </is>
      </c>
      <c r="D3831" s="13" t="inlineStr">
        <is>
          <t>Lifelink Power-up — {4}{W}: Put two +1/+1 counters on this creature. (Activate each power-up ability only once. Reduce the cost by its mana cost if it entered this turn.)</t>
        </is>
      </c>
      <c r="E3831" s="13" t="inlineStr">
        <is>
          <t>{1}{W}</t>
        </is>
      </c>
      <c r="F3831" s="13" t="inlineStr">
        <is>
          <t>Branco</t>
        </is>
      </c>
      <c r="G3831" s="8" t="n">
        <v>0.11</v>
      </c>
      <c r="H3831" s="13" t="inlineStr">
        <is>
          <t>Marvel Super Heroes (MSH)</t>
        </is>
      </c>
      <c r="I3831" s="13" t="inlineStr">
        <is>
          <t>Não</t>
        </is>
      </c>
      <c r="J3831" s="13" t="n">
        <v>2026</v>
      </c>
      <c r="K3831" s="10" t="n">
        <v>46024</v>
      </c>
      <c r="L3831" s="13" t="n">
        <v>1</v>
      </c>
      <c r="M3831" s="8">
        <f>L3831*G3831</f>
        <v/>
      </c>
      <c r="P3831" s="9" t="n"/>
    </row>
    <row r="3832">
      <c r="A3832" s="13" t="inlineStr">
        <is>
          <t>Agents of S.H.I.E.L.D.</t>
        </is>
      </c>
      <c r="B3832" s="13" t="inlineStr">
        <is>
          <t>Creature — Human Spy Hero</t>
        </is>
      </c>
      <c r="C3832" s="13" t="inlineStr">
        <is>
          <t>Common / Comum</t>
        </is>
      </c>
      <c r="D3832" s="13" t="inlineStr">
        <is>
          <t>Whenever a creature you control attacks alone, that creature gets +1/+1 until end of turn.</t>
        </is>
      </c>
      <c r="E3832" s="13" t="inlineStr">
        <is>
          <t>{2}{W}</t>
        </is>
      </c>
      <c r="F3832" s="13" t="inlineStr">
        <is>
          <t>Branco</t>
        </is>
      </c>
      <c r="G3832" s="8" t="n">
        <v>0.11</v>
      </c>
      <c r="H3832" s="13" t="inlineStr">
        <is>
          <t>Marvel Super Heroes (MSH)</t>
        </is>
      </c>
      <c r="I3832" s="13" t="inlineStr">
        <is>
          <t>Não</t>
        </is>
      </c>
      <c r="J3832" s="13" t="n">
        <v>2026</v>
      </c>
      <c r="K3832" s="10" t="n">
        <v>46114</v>
      </c>
      <c r="L3832" s="13" t="n">
        <v>1</v>
      </c>
      <c r="M3832" s="8">
        <f>L3832*G3832</f>
        <v/>
      </c>
      <c r="P3832" s="9" t="n"/>
    </row>
    <row r="3833">
      <c r="A3833" s="13" t="inlineStr">
        <is>
          <t>Hawkeye, Clint Barton</t>
        </is>
      </c>
      <c r="B3833" s="13" t="inlineStr">
        <is>
          <t>Legendary Creature — Human Archer Hero</t>
        </is>
      </c>
      <c r="C3833" s="13" t="inlineStr">
        <is>
          <t>Uncommon / Incomum</t>
        </is>
      </c>
      <c r="D3833" s="13" t="inlineStr">
        <is>
          <t>Vigilance (Attacking doesn't cause this creature to tap.)</t>
        </is>
      </c>
      <c r="E3833" s="13" t="inlineStr">
        <is>
          <t>{3}{W}</t>
        </is>
      </c>
      <c r="F3833" s="13" t="inlineStr">
        <is>
          <t>Branco</t>
        </is>
      </c>
      <c r="G3833" s="8" t="n">
        <v>1</v>
      </c>
      <c r="H3833" s="13" t="inlineStr">
        <is>
          <t>Marvel Super Heroes Commander (MSC)</t>
        </is>
      </c>
      <c r="I3833" s="13" t="inlineStr">
        <is>
          <t>Não</t>
        </is>
      </c>
      <c r="J3833" s="13" t="n">
        <v>2026</v>
      </c>
      <c r="K3833" s="10" t="n">
        <v>46145</v>
      </c>
      <c r="L3833" s="13" t="n">
        <v>2</v>
      </c>
      <c r="M3833" s="8">
        <f>L3833*G3833</f>
        <v/>
      </c>
      <c r="P3833" s="9" t="n"/>
    </row>
    <row r="3834">
      <c r="A3834" s="13" t="inlineStr">
        <is>
          <t>Okoye, Dora Milaje Leader</t>
        </is>
      </c>
      <c r="B3834" s="13" t="inlineStr">
        <is>
          <t>Legendary Creature — Human Warrior Hero</t>
        </is>
      </c>
      <c r="C3834" s="13" t="inlineStr">
        <is>
          <t>Uncommon / Incomum</t>
        </is>
      </c>
      <c r="D3834" s="13" t="inlineStr">
        <is>
          <t>When Okoye enters, create two 1/1 white Soldier creature tokens. Attacking creature tokens you control have first strike.</t>
        </is>
      </c>
      <c r="E3834" s="13" t="inlineStr">
        <is>
          <t>{3}{W}</t>
        </is>
      </c>
      <c r="F3834" s="13" t="inlineStr">
        <is>
          <t>Branco</t>
        </is>
      </c>
      <c r="G3834" s="8" t="n">
        <v>0.18</v>
      </c>
      <c r="H3834" s="13" t="inlineStr">
        <is>
          <t>Marvel Super Heroes (MSH)</t>
        </is>
      </c>
      <c r="I3834" s="13" t="inlineStr">
        <is>
          <t>Não</t>
        </is>
      </c>
      <c r="J3834" s="13" t="n">
        <v>2026</v>
      </c>
      <c r="K3834" s="10" t="n">
        <v>46056</v>
      </c>
      <c r="L3834" s="13" t="n">
        <v>1</v>
      </c>
      <c r="M3834" s="8">
        <f>L3834*G3834</f>
        <v/>
      </c>
      <c r="P3834" s="9" t="n"/>
    </row>
    <row r="3835">
      <c r="A3835" s="13" t="inlineStr">
        <is>
          <t>Valkyrior Skyrider</t>
        </is>
      </c>
      <c r="B3835" s="13" t="inlineStr">
        <is>
          <t>Creature — God Warrior Hero</t>
        </is>
      </c>
      <c r="C3835" s="13" t="inlineStr">
        <is>
          <t>Common / Comum</t>
        </is>
      </c>
      <c r="D3835" s="13" t="inlineStr">
        <is>
          <t>Flying (This creature can't be blocked except by creatures with flying or reach.) When this creature enters, you gain 4 life.</t>
        </is>
      </c>
      <c r="E3835" s="13" t="inlineStr">
        <is>
          <t>{4}{W}</t>
        </is>
      </c>
      <c r="F3835" s="13" t="inlineStr">
        <is>
          <t>Branco</t>
        </is>
      </c>
      <c r="G3835" s="8" t="n">
        <v>1.28</v>
      </c>
      <c r="H3835" s="13" t="inlineStr">
        <is>
          <t>Marvel Super Heroes Commander (MSC)</t>
        </is>
      </c>
      <c r="I3835" s="13" t="inlineStr">
        <is>
          <t>Não</t>
        </is>
      </c>
      <c r="J3835" s="13" t="n">
        <v>2026</v>
      </c>
      <c r="K3835" s="10" t="n">
        <v>46115</v>
      </c>
      <c r="L3835" s="13" t="n">
        <v>1</v>
      </c>
      <c r="M3835" s="8">
        <f>L3835*G3835</f>
        <v/>
      </c>
      <c r="P3835" s="9" t="n"/>
    </row>
    <row r="3836">
      <c r="A3836" s="13" t="inlineStr">
        <is>
          <t>Wondrous Revival</t>
        </is>
      </c>
      <c r="B3836" s="13" t="inlineStr">
        <is>
          <t>Sorcery</t>
        </is>
      </c>
      <c r="C3836" s="13" t="inlineStr">
        <is>
          <t>Rare / Rara</t>
        </is>
      </c>
      <c r="D3836" s="13" t="inlineStr">
        <is>
          <t>Return up to three target Hero creature cards from your graveyard to the battlefield.</t>
        </is>
      </c>
      <c r="E3836" s="13" t="inlineStr">
        <is>
          <t>{4}{W}{W}</t>
        </is>
      </c>
      <c r="F3836" s="13" t="inlineStr">
        <is>
          <t>Branco</t>
        </is>
      </c>
      <c r="G3836" s="8" t="n">
        <v>28.5</v>
      </c>
      <c r="H3836" s="13" t="inlineStr">
        <is>
          <t>Marvel Super Heroes Commander (MSC)</t>
        </is>
      </c>
      <c r="I3836" s="13" t="inlineStr">
        <is>
          <t>Não</t>
        </is>
      </c>
      <c r="J3836" s="13" t="n">
        <v>2026</v>
      </c>
      <c r="L3836" s="13" t="n">
        <v>1</v>
      </c>
      <c r="M3836" s="8">
        <f>L3836*G3836</f>
        <v/>
      </c>
      <c r="P3836" s="9" t="n"/>
    </row>
    <row r="3837">
      <c r="A3837" s="13" t="inlineStr">
        <is>
          <t>Iconic Shield</t>
        </is>
      </c>
      <c r="B3837" s="13" t="inlineStr">
        <is>
          <t>Artifact — Equipment</t>
        </is>
      </c>
      <c r="C3837" s="13" t="inlineStr">
        <is>
          <t>Uncommon / Incomum</t>
        </is>
      </c>
      <c r="D3837" s="13" t="inlineStr">
        <is>
          <t>Equipped creature gets +1/+2 and has "Whenever this creature attacks, another target attacking creature gains indestructible until end of turn." (Damage and effects that say "destroy" don't destroy it.) Equip {3} ({3}: Attach to target creature you control. Equip only as a sorcery.)</t>
        </is>
      </c>
      <c r="E3837" s="13" t="inlineStr">
        <is>
          <t>{W}</t>
        </is>
      </c>
      <c r="F3837" s="13" t="inlineStr">
        <is>
          <t>Branco</t>
        </is>
      </c>
      <c r="G3837" s="8" t="n">
        <v>7.6</v>
      </c>
      <c r="H3837" s="13" t="inlineStr">
        <is>
          <t>Marvel Super Heroes Commander (MSC)</t>
        </is>
      </c>
      <c r="I3837" s="13" t="inlineStr">
        <is>
          <t>Não</t>
        </is>
      </c>
      <c r="J3837" s="13" t="n">
        <v>2026</v>
      </c>
      <c r="L3837" s="13" t="n">
        <v>1</v>
      </c>
      <c r="M3837" s="8">
        <f>L3837*G3837</f>
        <v/>
      </c>
      <c r="P3837" s="9" t="n"/>
    </row>
    <row r="3838">
      <c r="A3838" s="13" t="inlineStr">
        <is>
          <t>Fall to Earth</t>
        </is>
      </c>
      <c r="B3838" s="13" t="inlineStr">
        <is>
          <t>Instant</t>
        </is>
      </c>
      <c r="C3838" s="13" t="inlineStr">
        <is>
          <t>Common / Comum</t>
        </is>
      </c>
      <c r="D3838" s="13" t="inlineStr">
        <is>
          <t>Exile target creature. Each player gains 3 life. Basic landcycling {2} ({2}, Discard this card: Search your library for a basic land card, reveal it, put it into your hand, then shuffle.)</t>
        </is>
      </c>
      <c r="E3838" s="13" t="inlineStr">
        <is>
          <t>{4}{W}</t>
        </is>
      </c>
      <c r="F3838" s="13" t="inlineStr">
        <is>
          <t>Branco</t>
        </is>
      </c>
      <c r="G3838" s="8" t="n">
        <v>1.38</v>
      </c>
      <c r="H3838" s="13" t="inlineStr">
        <is>
          <t>Marvel Super Heroes Commander (MSC)</t>
        </is>
      </c>
      <c r="I3838" s="13" t="inlineStr">
        <is>
          <t>Não</t>
        </is>
      </c>
      <c r="J3838" s="13" t="n">
        <v>2026</v>
      </c>
      <c r="L3838" s="13" t="n">
        <v>1</v>
      </c>
      <c r="M3838" s="8">
        <f>L3838*G3838</f>
        <v/>
      </c>
      <c r="P3838" s="9" t="n"/>
    </row>
    <row r="3839">
      <c r="A3839" s="13" t="inlineStr">
        <is>
          <t>Pacifism / Pacifismo</t>
        </is>
      </c>
      <c r="B3839" s="13" t="inlineStr">
        <is>
          <t>Enchantment — Aura / Encantamento — Aura</t>
        </is>
      </c>
      <c r="C3839" s="13" t="inlineStr">
        <is>
          <t>Common / Comum</t>
        </is>
      </c>
      <c r="D3839" s="13" t="inlineStr">
        <is>
          <t>Enchant creature Enchanted creature can't attack or block. / Encantar criatura A criatura encantada não pode atacar nem bloquear.</t>
        </is>
      </c>
      <c r="E3839" s="13" t="inlineStr">
        <is>
          <t>{1}{W}</t>
        </is>
      </c>
      <c r="F3839" s="13" t="inlineStr">
        <is>
          <t>Branco</t>
        </is>
      </c>
      <c r="G3839" s="8" t="n">
        <v>0.23</v>
      </c>
      <c r="H3839" s="13" t="inlineStr">
        <is>
          <t>Marvel Super Heroes Commander (MSC)</t>
        </is>
      </c>
      <c r="I3839" s="13" t="inlineStr">
        <is>
          <t>Não</t>
        </is>
      </c>
      <c r="J3839" s="13" t="n">
        <v>2026</v>
      </c>
      <c r="L3839" s="13" t="n">
        <v>1</v>
      </c>
      <c r="M3839" s="8">
        <f>L3839*G3839</f>
        <v/>
      </c>
      <c r="P3839" s="9" t="n"/>
    </row>
    <row r="3840">
      <c r="A3840" s="13" t="inlineStr">
        <is>
          <t>Thriving Heath / Charneca Vicejante</t>
        </is>
      </c>
      <c r="B3840" s="13" t="inlineStr">
        <is>
          <t>Land / Terreno</t>
        </is>
      </c>
      <c r="C3840" s="13" t="inlineStr">
        <is>
          <t>Common / Comum</t>
        </is>
      </c>
      <c r="D3840" s="13" t="inlineStr">
        <is>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is>
      </c>
      <c r="F3840" s="13" t="inlineStr">
        <is>
          <t>Branco</t>
        </is>
      </c>
      <c r="G3840" s="8" t="n">
        <v>0.43</v>
      </c>
      <c r="H3840" s="13" t="inlineStr">
        <is>
          <t>Marvel Super Heroes Commander (MSC)</t>
        </is>
      </c>
      <c r="I3840" s="13" t="inlineStr">
        <is>
          <t>Não</t>
        </is>
      </c>
      <c r="J3840" s="13" t="n">
        <v>2026</v>
      </c>
      <c r="L3840" s="13" t="n">
        <v>1</v>
      </c>
      <c r="M3840" s="8">
        <f>L3840*G3840</f>
        <v/>
      </c>
      <c r="P3840" s="9" t="n"/>
    </row>
    <row r="3841">
      <c r="A3841" s="13" t="inlineStr">
        <is>
          <t>Plains / Planície</t>
        </is>
      </c>
      <c r="B3841" s="13" t="inlineStr">
        <is>
          <t>Basic Land — Plains / Terreno Básico — Planície</t>
        </is>
      </c>
      <c r="C3841" s="13" t="inlineStr">
        <is>
          <t>Common / Comum</t>
        </is>
      </c>
      <c r="D3841" s="13" t="inlineStr">
        <is>
          <t>({T}: Add {W}.) / W</t>
        </is>
      </c>
      <c r="F3841" s="13" t="inlineStr">
        <is>
          <t>Branco</t>
        </is>
      </c>
      <c r="G3841" s="8" t="n">
        <v>0.46</v>
      </c>
      <c r="H3841" s="13" t="inlineStr">
        <is>
          <t>Marvel Super Heroes (MSH) FA 278</t>
        </is>
      </c>
      <c r="I3841" s="13" t="inlineStr">
        <is>
          <t>Sim</t>
        </is>
      </c>
      <c r="J3841" s="13" t="n">
        <v>2026</v>
      </c>
      <c r="L3841" s="13" t="n">
        <v>1</v>
      </c>
      <c r="M3841" s="8">
        <f>L3841*G3841</f>
        <v/>
      </c>
      <c r="P3841" s="9" t="n"/>
    </row>
    <row r="3842">
      <c r="A3842" s="13" t="inlineStr">
        <is>
          <t>Plains / Planície</t>
        </is>
      </c>
      <c r="B3842" s="13" t="inlineStr">
        <is>
          <t>Basic Land — Plains / Terreno Básico — Planície</t>
        </is>
      </c>
      <c r="C3842" s="13" t="inlineStr">
        <is>
          <t>Common / Comum</t>
        </is>
      </c>
      <c r="D3842" s="13" t="inlineStr">
        <is>
          <t>({T}: Add {W}.) / W</t>
        </is>
      </c>
      <c r="F3842" s="13" t="inlineStr">
        <is>
          <t>Branco</t>
        </is>
      </c>
      <c r="G3842" s="8" t="n">
        <v>0.2</v>
      </c>
      <c r="H3842" s="13" t="inlineStr">
        <is>
          <t>Marvel Super Heroes (MSH)</t>
        </is>
      </c>
      <c r="I3842" s="13" t="inlineStr">
        <is>
          <t>Sim</t>
        </is>
      </c>
      <c r="J3842" s="13" t="n">
        <v>2026</v>
      </c>
      <c r="L3842" s="13" t="n">
        <v>14</v>
      </c>
      <c r="M3842" s="8">
        <f>L3842*G3842</f>
        <v/>
      </c>
      <c r="P3842" s="9" t="n"/>
    </row>
    <row r="3843">
      <c r="A3843" s="13" t="inlineStr">
        <is>
          <t>Hawkeye's Shot</t>
        </is>
      </c>
      <c r="B3843" s="13" t="inlineStr">
        <is>
          <t>Sorcery</t>
        </is>
      </c>
      <c r="C3843" s="13" t="inlineStr">
        <is>
          <t>Common / Comum</t>
        </is>
      </c>
      <c r="D3843" s="13" t="inlineStr">
        <is>
          <t>This spell costs {2} less to cast if it targets a tapped creature. Exile target creature.</t>
        </is>
      </c>
      <c r="E3843" s="13" t="inlineStr">
        <is>
          <t>{4}{W}</t>
        </is>
      </c>
      <c r="F3843" s="13" t="inlineStr">
        <is>
          <t>Branco</t>
        </is>
      </c>
      <c r="G3843" s="8" t="n">
        <v>0.9</v>
      </c>
      <c r="H3843" s="13" t="inlineStr">
        <is>
          <t>Marvel Super Heroes Commander (MSC)</t>
        </is>
      </c>
      <c r="I3843" s="13" t="inlineStr">
        <is>
          <t>Não</t>
        </is>
      </c>
      <c r="J3843" s="13" t="n">
        <v>2026</v>
      </c>
      <c r="L3843" s="13" t="n">
        <v>1</v>
      </c>
      <c r="M3843" s="8">
        <f>L3843*G3843</f>
        <v/>
      </c>
      <c r="P3843" s="9" t="n"/>
    </row>
    <row r="3844">
      <c r="A3844" s="13" t="inlineStr">
        <is>
          <t>Soldier On</t>
        </is>
      </c>
      <c r="B3844" s="13" t="inlineStr">
        <is>
          <t>Instant</t>
        </is>
      </c>
      <c r="C3844" s="13" t="inlineStr">
        <is>
          <t>Common / Comum</t>
        </is>
      </c>
      <c r="D3844" s="13" t="inlineStr">
        <is>
          <t>Put two +1/+1 counters on target creature. Untap it.</t>
        </is>
      </c>
      <c r="E3844" s="13" t="inlineStr">
        <is>
          <t>{2}{W}</t>
        </is>
      </c>
      <c r="F3844" s="13" t="inlineStr">
        <is>
          <t>Branco</t>
        </is>
      </c>
      <c r="G3844" s="8" t="n">
        <v>0.9</v>
      </c>
      <c r="H3844" s="13" t="inlineStr">
        <is>
          <t>Marvel Super Heroes Commander (MSC)</t>
        </is>
      </c>
      <c r="I3844" s="13" t="inlineStr">
        <is>
          <t>Não</t>
        </is>
      </c>
      <c r="J3844" s="13" t="n">
        <v>2026</v>
      </c>
      <c r="L3844" s="13" t="n">
        <v>1</v>
      </c>
      <c r="M3844" s="8">
        <f>L3844*G3844</f>
        <v/>
      </c>
      <c r="P3844" s="9" t="n"/>
    </row>
    <row r="3845">
      <c r="A3845" s="13" t="inlineStr">
        <is>
          <t>Mockingbird, Bobbi Morse</t>
        </is>
      </c>
      <c r="B3845" s="13" t="inlineStr">
        <is>
          <t>Legendary Creature — Human Hero</t>
        </is>
      </c>
      <c r="C3845" s="13" t="inlineStr">
        <is>
          <t>Common / Comum</t>
        </is>
      </c>
      <c r="D3845" s="13" t="inlineStr">
        <is>
          <t>Whenever Mockingbird is dealt damage, put a +1/+1 counter on her. (She must survive the damage to get the counter.)</t>
        </is>
      </c>
      <c r="E3845" s="13" t="inlineStr">
        <is>
          <t>{3}{W}</t>
        </is>
      </c>
      <c r="F3845" s="13" t="inlineStr">
        <is>
          <t>Branco</t>
        </is>
      </c>
      <c r="G3845" s="8" t="n">
        <v>1</v>
      </c>
      <c r="H3845" s="13" t="inlineStr">
        <is>
          <t>Marvel Super Heroes Commander (MSC)</t>
        </is>
      </c>
      <c r="I3845" s="13" t="inlineStr">
        <is>
          <t>Não</t>
        </is>
      </c>
      <c r="J3845" s="13" t="n">
        <v>2026</v>
      </c>
      <c r="K3845" s="10" t="n">
        <v>46084</v>
      </c>
      <c r="L3845" s="13" t="n">
        <v>1</v>
      </c>
      <c r="M3845" s="8">
        <f>L3845*G3845</f>
        <v/>
      </c>
      <c r="P3845" s="9" t="n"/>
    </row>
    <row r="3846">
      <c r="A3846" s="13" t="inlineStr">
        <is>
          <t>Ant-Man, Scott Lang</t>
        </is>
      </c>
      <c r="B3846" s="13" t="inlineStr">
        <is>
          <t>Legendary Creature — Human Hero</t>
        </is>
      </c>
      <c r="C3846" s="13" t="inlineStr">
        <is>
          <t>Common / Comum</t>
        </is>
      </c>
      <c r="D3846" s="13" t="inlineStr">
        <is>
          <t>{4}: Put a +1/+1 counter on Ant-Man.</t>
        </is>
      </c>
      <c r="E3846" s="13" t="inlineStr">
        <is>
          <t>{1}{W}</t>
        </is>
      </c>
      <c r="F3846" s="13" t="inlineStr">
        <is>
          <t>Branco</t>
        </is>
      </c>
      <c r="G3846" s="8" t="n">
        <v>1</v>
      </c>
      <c r="H3846" s="13" t="inlineStr">
        <is>
          <t>Marvel Super Heroes Commander (MSC)</t>
        </is>
      </c>
      <c r="I3846" s="13" t="inlineStr">
        <is>
          <t>Não</t>
        </is>
      </c>
      <c r="J3846" s="13" t="n">
        <v>2026</v>
      </c>
      <c r="K3846" s="10" t="n">
        <v>46055</v>
      </c>
      <c r="L3846" s="13" t="n">
        <v>1</v>
      </c>
      <c r="M3846" s="8">
        <f>L3846*G3846</f>
        <v/>
      </c>
      <c r="P3846" s="9" t="n"/>
    </row>
    <row r="3847">
      <c r="A3847" s="13" t="inlineStr">
        <is>
          <t>Captain America, Steve Rogers</t>
        </is>
      </c>
      <c r="B3847" s="13" t="inlineStr">
        <is>
          <t>Legendary Creature — Human Soldier Hero</t>
        </is>
      </c>
      <c r="C3847" s="13" t="inlineStr">
        <is>
          <t>Rare / Rara</t>
        </is>
      </c>
      <c r="D3847" s="13" t="inlineStr">
        <is>
          <t>Lifelink (Damage dealt by this creature also causes you to gain that much life.) Whenever Captain America attacks, put a +1/+1 counter on another target creature you control. That creature gains indestructible until end of turn. (Damage and effects that say "destroy" don't destroy it.)</t>
        </is>
      </c>
      <c r="E3847" s="13" t="inlineStr">
        <is>
          <t>{3}{W}{W}</t>
        </is>
      </c>
      <c r="F3847" s="13" t="inlineStr">
        <is>
          <t>Branco</t>
        </is>
      </c>
      <c r="G3847" s="8" t="n">
        <v>29.7</v>
      </c>
      <c r="H3847" s="13" t="inlineStr">
        <is>
          <t>Marvel Super Heroes Commander (MSC)</t>
        </is>
      </c>
      <c r="I3847" s="13" t="inlineStr">
        <is>
          <t>Não</t>
        </is>
      </c>
      <c r="J3847" s="13" t="n">
        <v>2026</v>
      </c>
      <c r="K3847" s="10" t="n">
        <v>46116</v>
      </c>
      <c r="L3847" s="13" t="n">
        <v>1</v>
      </c>
      <c r="M3847" s="8">
        <f>L3847*G3847</f>
        <v/>
      </c>
      <c r="P3847" s="9" t="n"/>
    </row>
    <row r="3848">
      <c r="A3848" s="13" t="inlineStr">
        <is>
          <t>Captain's Defense</t>
        </is>
      </c>
      <c r="B3848" s="13" t="inlineStr">
        <is>
          <t>Instant</t>
        </is>
      </c>
      <c r="C3848" s="13" t="inlineStr">
        <is>
          <t>Common / Comum</t>
        </is>
      </c>
      <c r="D3848" s="13" t="inlineStr">
        <is>
          <t>Target blocking creature gets +2/+2 until end of turn. Draw a card.</t>
        </is>
      </c>
      <c r="E3848" s="13" t="inlineStr">
        <is>
          <t>{W}</t>
        </is>
      </c>
      <c r="F3848" s="13" t="inlineStr">
        <is>
          <t>Branco</t>
        </is>
      </c>
      <c r="G3848" s="8" t="n">
        <v>1</v>
      </c>
      <c r="H3848" s="13" t="inlineStr">
        <is>
          <t>Marvel Super Heroes Commander (MSC)</t>
        </is>
      </c>
      <c r="I3848" s="13" t="inlineStr">
        <is>
          <t>Não</t>
        </is>
      </c>
      <c r="J3848" s="13" t="n">
        <v>2026</v>
      </c>
      <c r="L3848" s="13" t="n">
        <v>1</v>
      </c>
      <c r="M3848" s="8">
        <f>L3848*G3848</f>
        <v/>
      </c>
      <c r="P3848" s="9" t="n"/>
    </row>
    <row r="3849">
      <c r="A3849" s="13" t="inlineStr">
        <is>
          <t>The Falcon, Sam Wilson</t>
        </is>
      </c>
      <c r="B3849" s="13" t="inlineStr">
        <is>
          <t>Legendary Creature — Human Hero</t>
        </is>
      </c>
      <c r="C3849" s="13" t="inlineStr">
        <is>
          <t>Uncommon / Incomum</t>
        </is>
      </c>
      <c r="D3849" s="13" t="inlineStr">
        <is>
          <t>Flying (This creature can't be blocked except by creatures with flying or reach.) When The Falcon enters, put a +1/+1 counter on each other creature you control.</t>
        </is>
      </c>
      <c r="E3849" s="13" t="inlineStr">
        <is>
          <t>{4}{W}</t>
        </is>
      </c>
      <c r="F3849" s="13" t="inlineStr">
        <is>
          <t>Branco</t>
        </is>
      </c>
      <c r="G3849" s="8" t="n">
        <v>1</v>
      </c>
      <c r="H3849" s="13" t="inlineStr">
        <is>
          <t>Marvel Super Heroes Commander (MSC)</t>
        </is>
      </c>
      <c r="I3849" s="13" t="inlineStr">
        <is>
          <t>Não</t>
        </is>
      </c>
      <c r="J3849" s="13" t="n">
        <v>2026</v>
      </c>
      <c r="K3849" s="10" t="n">
        <v>46084</v>
      </c>
      <c r="L3849" s="13" t="n">
        <v>1</v>
      </c>
      <c r="M3849" s="8">
        <f>L3849*G3849</f>
        <v/>
      </c>
      <c r="P3849" s="9" t="n"/>
    </row>
    <row r="3850">
      <c r="A3850" s="13" t="inlineStr">
        <is>
          <t>The Wasp, Janet Van Dyne</t>
        </is>
      </c>
      <c r="B3850" s="13" t="inlineStr">
        <is>
          <t>Legendary Creature — Human Hero</t>
        </is>
      </c>
      <c r="C3850" s="13" t="inlineStr">
        <is>
          <t>Uncommon / Incomum</t>
        </is>
      </c>
      <c r="D3850" s="13" t="inlineStr">
        <is>
          <t>Flying (This creature can't be blocked except by creatures with flying or reach.) When The Wasp enters, she deals 4 damage to target tapped creature an opponent controls.</t>
        </is>
      </c>
      <c r="E3850" s="13" t="inlineStr">
        <is>
          <t>{2}{W}</t>
        </is>
      </c>
      <c r="F3850" s="13" t="inlineStr">
        <is>
          <t>Branco</t>
        </is>
      </c>
      <c r="G3850" s="8" t="n">
        <v>1.98</v>
      </c>
      <c r="H3850" s="13" t="inlineStr">
        <is>
          <t>Marvel Super Heroes Commander (MSC)</t>
        </is>
      </c>
      <c r="I3850" s="13" t="inlineStr">
        <is>
          <t>Não</t>
        </is>
      </c>
      <c r="J3850" s="13" t="n">
        <v>2026</v>
      </c>
      <c r="K3850" s="10" t="n">
        <v>46023</v>
      </c>
      <c r="L3850" s="13" t="n">
        <v>1</v>
      </c>
      <c r="M3850" s="8">
        <f>L3850*G3850</f>
        <v/>
      </c>
      <c r="P3850" s="9" t="n"/>
    </row>
    <row r="3851">
      <c r="A3851" s="13" t="inlineStr">
        <is>
          <t>Mandroid Squadron</t>
        </is>
      </c>
      <c r="B3851" s="13" t="inlineStr">
        <is>
          <t>Artifact Creature — Human Soldier</t>
        </is>
      </c>
      <c r="C3851" s="13" t="inlineStr">
        <is>
          <t>Common / Comum</t>
        </is>
      </c>
      <c r="D3851" s="13" t="inlineStr">
        <is>
          <t>When this creature enters, you gain 2 life.</t>
        </is>
      </c>
      <c r="E3851" s="13" t="inlineStr">
        <is>
          <t>{1}{W}</t>
        </is>
      </c>
      <c r="F3851" s="13" t="inlineStr">
        <is>
          <t>Branco</t>
        </is>
      </c>
      <c r="G3851" s="8" t="n">
        <v>1</v>
      </c>
      <c r="H3851" s="13" t="inlineStr">
        <is>
          <t>Marvel Super Heroes Commander (MSC)</t>
        </is>
      </c>
      <c r="I3851" s="13" t="inlineStr">
        <is>
          <t>Não</t>
        </is>
      </c>
      <c r="J3851" s="13" t="n">
        <v>2026</v>
      </c>
      <c r="K3851" s="13" t="inlineStr">
        <is>
          <t>0/4</t>
        </is>
      </c>
      <c r="L3851" s="13" t="n">
        <v>1</v>
      </c>
      <c r="M3851" s="8">
        <f>L3851*G3851</f>
        <v/>
      </c>
      <c r="P3851" s="9" t="n"/>
    </row>
    <row r="3852">
      <c r="A3852" s="13" t="inlineStr">
        <is>
          <t>Fruit of Tizerus / Fruto de Tízero</t>
        </is>
      </c>
      <c r="B3852" s="13" t="inlineStr">
        <is>
          <t>Sorcery / Feitiço</t>
        </is>
      </c>
      <c r="C3852" s="13" t="inlineStr">
        <is>
          <t>Common / Comum</t>
        </is>
      </c>
      <c r="D3852" s="13"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3852" s="13" t="inlineStr">
        <is>
          <t>{B}</t>
        </is>
      </c>
      <c r="F3852" s="13" t="inlineStr">
        <is>
          <t>Preto</t>
        </is>
      </c>
      <c r="G3852" s="8" t="n">
        <v>0.07000000000000001</v>
      </c>
      <c r="H3852" s="13" t="inlineStr">
        <is>
          <t>Theros Beyond Death (THB)</t>
        </is>
      </c>
      <c r="I3852" s="13" t="inlineStr">
        <is>
          <t>Não</t>
        </is>
      </c>
      <c r="J3852" s="13" t="n">
        <v>2020</v>
      </c>
      <c r="L3852" s="13" t="n">
        <v>1</v>
      </c>
      <c r="M3852" s="8">
        <f>L3852*G3852</f>
        <v/>
      </c>
      <c r="P3852" s="9" t="n"/>
    </row>
    <row r="3853">
      <c r="A3853" s="13" t="inlineStr">
        <is>
          <t>Dark Inquiry / Interrogatório Sombrio</t>
        </is>
      </c>
      <c r="B3853" s="13" t="inlineStr">
        <is>
          <t>Sorcery / Feitiço</t>
        </is>
      </c>
      <c r="C3853" s="13" t="inlineStr">
        <is>
          <t>Common / Comum</t>
        </is>
      </c>
      <c r="D3853" s="13" t="inlineStr">
        <is>
          <t>Target opponent reveals their hand. You choose a nonland card from it. That player discards that card. / O oponente alvo revela a própria mão. Você escolhe um card que não seja um terreno da mão dele. Aquele jogador descarta aquele card.</t>
        </is>
      </c>
      <c r="E3853" s="13" t="inlineStr">
        <is>
          <t>{2}{B}</t>
        </is>
      </c>
      <c r="F3853" s="13" t="inlineStr">
        <is>
          <t>Preto</t>
        </is>
      </c>
      <c r="G3853" s="8" t="n">
        <v>0.03</v>
      </c>
      <c r="H3853" s="13" t="inlineStr">
        <is>
          <t>Rivals of Ixalan (RIX)</t>
        </is>
      </c>
      <c r="I3853" s="13" t="inlineStr">
        <is>
          <t>Não</t>
        </is>
      </c>
      <c r="J3853" s="13" t="n">
        <v>2018</v>
      </c>
      <c r="L3853" s="13" t="n">
        <v>1</v>
      </c>
      <c r="M3853" s="8">
        <f>L3853*G3853</f>
        <v/>
      </c>
      <c r="P3853" s="9" t="n"/>
    </row>
    <row r="3854">
      <c r="A3854" s="13" t="inlineStr">
        <is>
          <t>Daring Demolition / Demolição Ousada</t>
        </is>
      </c>
      <c r="B3854" s="13" t="inlineStr">
        <is>
          <t>Sorcery / Feitiço</t>
        </is>
      </c>
      <c r="C3854" s="13" t="inlineStr">
        <is>
          <t>Common / Comum</t>
        </is>
      </c>
      <c r="D3854" s="13" t="inlineStr">
        <is>
          <t>Destroy target creature or Vehicle. / Destrua a criatura ou o Veículo alvo.</t>
        </is>
      </c>
      <c r="E3854" s="13" t="inlineStr">
        <is>
          <t>{2}{B}{B}</t>
        </is>
      </c>
      <c r="F3854" s="13" t="inlineStr">
        <is>
          <t>Preto</t>
        </is>
      </c>
      <c r="G3854" s="8" t="n">
        <v>0.03</v>
      </c>
      <c r="H3854" s="13" t="inlineStr">
        <is>
          <t>Aether Revolt (AER)</t>
        </is>
      </c>
      <c r="I3854" s="13" t="inlineStr">
        <is>
          <t>Não</t>
        </is>
      </c>
      <c r="J3854" s="13" t="n">
        <v>2017</v>
      </c>
      <c r="L3854" s="13" t="n">
        <v>1</v>
      </c>
      <c r="M3854" s="8">
        <f>L3854*G3854</f>
        <v/>
      </c>
      <c r="P3854" s="9" t="n"/>
    </row>
    <row r="3855">
      <c r="A3855" s="13" t="inlineStr">
        <is>
          <t>Consign to the Pit / Condenar ao Poço</t>
        </is>
      </c>
      <c r="B3855" s="13" t="inlineStr">
        <is>
          <t>Sorcery / Feitiço</t>
        </is>
      </c>
      <c r="C3855" s="13" t="inlineStr">
        <is>
          <t>Common / Comum</t>
        </is>
      </c>
      <c r="D3855" s="13" t="inlineStr">
        <is>
          <t>Destroy target creature. Consign to the Pit deals 2 damage to that creature's controller. / Destrua a criatura alvo. Condenar ao Poço causa 2 pontos de dano ao controlador daquela criatura.</t>
        </is>
      </c>
      <c r="E3855" s="13" t="inlineStr">
        <is>
          <t>{5}{B}</t>
        </is>
      </c>
      <c r="F3855" s="13" t="inlineStr">
        <is>
          <t>Preto</t>
        </is>
      </c>
      <c r="G3855" s="8" t="n">
        <v>0.03</v>
      </c>
      <c r="H3855" s="13" t="inlineStr">
        <is>
          <t>Ravnica Allegiance (RNA)</t>
        </is>
      </c>
      <c r="I3855" s="13" t="inlineStr">
        <is>
          <t>Não</t>
        </is>
      </c>
      <c r="J3855" s="13" t="n">
        <v>2019</v>
      </c>
      <c r="L3855" s="13" t="n">
        <v>1</v>
      </c>
      <c r="M3855" s="8">
        <f>L3855*G3855</f>
        <v/>
      </c>
      <c r="P3855" s="9" t="n"/>
    </row>
    <row r="3856">
      <c r="A3856" s="13" t="inlineStr">
        <is>
          <t>Mind Shatter / Despedaça-Mente</t>
        </is>
      </c>
      <c r="B3856" s="13" t="inlineStr">
        <is>
          <t>Sorcery / Feitiço</t>
        </is>
      </c>
      <c r="C3856" s="13" t="inlineStr">
        <is>
          <t>Rare / Rara</t>
        </is>
      </c>
      <c r="D3856" s="13" t="inlineStr">
        <is>
          <t>Target player discards X cards at random. / O jogador alvo descarta X cards aleatoriamente.</t>
        </is>
      </c>
      <c r="E3856" s="13" t="inlineStr">
        <is>
          <t>{X}{B}{B}</t>
        </is>
      </c>
      <c r="F3856" s="13" t="inlineStr">
        <is>
          <t>Preto</t>
        </is>
      </c>
      <c r="G3856" s="8" t="n">
        <v>0.3</v>
      </c>
      <c r="H3856" s="13" t="inlineStr">
        <is>
          <t>Morningtide (MOR)</t>
        </is>
      </c>
      <c r="I3856" s="13" t="inlineStr">
        <is>
          <t>Não</t>
        </is>
      </c>
      <c r="J3856" s="13" t="n">
        <v>2008</v>
      </c>
      <c r="L3856" s="13" t="n">
        <v>1</v>
      </c>
      <c r="M3856" s="8">
        <f>L3856*G3856</f>
        <v/>
      </c>
      <c r="P3856" s="9" t="n"/>
    </row>
    <row r="3857">
      <c r="A3857" s="13" t="inlineStr">
        <is>
          <t>Wit's End / Limite da Razão</t>
        </is>
      </c>
      <c r="B3857" s="13" t="inlineStr">
        <is>
          <t>Sorcery / Feitiço</t>
        </is>
      </c>
      <c r="C3857" s="13" t="inlineStr">
        <is>
          <t>Rare / Rara</t>
        </is>
      </c>
      <c r="D3857" s="13" t="inlineStr">
        <is>
          <t>Target player discards their hand. / O jogador alvo descarta sua própria mão.</t>
        </is>
      </c>
      <c r="E3857" s="13" t="inlineStr">
        <is>
          <t>{5}{B}{B}</t>
        </is>
      </c>
      <c r="F3857" s="13" t="inlineStr">
        <is>
          <t>Preto</t>
        </is>
      </c>
      <c r="G3857" s="8" t="n">
        <v>0.3</v>
      </c>
      <c r="H3857" s="13" t="inlineStr">
        <is>
          <t>Magic 2013 (M13)</t>
        </is>
      </c>
      <c r="I3857" s="13" t="inlineStr">
        <is>
          <t>Não</t>
        </is>
      </c>
      <c r="J3857" s="13" t="n">
        <v>2012</v>
      </c>
      <c r="L3857" s="13" t="n">
        <v>1</v>
      </c>
      <c r="M3857" s="8">
        <f>L3857*G3857</f>
        <v/>
      </c>
      <c r="P3857" s="9" t="n"/>
    </row>
    <row r="3858">
      <c r="A3858" s="13" t="inlineStr">
        <is>
          <t>Flaying Tendrils / Gavinhas Esfoladoras</t>
        </is>
      </c>
      <c r="B3858" s="13" t="inlineStr">
        <is>
          <t>Sorcery / Feitiço</t>
        </is>
      </c>
      <c r="C3858" s="13" t="inlineStr">
        <is>
          <t>Uncommon / Incomum</t>
        </is>
      </c>
      <c r="D3858" s="13" t="inlineStr">
        <is>
          <t>Devoid (This card has no color.) All creatures get -2/-2 until end of turn. If a creature would die this turn, exile it instead. / Desprovido (Este card não tem cor.) Todas as criaturas recebem -2/-2 até o final do turno. Se uma criatura morreria neste turno, em vez disso, exile-a.</t>
        </is>
      </c>
      <c r="E3858" s="13" t="inlineStr">
        <is>
          <t>{1}{B}{B}</t>
        </is>
      </c>
      <c r="F3858" s="13" t="inlineStr">
        <is>
          <t>Preto</t>
        </is>
      </c>
      <c r="G3858" s="8" t="n">
        <v>0.06</v>
      </c>
      <c r="H3858" s="13" t="inlineStr">
        <is>
          <t>Oath of the Gatewatch (OGW)</t>
        </is>
      </c>
      <c r="I3858" s="13" t="inlineStr">
        <is>
          <t>Não</t>
        </is>
      </c>
      <c r="J3858" s="13" t="n">
        <v>2016</v>
      </c>
      <c r="L3858" s="13" t="n">
        <v>1</v>
      </c>
      <c r="M3858" s="8">
        <f>L3858*G3858</f>
        <v/>
      </c>
      <c r="P3858" s="9" t="n"/>
    </row>
    <row r="3859">
      <c r="A3859" s="13" t="inlineStr">
        <is>
          <t>Transgress the Mind / Transgredir a Mente</t>
        </is>
      </c>
      <c r="B3859" s="13" t="inlineStr">
        <is>
          <t>Sorcery / Feitiço</t>
        </is>
      </c>
      <c r="C3859" s="13" t="inlineStr">
        <is>
          <t>Uncommon / Incomum</t>
        </is>
      </c>
      <c r="D3859" s="13" t="inlineStr">
        <is>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is>
      </c>
      <c r="E3859" s="13" t="inlineStr">
        <is>
          <t>{1}{B}</t>
        </is>
      </c>
      <c r="F3859" s="13" t="inlineStr">
        <is>
          <t>Preto</t>
        </is>
      </c>
      <c r="G3859" s="8" t="n">
        <v>0.09</v>
      </c>
      <c r="H3859" s="13" t="inlineStr">
        <is>
          <t>Battle for Zendikar (BFZ)</t>
        </is>
      </c>
      <c r="I3859" s="13" t="inlineStr">
        <is>
          <t>Não</t>
        </is>
      </c>
      <c r="J3859" s="13" t="n">
        <v>2015</v>
      </c>
      <c r="L3859" s="13" t="n">
        <v>1</v>
      </c>
      <c r="M3859" s="8">
        <f>L3859*G3859</f>
        <v/>
      </c>
      <c r="P3859" s="9" t="n"/>
    </row>
    <row r="3860">
      <c r="A3860" s="13" t="inlineStr">
        <is>
          <t>Gruesome Fate / Destino Horripilante</t>
        </is>
      </c>
      <c r="B3860" s="13" t="inlineStr">
        <is>
          <t>Sorcery / Feitiço</t>
        </is>
      </c>
      <c r="C3860" s="13" t="inlineStr">
        <is>
          <t>Common / Comum</t>
        </is>
      </c>
      <c r="D3860" s="13" t="inlineStr">
        <is>
          <t>Each opponent loses 1 life for each creature you control. / Cada oponente perde 1 ponto de vida para cada criatura que você controla.</t>
        </is>
      </c>
      <c r="E3860" s="13" t="inlineStr">
        <is>
          <t>{2}{B}</t>
        </is>
      </c>
      <c r="F3860" s="13" t="inlineStr">
        <is>
          <t>Preto</t>
        </is>
      </c>
      <c r="G3860" s="8" t="n">
        <v>0.03</v>
      </c>
      <c r="H3860" s="13" t="inlineStr">
        <is>
          <t>Rivals of Ixalan (RIX)</t>
        </is>
      </c>
      <c r="I3860" s="13" t="inlineStr">
        <is>
          <t>Não</t>
        </is>
      </c>
      <c r="J3860" s="13" t="n">
        <v>2018</v>
      </c>
      <c r="L3860" s="13" t="n">
        <v>2</v>
      </c>
      <c r="M3860" s="8">
        <f>L3860*G3860</f>
        <v/>
      </c>
      <c r="P3860" s="9" t="n"/>
    </row>
    <row r="3861">
      <c r="A3861" s="13" t="inlineStr">
        <is>
          <t>Nightsnare / Armadilha Noturna</t>
        </is>
      </c>
      <c r="B3861" s="13" t="inlineStr">
        <is>
          <t>Sorcery / Feitiço</t>
        </is>
      </c>
      <c r="C3861" s="13" t="inlineStr">
        <is>
          <t>Common / Comum</t>
        </is>
      </c>
      <c r="D3861" s="13"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861" s="13" t="inlineStr">
        <is>
          <t>{3}{B}</t>
        </is>
      </c>
      <c r="F3861" s="13" t="inlineStr">
        <is>
          <t>Preto</t>
        </is>
      </c>
      <c r="G3861" s="8" t="n">
        <v>0.06</v>
      </c>
      <c r="H3861" s="13" t="inlineStr">
        <is>
          <t>Magic Origins (ORI)</t>
        </is>
      </c>
      <c r="I3861" s="13" t="inlineStr">
        <is>
          <t>Não</t>
        </is>
      </c>
      <c r="J3861" s="13" t="n">
        <v>2015</v>
      </c>
      <c r="L3861" s="13" t="n">
        <v>2</v>
      </c>
      <c r="M3861" s="8">
        <f>L3861*G3861</f>
        <v/>
      </c>
      <c r="P3861" s="9" t="n"/>
    </row>
    <row r="3862">
      <c r="A3862" s="13" t="inlineStr">
        <is>
          <t>Impale / Empalar</t>
        </is>
      </c>
      <c r="B3862" s="13" t="inlineStr">
        <is>
          <t>Sorcery / Feitiço</t>
        </is>
      </c>
      <c r="C3862" s="13" t="inlineStr">
        <is>
          <t>Common / Comum</t>
        </is>
      </c>
      <c r="D3862" s="13" t="inlineStr">
        <is>
          <t>Destroy target creature. / Destrua a criatura alvo.</t>
        </is>
      </c>
      <c r="E3862" s="13" t="inlineStr">
        <is>
          <t>{2}{B}{B}</t>
        </is>
      </c>
      <c r="F3862" s="13" t="inlineStr">
        <is>
          <t>Preto</t>
        </is>
      </c>
      <c r="G3862" s="8" t="n">
        <v>0.03</v>
      </c>
      <c r="H3862" s="13" t="inlineStr">
        <is>
          <t>Rivals of Ixalan (RIX)</t>
        </is>
      </c>
      <c r="I3862" s="13" t="inlineStr">
        <is>
          <t>Não</t>
        </is>
      </c>
      <c r="J3862" s="13" t="n">
        <v>2018</v>
      </c>
      <c r="L3862" s="13" t="n">
        <v>2</v>
      </c>
      <c r="M3862" s="8">
        <f>L3862*G3862</f>
        <v/>
      </c>
      <c r="P3862" s="9" t="n"/>
    </row>
    <row r="3863">
      <c r="A3863" s="13" t="inlineStr">
        <is>
          <t>Funeral Rites / Ritos Funerários</t>
        </is>
      </c>
      <c r="B3863" s="13" t="inlineStr">
        <is>
          <t>Sorcery / Feitiço</t>
        </is>
      </c>
      <c r="C3863" s="13" t="inlineStr">
        <is>
          <t>Common / Comum</t>
        </is>
      </c>
      <c r="D3863" s="13" t="inlineStr">
        <is>
          <t>You draw two cards, lose 2 life, then mill two cards. / Você compra dois cards, perde 2 pontos de vida e coloca os dois cards do topo de seu grimório em seu cemitério.</t>
        </is>
      </c>
      <c r="E3863" s="13" t="inlineStr">
        <is>
          <t>{2}{B}</t>
        </is>
      </c>
      <c r="F3863" s="13" t="inlineStr">
        <is>
          <t>Preto</t>
        </is>
      </c>
      <c r="G3863" s="8" t="n">
        <v>0.03</v>
      </c>
      <c r="H3863" s="13" t="inlineStr">
        <is>
          <t>Theros Beyond Death (THB)</t>
        </is>
      </c>
      <c r="I3863" s="13" t="inlineStr">
        <is>
          <t>Não</t>
        </is>
      </c>
      <c r="J3863" s="13" t="n">
        <v>2020</v>
      </c>
      <c r="L3863" s="13" t="n">
        <v>3</v>
      </c>
      <c r="M3863" s="8">
        <f>L3863*G3863</f>
        <v/>
      </c>
      <c r="P3863" s="9" t="n"/>
    </row>
    <row r="3864">
      <c r="A3864" s="13" t="inlineStr">
        <is>
          <t>Read the Bones / Leia os Ossos</t>
        </is>
      </c>
      <c r="B3864" s="13" t="inlineStr">
        <is>
          <t>Sorcery / Feitiço</t>
        </is>
      </c>
      <c r="C3864" s="13" t="inlineStr">
        <is>
          <t>Common / Comum</t>
        </is>
      </c>
      <c r="D3864" s="13"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864" s="13" t="inlineStr">
        <is>
          <t>{2}{B}</t>
        </is>
      </c>
      <c r="F3864" s="13" t="inlineStr">
        <is>
          <t>Preto</t>
        </is>
      </c>
      <c r="G3864" s="8" t="n">
        <v>0.3</v>
      </c>
      <c r="H3864" s="13" t="inlineStr">
        <is>
          <t>Magic Origins (ORI)</t>
        </is>
      </c>
      <c r="I3864" s="13" t="inlineStr">
        <is>
          <t>Não</t>
        </is>
      </c>
      <c r="J3864" s="13" t="n">
        <v>2015</v>
      </c>
      <c r="L3864" s="13" t="n">
        <v>7</v>
      </c>
      <c r="M3864" s="8">
        <f>L3864*G3864</f>
        <v/>
      </c>
      <c r="P3864" s="9" t="n"/>
    </row>
    <row r="3865">
      <c r="A3865" s="13" t="inlineStr">
        <is>
          <t>Reave Soul / Despojar Alma</t>
        </is>
      </c>
      <c r="B3865" s="13" t="inlineStr">
        <is>
          <t>Sorcery / Feitiço</t>
        </is>
      </c>
      <c r="C3865" s="13" t="inlineStr">
        <is>
          <t>Common / Comum</t>
        </is>
      </c>
      <c r="D3865" s="13" t="inlineStr">
        <is>
          <t>Destroy target creature with power 3 or less. / Destrua a criatura alvo com poder igual ou inferior a 3.</t>
        </is>
      </c>
      <c r="E3865" s="13" t="inlineStr">
        <is>
          <t>{1}{B}</t>
        </is>
      </c>
      <c r="F3865" s="13" t="inlineStr">
        <is>
          <t>Preto</t>
        </is>
      </c>
      <c r="G3865" s="8" t="n">
        <v>0.05</v>
      </c>
      <c r="H3865" s="13" t="inlineStr">
        <is>
          <t>Magic Origins (ORI)</t>
        </is>
      </c>
      <c r="I3865" s="13" t="inlineStr">
        <is>
          <t>Não</t>
        </is>
      </c>
      <c r="J3865" s="13" t="n">
        <v>2015</v>
      </c>
      <c r="L3865" s="13" t="n">
        <v>6</v>
      </c>
      <c r="M3865" s="8">
        <f>L3865*G3865</f>
        <v/>
      </c>
      <c r="P3865" s="9" t="n"/>
    </row>
    <row r="3866">
      <c r="A3866" s="13" t="inlineStr">
        <is>
          <t>Macabre Waltz / Valsa Macabra</t>
        </is>
      </c>
      <c r="B3866" s="13" t="inlineStr">
        <is>
          <t>Sorcery / Feitiço</t>
        </is>
      </c>
      <c r="C3866" s="13" t="inlineStr">
        <is>
          <t>Common / Comum</t>
        </is>
      </c>
      <c r="D3866" s="13" t="inlineStr">
        <is>
          <t>Return up to two target creature cards from your graveyard to your hand, then discard a card. / Devolva até dois cards de criatura alvo de seu cemitério para sua mão e depois descarte um card.</t>
        </is>
      </c>
      <c r="E3866" s="13" t="inlineStr">
        <is>
          <t>{1}{B}</t>
        </is>
      </c>
      <c r="F3866" s="13" t="inlineStr">
        <is>
          <t>Preto</t>
        </is>
      </c>
      <c r="G3866" s="8" t="n">
        <v>0.06</v>
      </c>
      <c r="H3866" s="13" t="inlineStr">
        <is>
          <t>Magic Origins (ORI)</t>
        </is>
      </c>
      <c r="I3866" s="13" t="inlineStr">
        <is>
          <t>Não</t>
        </is>
      </c>
      <c r="J3866" s="13" t="n">
        <v>2015</v>
      </c>
      <c r="L3866" s="13" t="n">
        <v>9</v>
      </c>
      <c r="M3866" s="8">
        <f>L3866*G3866</f>
        <v/>
      </c>
      <c r="P3866" s="9" t="n"/>
    </row>
    <row r="3867">
      <c r="A3867" s="13" t="inlineStr">
        <is>
          <t>Perilous Predicament / Dilema Perigoso</t>
        </is>
      </c>
      <c r="B3867" s="13" t="inlineStr">
        <is>
          <t>Instant / Mágica Instantânea</t>
        </is>
      </c>
      <c r="C3867" s="13" t="inlineStr">
        <is>
          <t>Uncommon / Incomum</t>
        </is>
      </c>
      <c r="D3867" s="13" t="inlineStr">
        <is>
          <t>Each opponent sacrifices an artifact creature and a nonartifact creature of their choice. / Cada oponente sacrifica uma criatura artefato e uma criatura que não seja um artefato.</t>
        </is>
      </c>
      <c r="E3867" s="13" t="inlineStr">
        <is>
          <t>{4}{B}</t>
        </is>
      </c>
      <c r="F3867" s="13" t="inlineStr">
        <is>
          <t>Preto</t>
        </is>
      </c>
      <c r="G3867" s="8" t="n">
        <v>0.03</v>
      </c>
      <c r="H3867" s="13" t="inlineStr">
        <is>
          <t>Aether Revolt (AER)</t>
        </is>
      </c>
      <c r="I3867" s="13" t="inlineStr">
        <is>
          <t>Não</t>
        </is>
      </c>
      <c r="J3867" s="13" t="n">
        <v>2017</v>
      </c>
      <c r="L3867" s="13" t="n">
        <v>1</v>
      </c>
      <c r="M3867" s="8">
        <f>L3867*G3867</f>
        <v/>
      </c>
      <c r="P3867" s="9" t="n"/>
    </row>
    <row r="3868">
      <c r="A3868" s="13" t="inlineStr">
        <is>
          <t>Grotesque Mutation / Mutação Grotesca</t>
        </is>
      </c>
      <c r="B3868" s="13" t="inlineStr">
        <is>
          <t>Instant / Mágica Instantânea</t>
        </is>
      </c>
      <c r="C3868" s="13" t="inlineStr">
        <is>
          <t>Common / Comum</t>
        </is>
      </c>
      <c r="D3868" s="13" t="inlineStr">
        <is>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is>
      </c>
      <c r="E3868" s="13" t="inlineStr">
        <is>
          <t>{1}{B}</t>
        </is>
      </c>
      <c r="F3868" s="13" t="inlineStr">
        <is>
          <t>Preto</t>
        </is>
      </c>
      <c r="G3868" s="8" t="n">
        <v>0.04</v>
      </c>
      <c r="H3868" s="13" t="inlineStr">
        <is>
          <t>Shadows over Innistrad (SOI)</t>
        </is>
      </c>
      <c r="I3868" s="13" t="inlineStr">
        <is>
          <t>Não</t>
        </is>
      </c>
      <c r="J3868" s="13" t="n">
        <v>2016</v>
      </c>
      <c r="L3868" s="13" t="n">
        <v>1</v>
      </c>
      <c r="M3868" s="8">
        <f>L3868*G3868</f>
        <v/>
      </c>
      <c r="P3868" s="9" t="n"/>
    </row>
    <row r="3869">
      <c r="A3869" s="13" t="inlineStr">
        <is>
          <t>Undercity's Embrace / Abraço do Submundo</t>
        </is>
      </c>
      <c r="B3869" s="13" t="inlineStr">
        <is>
          <t>Instant / Mágica Instantânea</t>
        </is>
      </c>
      <c r="C3869" s="13" t="inlineStr">
        <is>
          <t>Common / Comum</t>
        </is>
      </c>
      <c r="D3869" s="13" t="inlineStr">
        <is>
          <t>Target opponent sacrifices a creature of their choice. If you control a creature with power 4 or greater, you gain 4 life. / O oponente alvo sacrifica uma criatura. Se você controla uma criatura com poder igual ou superior a 4, você ganha 4 pontos de vida.</t>
        </is>
      </c>
      <c r="E3869" s="13" t="inlineStr">
        <is>
          <t>{2}{B}</t>
        </is>
      </c>
      <c r="F3869" s="13" t="inlineStr">
        <is>
          <t>Preto</t>
        </is>
      </c>
      <c r="G3869" s="8" t="n">
        <v>0.04</v>
      </c>
      <c r="H3869" s="13" t="inlineStr">
        <is>
          <t>Ravnica Allegiance (RNA)</t>
        </is>
      </c>
      <c r="I3869" s="13" t="inlineStr">
        <is>
          <t>Não</t>
        </is>
      </c>
      <c r="J3869" s="13" t="n">
        <v>2019</v>
      </c>
      <c r="L3869" s="13" t="n">
        <v>1</v>
      </c>
      <c r="M3869" s="8">
        <f>L3869*G3869</f>
        <v/>
      </c>
      <c r="P3869" s="9" t="n"/>
    </row>
    <row r="3870">
      <c r="A3870" s="13" t="inlineStr">
        <is>
          <t>Grave Birthing / Nascimento Tumular</t>
        </is>
      </c>
      <c r="B3870" s="13" t="inlineStr">
        <is>
          <t>Instant / Mágica Instantânea</t>
        </is>
      </c>
      <c r="C3870" s="13" t="inlineStr">
        <is>
          <t>Common / Comum</t>
        </is>
      </c>
      <c r="D3870" s="13" t="inlineStr">
        <is>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is>
      </c>
      <c r="E3870" s="13" t="inlineStr">
        <is>
          <t>{2}{B}</t>
        </is>
      </c>
      <c r="F3870" s="13" t="inlineStr">
        <is>
          <t>Preto</t>
        </is>
      </c>
      <c r="G3870" s="8" t="n">
        <v>0.05</v>
      </c>
      <c r="H3870" s="13" t="inlineStr">
        <is>
          <t>Battle for Zendikar (BFZ)</t>
        </is>
      </c>
      <c r="I3870" s="13" t="inlineStr">
        <is>
          <t>Não</t>
        </is>
      </c>
      <c r="J3870" s="13" t="n">
        <v>2015</v>
      </c>
      <c r="L3870" s="13" t="n">
        <v>1</v>
      </c>
      <c r="M3870" s="8">
        <f>L3870*G3870</f>
        <v/>
      </c>
      <c r="P3870" s="9" t="n"/>
    </row>
    <row r="3871">
      <c r="A3871" s="13" t="inlineStr">
        <is>
          <t>Dark Dabbling / Experimentação Sombria</t>
        </is>
      </c>
      <c r="B3871" s="13" t="inlineStr">
        <is>
          <t>Instant / Mágica Instantânea</t>
        </is>
      </c>
      <c r="C3871" s="13" t="inlineStr">
        <is>
          <t>Common / Comum</t>
        </is>
      </c>
      <c r="D3871" s="13" t="inlineStr">
        <is>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is>
      </c>
      <c r="E3871" s="13" t="inlineStr">
        <is>
          <t>{2}{B}</t>
        </is>
      </c>
      <c r="F3871" s="13" t="inlineStr">
        <is>
          <t>Preto</t>
        </is>
      </c>
      <c r="G3871" s="8" t="n">
        <v>0.06</v>
      </c>
      <c r="H3871" s="13" t="inlineStr">
        <is>
          <t>Magic Origins (ORI)</t>
        </is>
      </c>
      <c r="I3871" s="13" t="inlineStr">
        <is>
          <t>Não</t>
        </is>
      </c>
      <c r="J3871" s="13" t="n">
        <v>2015</v>
      </c>
      <c r="L3871" s="13" t="n">
        <v>7</v>
      </c>
      <c r="M3871" s="8">
        <f>L3871*G3871</f>
        <v/>
      </c>
      <c r="P3871" s="9" t="n"/>
    </row>
    <row r="3872">
      <c r="A3872" s="13" t="inlineStr">
        <is>
          <t>Touch of Moonglove / Toque de Luvalua</t>
        </is>
      </c>
      <c r="B3872" s="13" t="inlineStr">
        <is>
          <t>Instant / Mágica Instantânea</t>
        </is>
      </c>
      <c r="C3872" s="13" t="inlineStr">
        <is>
          <t>Common / Comum</t>
        </is>
      </c>
      <c r="D3872" s="13" t="inlineStr">
        <is>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is>
      </c>
      <c r="E3872" s="13" t="inlineStr">
        <is>
          <t>{B}</t>
        </is>
      </c>
      <c r="F3872" s="13" t="inlineStr">
        <is>
          <t>Preto</t>
        </is>
      </c>
      <c r="G3872" s="8" t="n">
        <v>0.08</v>
      </c>
      <c r="H3872" s="13" t="inlineStr">
        <is>
          <t>Magic Origins (ORI)</t>
        </is>
      </c>
      <c r="I3872" s="13" t="inlineStr">
        <is>
          <t>Não</t>
        </is>
      </c>
      <c r="J3872" s="13" t="n">
        <v>2015</v>
      </c>
      <c r="L3872" s="13" t="n">
        <v>8</v>
      </c>
      <c r="M3872" s="8">
        <f>L3872*G3872</f>
        <v/>
      </c>
      <c r="P3872" s="9" t="n"/>
    </row>
    <row r="3873">
      <c r="A3873" s="13" t="inlineStr">
        <is>
          <t>Final Death / Morte Final</t>
        </is>
      </c>
      <c r="B3873" s="13" t="inlineStr">
        <is>
          <t>Instant / Mágica Instantânea</t>
        </is>
      </c>
      <c r="C3873" s="13" t="inlineStr">
        <is>
          <t>Common / Comum</t>
        </is>
      </c>
      <c r="D3873" s="13" t="inlineStr">
        <is>
          <t>Exile target creature. / Exile a criatura alvo.</t>
        </is>
      </c>
      <c r="E3873" s="13" t="inlineStr">
        <is>
          <t>{4}{B}</t>
        </is>
      </c>
      <c r="F3873" s="13" t="inlineStr">
        <is>
          <t>Preto</t>
        </is>
      </c>
      <c r="G3873" s="8" t="n">
        <v>0.03</v>
      </c>
      <c r="H3873" s="13" t="inlineStr">
        <is>
          <t>Theros Beyond Death (THB)</t>
        </is>
      </c>
      <c r="I3873" s="13" t="inlineStr">
        <is>
          <t>Não</t>
        </is>
      </c>
      <c r="J3873" s="13" t="n">
        <v>2020</v>
      </c>
      <c r="L3873" s="13" t="n">
        <v>2</v>
      </c>
      <c r="M3873" s="8">
        <f>L3873*G3873</f>
        <v/>
      </c>
      <c r="P3873" s="9" t="n"/>
    </row>
    <row r="3874">
      <c r="A3874" s="13" t="inlineStr">
        <is>
          <t>Unholy Hunger / Fome Profana</t>
        </is>
      </c>
      <c r="B3874" s="13" t="inlineStr">
        <is>
          <t>Instant / Mágica Instantânea</t>
        </is>
      </c>
      <c r="C3874" s="13" t="inlineStr">
        <is>
          <t>Common / Comum</t>
        </is>
      </c>
      <c r="D3874" s="13" t="inlineStr">
        <is>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is>
      </c>
      <c r="E3874" s="13" t="inlineStr">
        <is>
          <t>{3}{B}{B}</t>
        </is>
      </c>
      <c r="F3874" s="13" t="inlineStr">
        <is>
          <t>Preto</t>
        </is>
      </c>
      <c r="G3874" s="8" t="n">
        <v>0.06</v>
      </c>
      <c r="H3874" s="13" t="inlineStr">
        <is>
          <t>Magic Origins (ORI)</t>
        </is>
      </c>
      <c r="I3874" s="13" t="inlineStr">
        <is>
          <t>Não</t>
        </is>
      </c>
      <c r="J3874" s="13" t="n">
        <v>2015</v>
      </c>
      <c r="L3874" s="13" t="n">
        <v>8</v>
      </c>
      <c r="M3874" s="8">
        <f>L3874*G3874</f>
        <v/>
      </c>
      <c r="P3874" s="9" t="n"/>
    </row>
    <row r="3875">
      <c r="A3875" s="13" t="inlineStr">
        <is>
          <t>Visions of Brutality / Visões de Brutalidade</t>
        </is>
      </c>
      <c r="B3875" s="13" t="inlineStr">
        <is>
          <t>Enchantment — Aura / Encantamento — Aura</t>
        </is>
      </c>
      <c r="C3875" s="13" t="inlineStr">
        <is>
          <t>Uncommon / Incomum</t>
        </is>
      </c>
      <c r="D3875" s="13" t="inlineStr">
        <is>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is>
      </c>
      <c r="E3875" s="13" t="inlineStr">
        <is>
          <t>{1}{B}</t>
        </is>
      </c>
      <c r="F3875" s="13" t="inlineStr">
        <is>
          <t>Preto</t>
        </is>
      </c>
      <c r="G3875" s="8" t="n">
        <v>0.14</v>
      </c>
      <c r="H3875" s="13" t="inlineStr">
        <is>
          <t>Oath of the Gatewatch (OGW)</t>
        </is>
      </c>
      <c r="I3875" s="13" t="inlineStr">
        <is>
          <t>Não</t>
        </is>
      </c>
      <c r="J3875" s="13" t="n">
        <v>2016</v>
      </c>
      <c r="L3875" s="13" t="n">
        <v>1</v>
      </c>
      <c r="M3875" s="8">
        <f>L3875*G3875</f>
        <v/>
      </c>
      <c r="P3875" s="9" t="n"/>
    </row>
    <row r="3876">
      <c r="A3876" s="13" t="inlineStr">
        <is>
          <t>Doomwake Giant / Gigante do Rastro Funesto</t>
        </is>
      </c>
      <c r="B3876" s="13" t="inlineStr">
        <is>
          <t>Enchantment Creature — Giant / Criatura Encantamento — Gigante</t>
        </is>
      </c>
      <c r="C3876" s="13" t="inlineStr">
        <is>
          <t>Rare / Rara</t>
        </is>
      </c>
      <c r="D3876" s="13"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3876" s="13" t="inlineStr">
        <is>
          <t>{4}{B}</t>
        </is>
      </c>
      <c r="F3876" s="13" t="inlineStr">
        <is>
          <t>Preto</t>
        </is>
      </c>
      <c r="G3876" s="8" t="n">
        <v>0.8</v>
      </c>
      <c r="H3876" s="13" t="inlineStr">
        <is>
          <t>Commander 2015 (C15)</t>
        </is>
      </c>
      <c r="I3876" s="13" t="inlineStr">
        <is>
          <t>Não</t>
        </is>
      </c>
      <c r="J3876" s="13" t="n">
        <v>2015</v>
      </c>
      <c r="K3876" s="10" t="n">
        <v>46177</v>
      </c>
      <c r="L3876" s="13" t="n">
        <v>1</v>
      </c>
      <c r="M3876" s="8">
        <f>L3876*G3876</f>
        <v/>
      </c>
      <c r="P3876" s="9" t="n"/>
    </row>
    <row r="3877">
      <c r="A3877" s="13" t="inlineStr">
        <is>
          <t>Mogis's Favor / Proteção de Mogis</t>
        </is>
      </c>
      <c r="B3877" s="13" t="inlineStr">
        <is>
          <t>Enchantment — Aura / Encantamento — Aura</t>
        </is>
      </c>
      <c r="C3877" s="13" t="inlineStr">
        <is>
          <t>Common / Comum</t>
        </is>
      </c>
      <c r="D3877" s="13" t="inlineStr">
        <is>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is>
      </c>
      <c r="E3877" s="13" t="inlineStr">
        <is>
          <t>{B}</t>
        </is>
      </c>
      <c r="F3877" s="13" t="inlineStr">
        <is>
          <t>Preto</t>
        </is>
      </c>
      <c r="G3877" s="8" t="n">
        <v>0.03</v>
      </c>
      <c r="H3877" s="13" t="inlineStr">
        <is>
          <t>Theros Beyond Death (THB)</t>
        </is>
      </c>
      <c r="I3877" s="13" t="inlineStr">
        <is>
          <t>Não</t>
        </is>
      </c>
      <c r="J3877" s="13" t="n">
        <v>2020</v>
      </c>
      <c r="L3877" s="13" t="n">
        <v>1</v>
      </c>
      <c r="M3877" s="8">
        <f>L3877*G3877</f>
        <v/>
      </c>
      <c r="P3877" s="9" t="n"/>
    </row>
    <row r="3878">
      <c r="A3878" s="13" t="inlineStr">
        <is>
          <t>Lich's Mastery / Maestria do Lich</t>
        </is>
      </c>
      <c r="B3878" s="13" t="inlineStr">
        <is>
          <t>Legendary Enchantment / Encantamento Lendário</t>
        </is>
      </c>
      <c r="C3878" s="13" t="inlineStr">
        <is>
          <t>Rare / Rara</t>
        </is>
      </c>
      <c r="D3878" s="13"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3878" s="13" t="inlineStr">
        <is>
          <t>{3}{B}{B}{B}</t>
        </is>
      </c>
      <c r="F3878" s="13" t="inlineStr">
        <is>
          <t>Preto</t>
        </is>
      </c>
      <c r="G3878" s="8" t="n">
        <v>0.3</v>
      </c>
      <c r="H3878" s="13" t="inlineStr">
        <is>
          <t>Dominaria (DOM)</t>
        </is>
      </c>
      <c r="I3878" s="13" t="inlineStr">
        <is>
          <t>Não</t>
        </is>
      </c>
      <c r="J3878" s="13" t="n">
        <v>2018</v>
      </c>
      <c r="L3878" s="13" t="n">
        <v>1</v>
      </c>
      <c r="M3878" s="8">
        <f>L3878*G3878</f>
        <v/>
      </c>
      <c r="P3878" s="9" t="n"/>
    </row>
    <row r="3879">
      <c r="A3879" s="13" t="inlineStr">
        <is>
          <t>Infernal Scarring / Escarificação Infernal</t>
        </is>
      </c>
      <c r="B3879" s="13" t="inlineStr">
        <is>
          <t>Enchantment — Aura / Encantamento — Aura</t>
        </is>
      </c>
      <c r="C3879" s="13" t="inlineStr">
        <is>
          <t>Common / Comum</t>
        </is>
      </c>
      <c r="D3879" s="13" t="inlineStr">
        <is>
          <t>Enchant creature Enchanted creature gets +2/+0 and has "When this creature dies, draw a card." / Encantar criatura A criatura encantada recebe +2/+0 e tem "Quando esta criatura morrer, compre um card."</t>
        </is>
      </c>
      <c r="E3879" s="13" t="inlineStr">
        <is>
          <t>{1}{B}</t>
        </is>
      </c>
      <c r="F3879" s="13" t="inlineStr">
        <is>
          <t>Preto</t>
        </is>
      </c>
      <c r="G3879" s="8" t="n">
        <v>0.05</v>
      </c>
      <c r="H3879" s="13" t="inlineStr">
        <is>
          <t>Magic Origins (ORI)</t>
        </is>
      </c>
      <c r="I3879" s="13" t="inlineStr">
        <is>
          <t>Não</t>
        </is>
      </c>
      <c r="J3879" s="13" t="n">
        <v>2015</v>
      </c>
      <c r="L3879" s="13" t="n">
        <v>3</v>
      </c>
      <c r="M3879" s="8">
        <f>L3879*G3879</f>
        <v/>
      </c>
      <c r="P3879" s="9" t="n"/>
    </row>
    <row r="3880">
      <c r="A3880" s="13" t="inlineStr">
        <is>
          <t>Omen of the Dead / Augúrio dos Mortos</t>
        </is>
      </c>
      <c r="B3880" s="13" t="inlineStr">
        <is>
          <t>Enchantment / Encantamento</t>
        </is>
      </c>
      <c r="C3880" s="13" t="inlineStr">
        <is>
          <t>Common / Comum</t>
        </is>
      </c>
      <c r="D3880" s="13" t="inlineStr">
        <is>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is>
      </c>
      <c r="E3880" s="13" t="inlineStr">
        <is>
          <t>{B}</t>
        </is>
      </c>
      <c r="F3880" s="13" t="inlineStr">
        <is>
          <t>Preto</t>
        </is>
      </c>
      <c r="G3880" s="8" t="n">
        <v>0.13</v>
      </c>
      <c r="H3880" s="13" t="inlineStr">
        <is>
          <t>Theros Beyond Death (THB)</t>
        </is>
      </c>
      <c r="I3880" s="13" t="inlineStr">
        <is>
          <t>Não</t>
        </is>
      </c>
      <c r="J3880" s="13" t="n">
        <v>2020</v>
      </c>
      <c r="L3880" s="13" t="n">
        <v>4</v>
      </c>
      <c r="M3880" s="8">
        <f>L3880*G3880</f>
        <v/>
      </c>
      <c r="P3880" s="9" t="n"/>
    </row>
    <row r="3881">
      <c r="A3881" s="13" t="inlineStr">
        <is>
          <t>Mire's Grasp / Garras do Lodaçal</t>
        </is>
      </c>
      <c r="B3881" s="13" t="inlineStr">
        <is>
          <t>Enchantment — Aura / Encantamento — Aura</t>
        </is>
      </c>
      <c r="C3881" s="13" t="inlineStr">
        <is>
          <t>Common / Comum</t>
        </is>
      </c>
      <c r="D3881" s="13" t="inlineStr">
        <is>
          <t>Enchant creature Enchanted creature gets -3/-3. / Encantar criatura A criatura encantada recebe -3/-3.</t>
        </is>
      </c>
      <c r="E3881" s="13" t="inlineStr">
        <is>
          <t>{1}{B}</t>
        </is>
      </c>
      <c r="F3881" s="13" t="inlineStr">
        <is>
          <t>Preto</t>
        </is>
      </c>
      <c r="G3881" s="8" t="n">
        <v>0.03</v>
      </c>
      <c r="H3881" s="13" t="inlineStr">
        <is>
          <t>Theros Beyond Death (THB)</t>
        </is>
      </c>
      <c r="I3881" s="13" t="inlineStr">
        <is>
          <t>Não</t>
        </is>
      </c>
      <c r="J3881" s="13" t="n">
        <v>2020</v>
      </c>
      <c r="L3881" s="13" t="n">
        <v>2</v>
      </c>
      <c r="M3881" s="8">
        <f>L3881*G3881</f>
        <v/>
      </c>
      <c r="P3881" s="9" t="n"/>
    </row>
    <row r="3882">
      <c r="A3882" s="13" t="inlineStr">
        <is>
          <t>Aspect of Lamprey / Aspecto da Lampreia</t>
        </is>
      </c>
      <c r="B3882" s="13" t="inlineStr">
        <is>
          <t>Enchantment — Aura / Encantamento — Aura</t>
        </is>
      </c>
      <c r="C3882" s="13" t="inlineStr">
        <is>
          <t>Common / Comum</t>
        </is>
      </c>
      <c r="D3882" s="13" t="inlineStr">
        <is>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is>
      </c>
      <c r="E3882" s="13" t="inlineStr">
        <is>
          <t>{3}{B}</t>
        </is>
      </c>
      <c r="F3882" s="13" t="inlineStr">
        <is>
          <t>Preto</t>
        </is>
      </c>
      <c r="G3882" s="8" t="n">
        <v>0.03</v>
      </c>
      <c r="H3882" s="13" t="inlineStr">
        <is>
          <t>Theros Beyond Death (THB)</t>
        </is>
      </c>
      <c r="I3882" s="13" t="inlineStr">
        <is>
          <t>Não</t>
        </is>
      </c>
      <c r="J3882" s="13" t="n">
        <v>2020</v>
      </c>
      <c r="L3882" s="13" t="n">
        <v>3</v>
      </c>
      <c r="M3882" s="8">
        <f>L3882*G3882</f>
        <v/>
      </c>
      <c r="P3882" s="9" t="n"/>
    </row>
    <row r="3883">
      <c r="A3883" s="13" t="inlineStr">
        <is>
          <t>Weight of the Underworld / Peso do Submundo</t>
        </is>
      </c>
      <c r="B3883" s="13" t="inlineStr">
        <is>
          <t>Enchantment — Aura / Encantamento — Aura</t>
        </is>
      </c>
      <c r="C3883" s="13" t="inlineStr">
        <is>
          <t>Common / Comum</t>
        </is>
      </c>
      <c r="D3883" s="13" t="inlineStr">
        <is>
          <t>Enchant creature Enchanted creature gets -3/-2. / Encantar criaturaA criatura encantada recebe -3/-2.</t>
        </is>
      </c>
      <c r="E3883" s="13" t="inlineStr">
        <is>
          <t>{3}{B}</t>
        </is>
      </c>
      <c r="F3883" s="13" t="inlineStr">
        <is>
          <t>Preto</t>
        </is>
      </c>
      <c r="G3883" s="8" t="n">
        <v>0.03</v>
      </c>
      <c r="H3883" s="13" t="inlineStr">
        <is>
          <t>Magic Origins (ORI)</t>
        </is>
      </c>
      <c r="I3883" s="13" t="inlineStr">
        <is>
          <t>Não</t>
        </is>
      </c>
      <c r="J3883" s="13" t="n">
        <v>2015</v>
      </c>
      <c r="L3883" s="13" t="n">
        <v>4</v>
      </c>
      <c r="M3883" s="8">
        <f>L3883*G3883</f>
        <v/>
      </c>
      <c r="P3883" s="9" t="n"/>
    </row>
    <row r="3884">
      <c r="A3884" s="13" t="inlineStr">
        <is>
          <t>Blight-Breath Catoblepas / Catoblepas Hálito-de-praga</t>
        </is>
      </c>
      <c r="B3884" s="13" t="inlineStr">
        <is>
          <t>Creature — Beast / Criatura — Besta</t>
        </is>
      </c>
      <c r="C3884" s="13" t="inlineStr">
        <is>
          <t>Common / Comum</t>
        </is>
      </c>
      <c r="D3884" s="13" t="inlineStr">
        <is>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is>
      </c>
      <c r="E3884" s="13" t="inlineStr">
        <is>
          <t>{4}{B}{B}</t>
        </is>
      </c>
      <c r="F3884" s="13" t="inlineStr">
        <is>
          <t>Preto</t>
        </is>
      </c>
      <c r="G3884" s="8" t="n">
        <v>0.03</v>
      </c>
      <c r="H3884" s="13" t="inlineStr">
        <is>
          <t>Theros Beyond Death (THB)</t>
        </is>
      </c>
      <c r="I3884" s="13" t="inlineStr">
        <is>
          <t>Não</t>
        </is>
      </c>
      <c r="J3884" s="13" t="n">
        <v>2020</v>
      </c>
      <c r="K3884" s="10" t="n">
        <v>46056</v>
      </c>
      <c r="L3884" s="13" t="n">
        <v>3</v>
      </c>
      <c r="M3884" s="8">
        <f>L3884*G3884</f>
        <v/>
      </c>
      <c r="P3884" s="9" t="n"/>
    </row>
    <row r="3885">
      <c r="A3885" s="13" t="inlineStr">
        <is>
          <t>Underworld Charger / Corcel do Submundo</t>
        </is>
      </c>
      <c r="B3885" s="13" t="inlineStr">
        <is>
          <t>Creature — Nightmare Horse / Criatura — Pesadelo Cavalo</t>
        </is>
      </c>
      <c r="C3885" s="13" t="inlineStr">
        <is>
          <t>Common / Comum</t>
        </is>
      </c>
      <c r="D3885" s="13" t="inlineStr">
        <is>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is>
      </c>
      <c r="E3885" s="13" t="inlineStr">
        <is>
          <t>{2}{B}</t>
        </is>
      </c>
      <c r="F3885" s="13" t="inlineStr">
        <is>
          <t>Preto</t>
        </is>
      </c>
      <c r="G3885" s="8" t="n">
        <v>0.03</v>
      </c>
      <c r="H3885" s="13" t="inlineStr">
        <is>
          <t>Theros Beyond Death (THB)</t>
        </is>
      </c>
      <c r="I3885" s="13" t="inlineStr">
        <is>
          <t>Não</t>
        </is>
      </c>
      <c r="J3885" s="13" t="n">
        <v>2020</v>
      </c>
      <c r="K3885" s="10" t="n">
        <v>46084</v>
      </c>
      <c r="L3885" s="13" t="n">
        <v>3</v>
      </c>
      <c r="M3885" s="8">
        <f>L3885*G3885</f>
        <v/>
      </c>
      <c r="P3885" s="9" t="n"/>
    </row>
    <row r="3886">
      <c r="A3886" s="13" t="inlineStr">
        <is>
          <t>Wasteland Scorpion / Escorpião dos Ermos</t>
        </is>
      </c>
      <c r="B3886" s="13" t="inlineStr">
        <is>
          <t>Creature — Scorpion / Criatura — Escorpião</t>
        </is>
      </c>
      <c r="C3886" s="13" t="inlineStr">
        <is>
          <t>Common / Comum</t>
        </is>
      </c>
      <c r="D3886" s="13" t="inlineStr">
        <is>
          <t>Deathtouch Cycling {2} ({2}, Discard this card: Draw a card.) / Toque mortífero Reciclar {2} ({2}, Descarte este card: Compre um card.)</t>
        </is>
      </c>
      <c r="E3886" s="13" t="inlineStr">
        <is>
          <t>{2}{B}</t>
        </is>
      </c>
      <c r="F3886" s="13" t="inlineStr">
        <is>
          <t>Preto</t>
        </is>
      </c>
      <c r="G3886" s="8" t="n">
        <v>0.03</v>
      </c>
      <c r="H3886" s="13" t="inlineStr">
        <is>
          <t>Amonkhet (AKH)</t>
        </is>
      </c>
      <c r="I3886" s="13" t="inlineStr">
        <is>
          <t>Não</t>
        </is>
      </c>
      <c r="J3886" s="13" t="n">
        <v>2017</v>
      </c>
      <c r="K3886" s="10" t="n">
        <v>46055</v>
      </c>
      <c r="L3886" s="13" t="n">
        <v>2</v>
      </c>
      <c r="M3886" s="8">
        <f>L3886*G3886</f>
        <v/>
      </c>
      <c r="P3886" s="9" t="n"/>
    </row>
    <row r="3887">
      <c r="A3887" s="13" t="inlineStr">
        <is>
          <t>Festering Mummy / Múmia Pustulenta</t>
        </is>
      </c>
      <c r="B3887" s="13" t="inlineStr">
        <is>
          <t>Creature — Zombie / Criatura — Zumbi</t>
        </is>
      </c>
      <c r="C3887" s="13" t="inlineStr">
        <is>
          <t>Common / Comum</t>
        </is>
      </c>
      <c r="D3887" s="13" t="inlineStr">
        <is>
          <t>When this creature dies, you may put a -1/-1 counter on target creature. / Quando Múmia Pustulenta morre, você pode colocar um marcador -1/-1 na criatura alvo.</t>
        </is>
      </c>
      <c r="E3887" s="13" t="inlineStr">
        <is>
          <t>{B}</t>
        </is>
      </c>
      <c r="F3887" s="13" t="inlineStr">
        <is>
          <t>Preto</t>
        </is>
      </c>
      <c r="G3887" s="8" t="n">
        <v>0.03</v>
      </c>
      <c r="H3887" s="13" t="inlineStr">
        <is>
          <t>Amonkhet (AKH)</t>
        </is>
      </c>
      <c r="I3887" s="13" t="inlineStr">
        <is>
          <t>Não</t>
        </is>
      </c>
      <c r="J3887" s="13" t="n">
        <v>2017</v>
      </c>
      <c r="K3887" s="10" t="n">
        <v>46023</v>
      </c>
      <c r="L3887" s="13" t="n">
        <v>1</v>
      </c>
      <c r="M3887" s="8">
        <f>L3887*G3887</f>
        <v/>
      </c>
      <c r="P3887" s="9" t="n"/>
    </row>
    <row r="3888">
      <c r="A3888" s="13" t="inlineStr">
        <is>
          <t>Defiant Salvager / Salvádego Audaz</t>
        </is>
      </c>
      <c r="B3888" s="13" t="inlineStr">
        <is>
          <t>Creature — Aetherborn Artificer / Criatura — Etergênito Artesão</t>
        </is>
      </c>
      <c r="C3888" s="13" t="inlineStr">
        <is>
          <t>Common / Comum</t>
        </is>
      </c>
      <c r="D3888" s="13" t="inlineStr">
        <is>
          <t>Sacrifice an artifact or creature: Put a +1/+1 counter on this creature. Activate only as a sorcery. / Sacrifique um artefato ou criatura: Coloque um marcador +1/+1 em Salvádego Audaz. Ative esta habilidade somente nos momentos em que poderia conjurar um feitiço.</t>
        </is>
      </c>
      <c r="E3888" s="13" t="inlineStr">
        <is>
          <t>{2}{B}</t>
        </is>
      </c>
      <c r="F3888" s="13" t="inlineStr">
        <is>
          <t>Preto</t>
        </is>
      </c>
      <c r="G3888" s="8" t="n">
        <v>0.03</v>
      </c>
      <c r="H3888" s="13" t="inlineStr">
        <is>
          <t>Aether Revolt (AER)</t>
        </is>
      </c>
      <c r="I3888" s="13" t="inlineStr">
        <is>
          <t>Não</t>
        </is>
      </c>
      <c r="J3888" s="13" t="n">
        <v>2017</v>
      </c>
      <c r="K3888" s="10" t="n">
        <v>46055</v>
      </c>
      <c r="L3888" s="13" t="n">
        <v>1</v>
      </c>
      <c r="M3888" s="8">
        <f>L3888*G3888</f>
        <v/>
      </c>
      <c r="P3888" s="9" t="n"/>
    </row>
    <row r="3889">
      <c r="A3889" s="13" t="inlineStr">
        <is>
          <t>Fathom Fleet Boarder / Abordador da Frota Abissal</t>
        </is>
      </c>
      <c r="B3889" s="13" t="inlineStr">
        <is>
          <t>Creature — Orc Pirate / Criatura — Orc Pirata</t>
        </is>
      </c>
      <c r="C3889" s="13" t="inlineStr">
        <is>
          <t>Common / Comum</t>
        </is>
      </c>
      <c r="D3889" s="13" t="inlineStr">
        <is>
          <t>When this creature enters, you lose 2 life unless you control another Pirate. / Quando Abordador da Frota Abissal entra no campo de batalha, você perde 2 pontos de vida, a menos que você controle outro Pirata.</t>
        </is>
      </c>
      <c r="E3889" s="13" t="inlineStr">
        <is>
          <t>{2}{B}</t>
        </is>
      </c>
      <c r="F3889" s="13" t="inlineStr">
        <is>
          <t>Preto</t>
        </is>
      </c>
      <c r="G3889" s="8" t="n">
        <v>0.03</v>
      </c>
      <c r="H3889" s="13" t="inlineStr">
        <is>
          <t>Rivals of Ixalan (RIX)</t>
        </is>
      </c>
      <c r="I3889" s="13" t="inlineStr">
        <is>
          <t>Não</t>
        </is>
      </c>
      <c r="J3889" s="13" t="n">
        <v>2018</v>
      </c>
      <c r="K3889" s="10" t="n">
        <v>46084</v>
      </c>
      <c r="L3889" s="13" t="n">
        <v>1</v>
      </c>
      <c r="M3889" s="8">
        <f>L3889*G3889</f>
        <v/>
      </c>
      <c r="P3889" s="9" t="n"/>
    </row>
    <row r="3890">
      <c r="A3890" s="13" t="inlineStr">
        <is>
          <t>Rottenheart Ghoul / Carniçal do Coração Pútrido</t>
        </is>
      </c>
      <c r="B3890" s="13" t="inlineStr">
        <is>
          <t>Creature — Zombie / Criatura — Zumbi</t>
        </is>
      </c>
      <c r="C3890" s="13" t="inlineStr">
        <is>
          <t>Common / Comum</t>
        </is>
      </c>
      <c r="D3890" s="13" t="inlineStr">
        <is>
          <t>When this creature dies, target player discards a card. / Quando Carniçal do Coração Pútrido morre, o jogador alvo descarta um card.</t>
        </is>
      </c>
      <c r="E3890" s="13" t="inlineStr">
        <is>
          <t>{3}{B}</t>
        </is>
      </c>
      <c r="F3890" s="13" t="inlineStr">
        <is>
          <t>Preto</t>
        </is>
      </c>
      <c r="G3890" s="8" t="n">
        <v>0.09</v>
      </c>
      <c r="H3890" s="13" t="inlineStr">
        <is>
          <t>Shadows over Innistrad (SOI)</t>
        </is>
      </c>
      <c r="I3890" s="13" t="inlineStr">
        <is>
          <t>Não</t>
        </is>
      </c>
      <c r="J3890" s="13" t="n">
        <v>2016</v>
      </c>
      <c r="K3890" s="10" t="n">
        <v>46114</v>
      </c>
      <c r="L3890" s="13" t="n">
        <v>1</v>
      </c>
      <c r="M3890" s="8">
        <f>L3890*G3890</f>
        <v/>
      </c>
      <c r="P3890" s="9" t="n"/>
    </row>
    <row r="3891">
      <c r="A3891" s="13" t="inlineStr">
        <is>
          <t>Blade Juggler / Malabarista de Lâminas</t>
        </is>
      </c>
      <c r="B3891" s="13" t="inlineStr">
        <is>
          <t>Creature — Human Rogue / Criatura — Humano Ladino</t>
        </is>
      </c>
      <c r="C3891" s="13" t="inlineStr">
        <is>
          <t>Common / Comum</t>
        </is>
      </c>
      <c r="D3891" s="13" t="inlineStr">
        <is>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is>
      </c>
      <c r="E3891" s="13" t="inlineStr">
        <is>
          <t>{4}{B}</t>
        </is>
      </c>
      <c r="F3891" s="13" t="inlineStr">
        <is>
          <t>Preto</t>
        </is>
      </c>
      <c r="G3891" s="8" t="n">
        <v>0.03</v>
      </c>
      <c r="H3891" s="13" t="inlineStr">
        <is>
          <t>Ravnica Allegiance (RNA)</t>
        </is>
      </c>
      <c r="I3891" s="13" t="inlineStr">
        <is>
          <t>Não</t>
        </is>
      </c>
      <c r="J3891" s="13" t="n">
        <v>2019</v>
      </c>
      <c r="K3891" s="10" t="n">
        <v>46056</v>
      </c>
      <c r="L3891" s="13" t="n">
        <v>1</v>
      </c>
      <c r="M3891" s="8">
        <f>L3891*G3891</f>
        <v/>
      </c>
      <c r="P3891" s="9" t="n"/>
    </row>
    <row r="3892">
      <c r="A3892" s="13" t="inlineStr">
        <is>
          <t>Noxious Groodion / Groodion Nocivo</t>
        </is>
      </c>
      <c r="B3892" s="13" t="inlineStr">
        <is>
          <t>Creature — Beast / Criatura — Besta</t>
        </is>
      </c>
      <c r="C3892" s="13" t="inlineStr">
        <is>
          <t>Common / Comum</t>
        </is>
      </c>
      <c r="D3892" s="13" t="inlineStr">
        <is>
          <t>Deathtouch / Toque mortífero</t>
        </is>
      </c>
      <c r="E3892" s="13" t="inlineStr">
        <is>
          <t>{2}{B}</t>
        </is>
      </c>
      <c r="F3892" s="13" t="inlineStr">
        <is>
          <t>Preto</t>
        </is>
      </c>
      <c r="G3892" s="8" t="n">
        <v>0.03</v>
      </c>
      <c r="H3892" s="13" t="inlineStr">
        <is>
          <t>Ravnica Allegiance (RNA)</t>
        </is>
      </c>
      <c r="I3892" s="13" t="inlineStr">
        <is>
          <t>Não</t>
        </is>
      </c>
      <c r="J3892" s="13" t="n">
        <v>2019</v>
      </c>
      <c r="K3892" s="10" t="n">
        <v>46055</v>
      </c>
      <c r="L3892" s="13" t="n">
        <v>1</v>
      </c>
      <c r="M3892" s="8">
        <f>L3892*G3892</f>
        <v/>
      </c>
      <c r="P3892" s="9" t="n"/>
    </row>
    <row r="3893">
      <c r="A3893" s="13" t="inlineStr">
        <is>
          <t>Barrier of Bones / Muralha de Ossos</t>
        </is>
      </c>
      <c r="B3893" s="13" t="inlineStr">
        <is>
          <t>Creature — Skeleton Wall / Criatura — Esqueleto Barreira</t>
        </is>
      </c>
      <c r="C3893" s="13" t="inlineStr">
        <is>
          <t>Common / Comum</t>
        </is>
      </c>
      <c r="D3893" s="13" t="inlineStr">
        <is>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is>
      </c>
      <c r="E3893" s="13" t="inlineStr">
        <is>
          <t>{B}</t>
        </is>
      </c>
      <c r="F3893" s="13" t="inlineStr">
        <is>
          <t>Preto</t>
        </is>
      </c>
      <c r="G3893" s="8" t="n">
        <v>0.03</v>
      </c>
      <c r="H3893" s="13" t="inlineStr">
        <is>
          <t>Guilds of Ravnica (GRN)</t>
        </is>
      </c>
      <c r="I3893" s="13" t="inlineStr">
        <is>
          <t>Não</t>
        </is>
      </c>
      <c r="J3893" s="13" t="n">
        <v>2018</v>
      </c>
      <c r="K3893" s="13" t="inlineStr">
        <is>
          <t>0/3</t>
        </is>
      </c>
      <c r="L3893" s="13" t="n">
        <v>1</v>
      </c>
      <c r="M3893" s="8">
        <f>L3893*G3893</f>
        <v/>
      </c>
      <c r="P3893" s="9" t="n"/>
    </row>
    <row r="3894">
      <c r="A3894" s="13" t="inlineStr">
        <is>
          <t>Kalastria Healer / Curandeiro Kalastria</t>
        </is>
      </c>
      <c r="B3894" s="13" t="inlineStr">
        <is>
          <t>Creature — Vampire Cleric Ally / Criatura — Vampiro Clérigo Aliado</t>
        </is>
      </c>
      <c r="C3894" s="13" t="inlineStr">
        <is>
          <t>Common / Comum</t>
        </is>
      </c>
      <c r="D3894" s="13" t="inlineStr">
        <is>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is>
      </c>
      <c r="E3894" s="13" t="inlineStr">
        <is>
          <t>{1}{B}</t>
        </is>
      </c>
      <c r="F3894" s="13" t="inlineStr">
        <is>
          <t>Preto</t>
        </is>
      </c>
      <c r="G3894" s="8" t="n">
        <v>0.09</v>
      </c>
      <c r="H3894" s="13" t="inlineStr">
        <is>
          <t>Battle for Zendikar (BFZ)</t>
        </is>
      </c>
      <c r="I3894" s="13" t="inlineStr">
        <is>
          <t>Não</t>
        </is>
      </c>
      <c r="J3894" s="13" t="n">
        <v>2015</v>
      </c>
      <c r="K3894" s="10" t="n">
        <v>46054</v>
      </c>
      <c r="L3894" s="13" t="n">
        <v>1</v>
      </c>
      <c r="M3894" s="8">
        <f>L3894*G3894</f>
        <v/>
      </c>
      <c r="P3894" s="9" t="n"/>
    </row>
    <row r="3895">
      <c r="A3895" s="13" t="inlineStr">
        <is>
          <t>Thirsting Shade / Sombra Sedenta</t>
        </is>
      </c>
      <c r="B3895" s="13" t="inlineStr">
        <is>
          <t>Creature — Shade / Criatura — Sombra</t>
        </is>
      </c>
      <c r="C3895" s="13" t="inlineStr">
        <is>
          <t>Common / Comum</t>
        </is>
      </c>
      <c r="D3895" s="13" t="inlineStr">
        <is>
          <t>Lifelink {2}{B}: This creature gets +1/+1 until end of turn. / Vínculo com a vida {2}{B}: Sombra Sedenta recebe +1/+1 até o final do turno.</t>
        </is>
      </c>
      <c r="E3895" s="13" t="inlineStr">
        <is>
          <t>{B}</t>
        </is>
      </c>
      <c r="F3895" s="13" t="inlineStr">
        <is>
          <t>Preto</t>
        </is>
      </c>
      <c r="G3895" s="8" t="n">
        <v>0.03</v>
      </c>
      <c r="H3895" s="13" t="inlineStr">
        <is>
          <t>Ravnica Allegiance (RNA)</t>
        </is>
      </c>
      <c r="I3895" s="13" t="inlineStr">
        <is>
          <t>Não</t>
        </is>
      </c>
      <c r="J3895" s="13" t="n">
        <v>2019</v>
      </c>
      <c r="K3895" s="10" t="n">
        <v>46023</v>
      </c>
      <c r="L3895" s="13" t="n">
        <v>1</v>
      </c>
      <c r="M3895" s="8">
        <f>L3895*G3895</f>
        <v/>
      </c>
      <c r="P3895" s="9" t="n"/>
    </row>
    <row r="3896">
      <c r="A3896" s="13" t="inlineStr">
        <is>
          <t>Hound of the Farbogs / Sabujo de Brejolonge</t>
        </is>
      </c>
      <c r="B3896" s="13" t="inlineStr">
        <is>
          <t>Creature — Zombie Dog / Criatura — Zumbi Sabujo</t>
        </is>
      </c>
      <c r="C3896" s="13" t="inlineStr">
        <is>
          <t>Common / Comum</t>
        </is>
      </c>
      <c r="D3896" s="13" t="inlineStr">
        <is>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is>
      </c>
      <c r="E3896" s="13" t="inlineStr">
        <is>
          <t>{4}{B}</t>
        </is>
      </c>
      <c r="F3896" s="13" t="inlineStr">
        <is>
          <t>Preto</t>
        </is>
      </c>
      <c r="G3896" s="8" t="n">
        <v>0.06</v>
      </c>
      <c r="H3896" s="13" t="inlineStr">
        <is>
          <t>Shadows over Innistrad (SOI)</t>
        </is>
      </c>
      <c r="I3896" s="13" t="inlineStr">
        <is>
          <t>Não</t>
        </is>
      </c>
      <c r="J3896" s="13" t="n">
        <v>2016</v>
      </c>
      <c r="K3896" s="10" t="n">
        <v>46086</v>
      </c>
      <c r="L3896" s="13" t="n">
        <v>1</v>
      </c>
      <c r="M3896" s="8">
        <f>L3896*G3896</f>
        <v/>
      </c>
      <c r="P3896" s="9" t="n"/>
    </row>
    <row r="3897">
      <c r="A3897" s="13" t="inlineStr">
        <is>
          <t>Vampire Revenant / Espectro Vampírico</t>
        </is>
      </c>
      <c r="B3897" s="13" t="inlineStr">
        <is>
          <t>Creature — Vampire Spirit / Criatura — Vampiro Espírito</t>
        </is>
      </c>
      <c r="C3897" s="13" t="inlineStr">
        <is>
          <t>Common / Comum</t>
        </is>
      </c>
      <c r="D3897" s="13" t="inlineStr">
        <is>
          <t>Flying / Voar</t>
        </is>
      </c>
      <c r="E3897" s="13" t="inlineStr">
        <is>
          <t>{3}{B}</t>
        </is>
      </c>
      <c r="F3897" s="13" t="inlineStr">
        <is>
          <t>Preto</t>
        </is>
      </c>
      <c r="G3897" s="8" t="n">
        <v>0.03</v>
      </c>
      <c r="H3897" s="13" t="inlineStr">
        <is>
          <t>Rivals of Ixalan (RIX)</t>
        </is>
      </c>
      <c r="I3897" s="13" t="inlineStr">
        <is>
          <t>Não</t>
        </is>
      </c>
      <c r="J3897" s="13" t="n">
        <v>2018</v>
      </c>
      <c r="K3897" s="10" t="n">
        <v>46025</v>
      </c>
      <c r="L3897" s="13" t="n">
        <v>1</v>
      </c>
      <c r="M3897" s="8">
        <f>L3897*G3897</f>
        <v/>
      </c>
      <c r="P3897" s="9" t="n"/>
    </row>
    <row r="3898">
      <c r="A3898" s="13" t="inlineStr">
        <is>
          <t>Eyeblight Assassin / Assassino de Seca-olho</t>
        </is>
      </c>
      <c r="B3898" s="13" t="inlineStr">
        <is>
          <t>Creature — Elf Assassin / Criatura — Elfo Assassino</t>
        </is>
      </c>
      <c r="C3898" s="13" t="inlineStr">
        <is>
          <t>Common / Comum</t>
        </is>
      </c>
      <c r="D3898" s="13" t="inlineStr">
        <is>
          <t>When this creature enters, target creature an opponent controls gets -1/-1 until end of turn. / Quando Assassino de Seca-olho entra no campo de batalha, a criatura alvo que um oponente controla recebe -1/-1 até o final do turno.</t>
        </is>
      </c>
      <c r="E3898" s="13" t="inlineStr">
        <is>
          <t>{2}{B}</t>
        </is>
      </c>
      <c r="F3898" s="13" t="inlineStr">
        <is>
          <t>Preto</t>
        </is>
      </c>
      <c r="G3898" s="8" t="n">
        <v>0.05</v>
      </c>
      <c r="H3898" s="13" t="inlineStr">
        <is>
          <t>Magic Origins (ORI)</t>
        </is>
      </c>
      <c r="I3898" s="13" t="inlineStr">
        <is>
          <t>Não</t>
        </is>
      </c>
      <c r="J3898" s="13" t="n">
        <v>2015</v>
      </c>
      <c r="K3898" s="10" t="n">
        <v>46055</v>
      </c>
      <c r="L3898" s="13" t="n">
        <v>4</v>
      </c>
      <c r="M3898" s="8">
        <f>L3898*G3898</f>
        <v/>
      </c>
      <c r="P3898" s="9" t="n"/>
    </row>
    <row r="3899">
      <c r="A3899" s="13" t="inlineStr">
        <is>
          <t>Temple Thief / Ladrão de Templos</t>
        </is>
      </c>
      <c r="B3899" s="13" t="inlineStr">
        <is>
          <t>Creature — Human Rogue / Criatura — Humano Ladino</t>
        </is>
      </c>
      <c r="C3899" s="13" t="inlineStr">
        <is>
          <t>Common / Comum</t>
        </is>
      </c>
      <c r="D3899" s="13" t="inlineStr">
        <is>
          <t>This creature can't be blocked by enchanted creatures or enchantment creatures. / Ladrão de Templos não pode ser bloqueado por criaturas encantadas nem criaturas encantamento.</t>
        </is>
      </c>
      <c r="E3899" s="13" t="inlineStr">
        <is>
          <t>{1}{B}</t>
        </is>
      </c>
      <c r="F3899" s="13" t="inlineStr">
        <is>
          <t>Preto</t>
        </is>
      </c>
      <c r="G3899" s="8" t="n">
        <v>0.03</v>
      </c>
      <c r="H3899" s="13" t="inlineStr">
        <is>
          <t>Theros Beyond Death (THB)</t>
        </is>
      </c>
      <c r="I3899" s="13" t="inlineStr">
        <is>
          <t>Não</t>
        </is>
      </c>
      <c r="J3899" s="13" t="n">
        <v>2020</v>
      </c>
      <c r="K3899" s="10" t="n">
        <v>46055</v>
      </c>
      <c r="L3899" s="13" t="n">
        <v>1</v>
      </c>
      <c r="M3899" s="8">
        <f>L3899*G3899</f>
        <v/>
      </c>
      <c r="P3899" s="9" t="n"/>
    </row>
    <row r="3900">
      <c r="A3900" s="13" t="inlineStr">
        <is>
          <t>Deadbridge Shaman / Xamã da Ponte Mortífera</t>
        </is>
      </c>
      <c r="B3900" s="13" t="inlineStr">
        <is>
          <t>Creature — Elf Shaman / Criatura — Elfo Xamã</t>
        </is>
      </c>
      <c r="C3900" s="13" t="inlineStr">
        <is>
          <t>Common / Comum</t>
        </is>
      </c>
      <c r="D3900" s="13" t="inlineStr">
        <is>
          <t>When this creature dies, target opponent discards a card. / Quando Xamã da Ponte Mortífera morre, o oponente alvo descarta um card.</t>
        </is>
      </c>
      <c r="E3900" s="13" t="inlineStr">
        <is>
          <t>{2}{B}</t>
        </is>
      </c>
      <c r="F3900" s="13" t="inlineStr">
        <is>
          <t>Preto</t>
        </is>
      </c>
      <c r="G3900" s="8" t="n">
        <v>0.06</v>
      </c>
      <c r="H3900" s="13" t="inlineStr">
        <is>
          <t>Magic Origins (ORI)</t>
        </is>
      </c>
      <c r="I3900" s="13" t="inlineStr">
        <is>
          <t>Não</t>
        </is>
      </c>
      <c r="J3900" s="13" t="n">
        <v>2015</v>
      </c>
      <c r="K3900" s="10" t="n">
        <v>46025</v>
      </c>
      <c r="L3900" s="13" t="n">
        <v>4</v>
      </c>
      <c r="M3900" s="8">
        <f>L3900*G3900</f>
        <v/>
      </c>
      <c r="P3900" s="9" t="n"/>
    </row>
    <row r="3901">
      <c r="A3901" s="13" t="inlineStr">
        <is>
          <t>Lampad of Death's Vigil / Lâmpade da Vigília da Morte</t>
        </is>
      </c>
      <c r="B3901" s="13" t="inlineStr">
        <is>
          <t>Enchantment Creature — Nymph / Criatura Encantamento — Ninfa</t>
        </is>
      </c>
      <c r="C3901" s="13" t="inlineStr">
        <is>
          <t>Common / Comum</t>
        </is>
      </c>
      <c r="D3901" s="13" t="inlineStr">
        <is>
          <t>{1}, Sacrifice a creature: Each opponent loses 1 life and you gain 1 life. / {1}, sacrifique uma criatura: Cada oponente perde 1 ponto de vida e você ganha 1 ponto de vida.</t>
        </is>
      </c>
      <c r="E3901" s="13" t="inlineStr">
        <is>
          <t>{1}{B}</t>
        </is>
      </c>
      <c r="F3901" s="13" t="inlineStr">
        <is>
          <t>Preto</t>
        </is>
      </c>
      <c r="G3901" s="8" t="n">
        <v>0.06</v>
      </c>
      <c r="H3901" s="13" t="inlineStr">
        <is>
          <t>Theros Beyond Death (THB)</t>
        </is>
      </c>
      <c r="I3901" s="13" t="inlineStr">
        <is>
          <t>Não</t>
        </is>
      </c>
      <c r="J3901" s="13" t="n">
        <v>2020</v>
      </c>
      <c r="K3901" s="10" t="n">
        <v>46082</v>
      </c>
      <c r="L3901" s="13" t="n">
        <v>2</v>
      </c>
      <c r="M3901" s="8">
        <f>L3901*G3901</f>
        <v/>
      </c>
      <c r="P3901" s="9" t="n"/>
    </row>
    <row r="3902">
      <c r="A3902" s="13" t="inlineStr">
        <is>
          <t>Tithebearer Giant / Gigante Porta-dízimos</t>
        </is>
      </c>
      <c r="B3902" s="13" t="inlineStr">
        <is>
          <t>Creature — Giant Warrior / Criatura — Gigante Guerreiro</t>
        </is>
      </c>
      <c r="C3902" s="13" t="inlineStr">
        <is>
          <t>Common / Comum</t>
        </is>
      </c>
      <c r="D3902" s="13" t="inlineStr">
        <is>
          <t>When this creature enters, you draw a card and you lose 1 life. / Quando Gigante Porta-dízimos entra no campo de batalha, você compra um card e perde 1 ponto de vida.</t>
        </is>
      </c>
      <c r="E3902" s="13" t="inlineStr">
        <is>
          <t>{5}{B}</t>
        </is>
      </c>
      <c r="F3902" s="13" t="inlineStr">
        <is>
          <t>Preto</t>
        </is>
      </c>
      <c r="G3902" s="8" t="n">
        <v>0.02</v>
      </c>
      <c r="H3902" s="13" t="inlineStr">
        <is>
          <t>War of the Spark (WAR)</t>
        </is>
      </c>
      <c r="I3902" s="13" t="inlineStr">
        <is>
          <t>Não</t>
        </is>
      </c>
      <c r="J3902" s="13" t="n">
        <v>2019</v>
      </c>
      <c r="K3902" s="10" t="n">
        <v>46146</v>
      </c>
      <c r="L3902" s="13" t="n">
        <v>1</v>
      </c>
      <c r="M3902" s="8">
        <f>L3902*G3902</f>
        <v/>
      </c>
      <c r="P3902" s="9" t="n"/>
    </row>
    <row r="3903">
      <c r="A3903" s="13" t="inlineStr">
        <is>
          <t>Debtors' Transport / Transporte dos Devedores</t>
        </is>
      </c>
      <c r="B3903" s="13" t="inlineStr">
        <is>
          <t>Creature — Thrull / Criatura — Thrull</t>
        </is>
      </c>
      <c r="C3903" s="13" t="inlineStr">
        <is>
          <t>Common / Comum</t>
        </is>
      </c>
      <c r="D3903" s="13" t="inlineStr">
        <is>
          <t>Afterlife 2 (When this creature dies, create two 1/1 white and black Spirit creature tokens with flying.) / Pós-vida 2 (Quando esta criatura morrer, crie duas fichas de criatura branca e preta 1/1 do tipo Espírito com voar. )</t>
        </is>
      </c>
      <c r="E3903" s="13" t="inlineStr">
        <is>
          <t>{5}{B}</t>
        </is>
      </c>
      <c r="F3903" s="13" t="inlineStr">
        <is>
          <t>Preto</t>
        </is>
      </c>
      <c r="G3903" s="8" t="n">
        <v>0.03</v>
      </c>
      <c r="H3903" s="13" t="inlineStr">
        <is>
          <t>Ravnica Allegiance (RNA)</t>
        </is>
      </c>
      <c r="I3903" s="13" t="inlineStr">
        <is>
          <t>Não</t>
        </is>
      </c>
      <c r="J3903" s="13" t="n">
        <v>2019</v>
      </c>
      <c r="K3903" s="10" t="n">
        <v>46086</v>
      </c>
      <c r="L3903" s="13" t="n">
        <v>1</v>
      </c>
      <c r="M3903" s="8">
        <f>L3903*G3903</f>
        <v/>
      </c>
      <c r="P3903" s="9" t="n"/>
    </row>
    <row r="3904">
      <c r="A3904" s="13" t="inlineStr">
        <is>
          <t>Fetid Imp / Diabrete Fedido</t>
        </is>
      </c>
      <c r="B3904" s="13" t="inlineStr">
        <is>
          <t>Creature — Imp / Criatura — Diabrete</t>
        </is>
      </c>
      <c r="C3904" s="13" t="inlineStr">
        <is>
          <t>Common / Comum</t>
        </is>
      </c>
      <c r="D3904" s="13"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3904" s="13" t="inlineStr">
        <is>
          <t>{1}{B}</t>
        </is>
      </c>
      <c r="F3904" s="13" t="inlineStr">
        <is>
          <t>Preto</t>
        </is>
      </c>
      <c r="G3904" s="8" t="n">
        <v>0.03</v>
      </c>
      <c r="H3904" s="13" t="inlineStr">
        <is>
          <t>Magic Origins (ORI)</t>
        </is>
      </c>
      <c r="I3904" s="13" t="inlineStr">
        <is>
          <t>Não</t>
        </is>
      </c>
      <c r="J3904" s="13" t="n">
        <v>2015</v>
      </c>
      <c r="K3904" s="10" t="n">
        <v>46054</v>
      </c>
      <c r="L3904" s="13" t="n">
        <v>11</v>
      </c>
      <c r="M3904" s="8">
        <f>L3904*G3904</f>
        <v/>
      </c>
      <c r="P3904" s="9" t="n"/>
    </row>
    <row r="3905">
      <c r="A3905" s="13" t="inlineStr">
        <is>
          <t>Fetid Imp / Diabrete Fedido</t>
        </is>
      </c>
      <c r="B3905" s="13" t="inlineStr">
        <is>
          <t>Creature — Imp / Criatura — Diabrete</t>
        </is>
      </c>
      <c r="C3905" s="13" t="inlineStr">
        <is>
          <t>Common / Comum</t>
        </is>
      </c>
      <c r="D3905" s="13"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3905" s="13" t="inlineStr">
        <is>
          <t>{1}{B}</t>
        </is>
      </c>
      <c r="F3905" s="13" t="inlineStr">
        <is>
          <t>Preto</t>
        </is>
      </c>
      <c r="G3905" s="8" t="n">
        <v>0.5</v>
      </c>
      <c r="H3905" s="13" t="inlineStr">
        <is>
          <t>Magic Origins (ORI)</t>
        </is>
      </c>
      <c r="I3905" s="13" t="inlineStr">
        <is>
          <t>Sim</t>
        </is>
      </c>
      <c r="J3905" s="13" t="n">
        <v>2015</v>
      </c>
      <c r="K3905" s="10" t="n">
        <v>46054</v>
      </c>
      <c r="L3905" s="13" t="n">
        <v>1</v>
      </c>
      <c r="M3905" s="8">
        <f>L3905*G3905</f>
        <v/>
      </c>
      <c r="P3905" s="9" t="n"/>
    </row>
    <row r="3906">
      <c r="A3906" s="13" t="inlineStr">
        <is>
          <t>Marshmist Titan / Titã Bruma de Pântano</t>
        </is>
      </c>
      <c r="B3906" s="13" t="inlineStr">
        <is>
          <t>Creature — Giant / Criatura — Gigante</t>
        </is>
      </c>
      <c r="C3906" s="13" t="inlineStr">
        <is>
          <t>Common / Comum</t>
        </is>
      </c>
      <c r="D3906" s="13" t="inlineStr">
        <is>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is>
      </c>
      <c r="E3906" s="13" t="inlineStr">
        <is>
          <t>{6}{B}</t>
        </is>
      </c>
      <c r="F3906" s="13" t="inlineStr">
        <is>
          <t>Preto</t>
        </is>
      </c>
      <c r="G3906" s="8" t="n">
        <v>0.15</v>
      </c>
      <c r="H3906" s="13" t="inlineStr">
        <is>
          <t>Born of the Gods (BNG)</t>
        </is>
      </c>
      <c r="I3906" s="13" t="inlineStr">
        <is>
          <t>Sim</t>
        </is>
      </c>
      <c r="J3906" s="13" t="n">
        <v>2014</v>
      </c>
      <c r="K3906" s="10" t="n">
        <v>46146</v>
      </c>
      <c r="L3906" s="13" t="n">
        <v>1</v>
      </c>
      <c r="M3906" s="8">
        <f>L3906*G3906</f>
        <v/>
      </c>
      <c r="P3906" s="9" t="n"/>
    </row>
    <row r="3907">
      <c r="A3907" s="13" t="inlineStr">
        <is>
          <t>Soulreaper of Mogis / Ceifador de Almas de Mogis</t>
        </is>
      </c>
      <c r="B3907" s="13" t="inlineStr">
        <is>
          <t>Enchantment Creature — Minotaur Shaman / Criatura Encantamento — Minotauro Xamã</t>
        </is>
      </c>
      <c r="C3907" s="13" t="inlineStr">
        <is>
          <t>Common / Comum</t>
        </is>
      </c>
      <c r="D3907" s="13" t="inlineStr">
        <is>
          <t>{2}{B}, Sacrifice a creature: Draw a card. / {2}{B}, sacrifique uma criatura: Compre um card.</t>
        </is>
      </c>
      <c r="E3907" s="13" t="inlineStr">
        <is>
          <t>{2}{B}</t>
        </is>
      </c>
      <c r="F3907" s="13" t="inlineStr">
        <is>
          <t>Preto</t>
        </is>
      </c>
      <c r="G3907" s="8" t="n">
        <v>0.03</v>
      </c>
      <c r="H3907" s="13" t="inlineStr">
        <is>
          <t>Theros Beyond Death (THB)</t>
        </is>
      </c>
      <c r="I3907" s="13" t="inlineStr">
        <is>
          <t>Não</t>
        </is>
      </c>
      <c r="J3907" s="13" t="n">
        <v>2020</v>
      </c>
      <c r="K3907" s="10" t="n">
        <v>46083</v>
      </c>
      <c r="L3907" s="13" t="n">
        <v>1</v>
      </c>
      <c r="M3907" s="8">
        <f>L3907*G3907</f>
        <v/>
      </c>
      <c r="P3907" s="9" t="n"/>
    </row>
    <row r="3908">
      <c r="A3908" s="13" t="inlineStr">
        <is>
          <t>Catacomb Slug / Lesma de Catacumba</t>
        </is>
      </c>
      <c r="B3908" s="13" t="inlineStr">
        <is>
          <t>Creature — Slug / Criatura — Lesma</t>
        </is>
      </c>
      <c r="C3908" s="13" t="inlineStr">
        <is>
          <t>Common / Comum</t>
        </is>
      </c>
      <c r="E3908" s="13" t="inlineStr">
        <is>
          <t>{4}{B}</t>
        </is>
      </c>
      <c r="F3908" s="13" t="inlineStr">
        <is>
          <t>Preto</t>
        </is>
      </c>
      <c r="G3908" s="8" t="n">
        <v>0.05</v>
      </c>
      <c r="H3908" s="13" t="inlineStr">
        <is>
          <t>Magic Origins (ORI)</t>
        </is>
      </c>
      <c r="I3908" s="13" t="inlineStr">
        <is>
          <t>Não</t>
        </is>
      </c>
      <c r="J3908" s="13" t="n">
        <v>2015</v>
      </c>
      <c r="K3908" s="10" t="n">
        <v>46175</v>
      </c>
      <c r="L3908" s="13" t="n">
        <v>3</v>
      </c>
      <c r="M3908" s="8">
        <f>L3908*G3908</f>
        <v/>
      </c>
      <c r="P3908" s="9" t="n"/>
    </row>
    <row r="3909">
      <c r="A3909" s="13" t="inlineStr">
        <is>
          <t>Shambling Ghoul / Carniçal Trôpego</t>
        </is>
      </c>
      <c r="B3909" s="13" t="inlineStr">
        <is>
          <t>Creature — Zombie / Criatura — Zumbi</t>
        </is>
      </c>
      <c r="C3909" s="13" t="inlineStr">
        <is>
          <t>Common / Comum</t>
        </is>
      </c>
      <c r="D3909" s="13" t="inlineStr">
        <is>
          <t>This creature enters tapped. / Carniçal Trôpego entra no campo de batalha virado.</t>
        </is>
      </c>
      <c r="E3909" s="13" t="inlineStr">
        <is>
          <t>{1}{B}</t>
        </is>
      </c>
      <c r="F3909" s="13" t="inlineStr">
        <is>
          <t>Preto</t>
        </is>
      </c>
      <c r="G3909" s="8" t="n">
        <v>0.06</v>
      </c>
      <c r="H3909" s="13" t="inlineStr">
        <is>
          <t>Magic Origins (ORI)</t>
        </is>
      </c>
      <c r="I3909" s="13" t="inlineStr">
        <is>
          <t>Não</t>
        </is>
      </c>
      <c r="J3909" s="13" t="n">
        <v>2015</v>
      </c>
      <c r="K3909" s="10" t="n">
        <v>46083</v>
      </c>
      <c r="L3909" s="13" t="n">
        <v>2</v>
      </c>
      <c r="M3909" s="8">
        <f>L3909*G3909</f>
        <v/>
      </c>
      <c r="P3909" s="9" t="n"/>
    </row>
    <row r="3910">
      <c r="A3910" s="13" t="inlineStr">
        <is>
          <t>Thornbow Archer / Arqueiro do Arco Espinhoso</t>
        </is>
      </c>
      <c r="B3910" s="13" t="inlineStr">
        <is>
          <t>Creature — Elf Archer / Criatura — Elfo Arqueiro</t>
        </is>
      </c>
      <c r="C3910" s="13" t="inlineStr">
        <is>
          <t>Common / Comum</t>
        </is>
      </c>
      <c r="D3910" s="13" t="inlineStr">
        <is>
          <t>Whenever this creature attacks, each opponent who doesn't control an Elf loses 1 life. / Toda vez que Arqueiro do Arco Espinhoso ataca, cada oponente que não controla um Elfo perde 1 ponto de vida.</t>
        </is>
      </c>
      <c r="E3910" s="13" t="inlineStr">
        <is>
          <t>{B}</t>
        </is>
      </c>
      <c r="F3910" s="13" t="inlineStr">
        <is>
          <t>Preto</t>
        </is>
      </c>
      <c r="G3910" s="8" t="n">
        <v>0.08</v>
      </c>
      <c r="H3910" s="13" t="inlineStr">
        <is>
          <t>Magic Origins (ORI)</t>
        </is>
      </c>
      <c r="I3910" s="13" t="inlineStr">
        <is>
          <t>Não</t>
        </is>
      </c>
      <c r="J3910" s="13" t="n">
        <v>2015</v>
      </c>
      <c r="K3910" s="10" t="n">
        <v>46054</v>
      </c>
      <c r="L3910" s="13" t="n">
        <v>1</v>
      </c>
      <c r="M3910" s="8">
        <f>L3910*G3910</f>
        <v/>
      </c>
      <c r="P3910" s="9" t="n"/>
    </row>
    <row r="3911">
      <c r="A3911" s="13" t="inlineStr">
        <is>
          <t>Undead Servant / Servo Morto-vivo</t>
        </is>
      </c>
      <c r="B3911" s="13" t="inlineStr">
        <is>
          <t>Creature — Zombie / Criatura — Zumbi</t>
        </is>
      </c>
      <c r="C3911" s="13" t="inlineStr">
        <is>
          <t>Common / Comum</t>
        </is>
      </c>
      <c r="D3911" s="13" t="inlineStr">
        <is>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is>
      </c>
      <c r="E3911" s="13" t="inlineStr">
        <is>
          <t>{3}{B}</t>
        </is>
      </c>
      <c r="F3911" s="13" t="inlineStr">
        <is>
          <t>Preto</t>
        </is>
      </c>
      <c r="G3911" s="8" t="n">
        <v>0.06</v>
      </c>
      <c r="H3911" s="13" t="inlineStr">
        <is>
          <t>Magic Origins (ORI)</t>
        </is>
      </c>
      <c r="I3911" s="13" t="inlineStr">
        <is>
          <t>Não</t>
        </is>
      </c>
      <c r="J3911" s="13" t="n">
        <v>2015</v>
      </c>
      <c r="K3911" s="10" t="n">
        <v>46056</v>
      </c>
      <c r="L3911" s="13" t="n">
        <v>4</v>
      </c>
      <c r="M3911" s="8">
        <f>L3911*G3911</f>
        <v/>
      </c>
      <c r="P3911" s="9" t="n"/>
    </row>
    <row r="3912">
      <c r="A3912" s="13" t="inlineStr">
        <is>
          <t>Nantuko Husk / Folhelho Nantuko</t>
        </is>
      </c>
      <c r="B3912" s="13" t="inlineStr">
        <is>
          <t>Creature — Zombie Insect / Criatura — Zumbi Inseto</t>
        </is>
      </c>
      <c r="C3912" s="13" t="inlineStr">
        <is>
          <t>Common / Comum</t>
        </is>
      </c>
      <c r="D3912" s="13" t="inlineStr">
        <is>
          <t>Sacrifice a creature: This creature gets +2/+2 until end of turn. / Sacrifique uma criatura: Folhelho Nantuko recebe +2/+2 até o final do turno.</t>
        </is>
      </c>
      <c r="E3912" s="13" t="inlineStr">
        <is>
          <t>{2}{B}</t>
        </is>
      </c>
      <c r="F3912" s="13" t="inlineStr">
        <is>
          <t>Preto</t>
        </is>
      </c>
      <c r="G3912" s="8" t="n">
        <v>0.03</v>
      </c>
      <c r="H3912" s="13" t="inlineStr">
        <is>
          <t>Magic Origins (ORI)</t>
        </is>
      </c>
      <c r="I3912" s="13" t="inlineStr">
        <is>
          <t>Não</t>
        </is>
      </c>
      <c r="J3912" s="13" t="n">
        <v>2015</v>
      </c>
      <c r="K3912" s="10" t="n">
        <v>46055</v>
      </c>
      <c r="L3912" s="13" t="n">
        <v>2</v>
      </c>
      <c r="M3912" s="8">
        <f>L3912*G3912</f>
        <v/>
      </c>
      <c r="P3912" s="9" t="n"/>
    </row>
    <row r="3913">
      <c r="A3913" s="13" t="inlineStr">
        <is>
          <t>Returned Centaur / Centauro Ressurgido</t>
        </is>
      </c>
      <c r="B3913" s="13" t="inlineStr">
        <is>
          <t>Creature — Zombie Centaur / Criatura — Zumbi Centauro</t>
        </is>
      </c>
      <c r="C3913" s="13" t="inlineStr">
        <is>
          <t>Common / Comum</t>
        </is>
      </c>
      <c r="D3913" s="13" t="inlineStr">
        <is>
          <t>When this creature enters, target player mills four cards. / Quando Centauro Ressurgido entra no campo de batalha, o jogador alvo coloca os quatro cards do topo do grimório dele no próprio cemitério.</t>
        </is>
      </c>
      <c r="E3913" s="13" t="inlineStr">
        <is>
          <t>{3}{B}</t>
        </is>
      </c>
      <c r="F3913" s="13" t="inlineStr">
        <is>
          <t>Preto</t>
        </is>
      </c>
      <c r="G3913" s="8" t="n">
        <v>0.06</v>
      </c>
      <c r="H3913" s="13" t="inlineStr">
        <is>
          <t>Magic Origins (ORI)</t>
        </is>
      </c>
      <c r="I3913" s="13" t="inlineStr">
        <is>
          <t>Não</t>
        </is>
      </c>
      <c r="J3913" s="13" t="n">
        <v>2015</v>
      </c>
      <c r="K3913" s="10" t="n">
        <v>46114</v>
      </c>
      <c r="L3913" s="13" t="n">
        <v>4</v>
      </c>
      <c r="M3913" s="8">
        <f>L3913*G3913</f>
        <v/>
      </c>
      <c r="P3913" s="9" t="n"/>
    </row>
    <row r="3914">
      <c r="A3914" s="13" t="inlineStr">
        <is>
          <t>Catacomb Crocodile / Crocodilo da Catacumba</t>
        </is>
      </c>
      <c r="B3914" s="13" t="inlineStr">
        <is>
          <t>Creature — Crocodile / Criatura — Crocodilo</t>
        </is>
      </c>
      <c r="C3914" s="13" t="inlineStr">
        <is>
          <t>Common / Comum</t>
        </is>
      </c>
      <c r="E3914" s="13" t="inlineStr">
        <is>
          <t>{4}{B}</t>
        </is>
      </c>
      <c r="F3914" s="13" t="inlineStr">
        <is>
          <t>Preto</t>
        </is>
      </c>
      <c r="G3914" s="8" t="n">
        <v>0.03</v>
      </c>
      <c r="H3914" s="13" t="inlineStr">
        <is>
          <t>Ravnica Allegiance (RNA)</t>
        </is>
      </c>
      <c r="I3914" s="13" t="inlineStr">
        <is>
          <t>Não</t>
        </is>
      </c>
      <c r="J3914" s="13" t="n">
        <v>2019</v>
      </c>
      <c r="K3914" s="10" t="n">
        <v>46206</v>
      </c>
      <c r="L3914" s="13" t="n">
        <v>2</v>
      </c>
      <c r="M3914" s="8">
        <f>L3914*G3914</f>
        <v/>
      </c>
      <c r="P3914" s="9" t="n"/>
    </row>
    <row r="3915">
      <c r="A3915" s="13" t="inlineStr">
        <is>
          <t>Carrion Imp / Diabrete Carniceiro</t>
        </is>
      </c>
      <c r="B3915" s="13" t="inlineStr">
        <is>
          <t>Creature — Imp / Criatura — Diabrete</t>
        </is>
      </c>
      <c r="C3915" s="13" t="inlineStr">
        <is>
          <t>Common / Comum</t>
        </is>
      </c>
      <c r="D3915" s="13" t="inlineStr">
        <is>
          <t>Flying When this creature enters, you may exile target creature card from a graveyard. If you do, you gain 2 life. / Voar Quando Diabrete Carniceiro entra no campo de batalha, você pode exilar o card de criatura alvo de um cemitério. Se fizer isso, você ganhará 2 pontos de vida.</t>
        </is>
      </c>
      <c r="E3915" s="13" t="inlineStr">
        <is>
          <t>{3}{B}</t>
        </is>
      </c>
      <c r="F3915" s="13" t="inlineStr">
        <is>
          <t>Preto</t>
        </is>
      </c>
      <c r="G3915" s="8" t="n">
        <v>0.03</v>
      </c>
      <c r="H3915" s="13" t="inlineStr">
        <is>
          <t>Ravnica Allegiance (RNA)</t>
        </is>
      </c>
      <c r="I3915" s="13" t="inlineStr">
        <is>
          <t>Não</t>
        </is>
      </c>
      <c r="J3915" s="13" t="n">
        <v>2019</v>
      </c>
      <c r="K3915" s="10" t="n">
        <v>46083</v>
      </c>
      <c r="L3915" s="13" t="n">
        <v>2</v>
      </c>
      <c r="M3915" s="8">
        <f>L3915*G3915</f>
        <v/>
      </c>
      <c r="P3915" s="9" t="n"/>
    </row>
    <row r="3916">
      <c r="A3916" s="13" t="inlineStr">
        <is>
          <t>Rage-Scarred Berserker / Amoque Escarificado pela Fúria</t>
        </is>
      </c>
      <c r="B3916" s="13" t="inlineStr">
        <is>
          <t>Creature — Minotaur Berserker / Criatura — Minotauro Amoque</t>
        </is>
      </c>
      <c r="C3916" s="13" t="inlineStr">
        <is>
          <t>Common / Comum</t>
        </is>
      </c>
      <c r="D3916" s="13" t="inlineStr">
        <is>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is>
      </c>
      <c r="E3916" s="13" t="inlineStr">
        <is>
          <t>{4}{B}</t>
        </is>
      </c>
      <c r="F3916" s="13" t="inlineStr">
        <is>
          <t>Preto</t>
        </is>
      </c>
      <c r="G3916" s="8" t="n">
        <v>0.03</v>
      </c>
      <c r="H3916" s="13" t="inlineStr">
        <is>
          <t>Theros Beyond Death (THB)</t>
        </is>
      </c>
      <c r="I3916" s="13" t="inlineStr">
        <is>
          <t>Não</t>
        </is>
      </c>
      <c r="J3916" s="13" t="n">
        <v>2020</v>
      </c>
      <c r="K3916" s="10" t="n">
        <v>46117</v>
      </c>
      <c r="L3916" s="13" t="n">
        <v>2</v>
      </c>
      <c r="M3916" s="8">
        <f>L3916*G3916</f>
        <v/>
      </c>
      <c r="P3916" s="9" t="n"/>
    </row>
    <row r="3917">
      <c r="A3917" s="13" t="inlineStr">
        <is>
          <t>Cruel Sadist / Sádico Cruel</t>
        </is>
      </c>
      <c r="B3917" s="13" t="inlineStr">
        <is>
          <t>Creature — Human Assassin / Criatura — Humano Assassino</t>
        </is>
      </c>
      <c r="C3917" s="13" t="inlineStr">
        <is>
          <t>Rare / Rara</t>
        </is>
      </c>
      <c r="D3917" s="13"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3917" s="13" t="inlineStr">
        <is>
          <t>{B}</t>
        </is>
      </c>
      <c r="F3917" s="13" t="inlineStr">
        <is>
          <t>Preto</t>
        </is>
      </c>
      <c r="G3917" s="8" t="n">
        <v>0.3</v>
      </c>
      <c r="H3917" s="13" t="inlineStr">
        <is>
          <t>Magic 2015 (M15)</t>
        </is>
      </c>
      <c r="I3917" s="13" t="inlineStr">
        <is>
          <t>Não</t>
        </is>
      </c>
      <c r="J3917" s="13" t="n">
        <v>2014</v>
      </c>
      <c r="K3917" s="10" t="n">
        <v>46023</v>
      </c>
      <c r="L3917" s="13" t="n">
        <v>1</v>
      </c>
      <c r="M3917" s="8">
        <f>L3917*G3917</f>
        <v/>
      </c>
      <c r="P3917" s="9" t="n"/>
    </row>
    <row r="3918">
      <c r="A3918" s="13" t="inlineStr">
        <is>
          <t>Reaver Drone / Zangão Despojador</t>
        </is>
      </c>
      <c r="B3918" s="13" t="inlineStr">
        <is>
          <t>Creature — Eldrazi Drone / Criatura — Eldrazi Zangão</t>
        </is>
      </c>
      <c r="C3918" s="13" t="inlineStr">
        <is>
          <t>Uncommon / Incomum</t>
        </is>
      </c>
      <c r="D3918" s="13" t="inlineStr">
        <is>
          <t>Devoid (This card has no color.) At the beginning of your upkeep, you lose 1 life unless you control another colorless creature. / Desprovido (Este card não tem cor.) No início de sua manutenção, você perde 1 ponto de vida a menos que controle outra criatura incolor.</t>
        </is>
      </c>
      <c r="E3918" s="13" t="inlineStr">
        <is>
          <t>{B}</t>
        </is>
      </c>
      <c r="F3918" s="13" t="inlineStr">
        <is>
          <t>Preto</t>
        </is>
      </c>
      <c r="G3918" s="8" t="n">
        <v>0.05</v>
      </c>
      <c r="H3918" s="13" t="inlineStr">
        <is>
          <t>Oath of the Gatewatch (OGW)</t>
        </is>
      </c>
      <c r="I3918" s="13" t="inlineStr">
        <is>
          <t>Não</t>
        </is>
      </c>
      <c r="J3918" s="13" t="n">
        <v>2016</v>
      </c>
      <c r="K3918" s="10" t="n">
        <v>46024</v>
      </c>
      <c r="L3918" s="13" t="n">
        <v>1</v>
      </c>
      <c r="M3918" s="8">
        <f>L3918*G3918</f>
        <v/>
      </c>
      <c r="P3918" s="9" t="n"/>
    </row>
    <row r="3919">
      <c r="A3919" s="13" t="inlineStr">
        <is>
          <t>Malakir Soothsayer / Adivinha de Malakir</t>
        </is>
      </c>
      <c r="B3919" s="13" t="inlineStr">
        <is>
          <t>Creature — Vampire Shaman Ally / Criatura — Vampiro Xamã Aliado</t>
        </is>
      </c>
      <c r="C3919" s="13" t="inlineStr">
        <is>
          <t>Uncommon / Incomum</t>
        </is>
      </c>
      <c r="D3919" s="13" t="inlineStr">
        <is>
          <t>Cohort — {T}, Tap an untapped Ally you control: You draw a card and you lose 1 life. / Companheiro — {T}, Vire um Aliado desvirado que você controla: Você compra um card e perde 1 ponto de vida.</t>
        </is>
      </c>
      <c r="E3919" s="13" t="inlineStr">
        <is>
          <t>{4}{B}</t>
        </is>
      </c>
      <c r="F3919" s="13" t="inlineStr">
        <is>
          <t>Preto</t>
        </is>
      </c>
      <c r="G3919" s="8" t="n">
        <v>0.08</v>
      </c>
      <c r="H3919" s="13" t="inlineStr">
        <is>
          <t>Oath of the Gatewatch (OGW)</t>
        </is>
      </c>
      <c r="I3919" s="13" t="inlineStr">
        <is>
          <t>Não</t>
        </is>
      </c>
      <c r="J3919" s="13" t="n">
        <v>2016</v>
      </c>
      <c r="K3919" s="10" t="n">
        <v>46116</v>
      </c>
      <c r="L3919" s="13" t="n">
        <v>1</v>
      </c>
      <c r="M3919" s="8">
        <f>L3919*G3919</f>
        <v/>
      </c>
      <c r="P3919" s="9" t="n"/>
    </row>
    <row r="3920">
      <c r="A3920" s="13" t="inlineStr">
        <is>
          <t>Null Caller / Invocador de Nulos</t>
        </is>
      </c>
      <c r="B3920" s="13" t="inlineStr">
        <is>
          <t>Creature — Vampire Shaman / Criatura — Vampiro Xamã</t>
        </is>
      </c>
      <c r="C3920" s="13" t="inlineStr">
        <is>
          <t>Uncommon / Incomum</t>
        </is>
      </c>
      <c r="D3920" s="13" t="inlineStr">
        <is>
          <t>{3}{B}, Exile a creature card from your graveyard: Create a tapped 2/2 black Zombie creature token. / {3}{B}, Exile um card de criatura de seu cemitério: Coloque no campo de batalha uma ficha de criatura preta 2/2 do tipo Zumbi virada.</t>
        </is>
      </c>
      <c r="E3920" s="13" t="inlineStr">
        <is>
          <t>{3}{B}</t>
        </is>
      </c>
      <c r="F3920" s="13" t="inlineStr">
        <is>
          <t>Preto</t>
        </is>
      </c>
      <c r="G3920" s="8" t="n">
        <v>0.06</v>
      </c>
      <c r="H3920" s="13" t="inlineStr">
        <is>
          <t>Oath of the Gatewatch (OGW)</t>
        </is>
      </c>
      <c r="I3920" s="13" t="inlineStr">
        <is>
          <t>Não</t>
        </is>
      </c>
      <c r="J3920" s="13" t="n">
        <v>2016</v>
      </c>
      <c r="K3920" s="10" t="n">
        <v>46114</v>
      </c>
      <c r="L3920" s="13" t="n">
        <v>1</v>
      </c>
      <c r="M3920" s="8">
        <f>L3920*G3920</f>
        <v/>
      </c>
      <c r="P3920" s="9" t="n"/>
    </row>
    <row r="3921">
      <c r="A3921" s="13" t="inlineStr">
        <is>
          <t>Nyxborn Marauder / Saqueadora Nyxnata</t>
        </is>
      </c>
      <c r="B3921" s="13" t="inlineStr">
        <is>
          <t>Enchantment Creature — Minotaur / Criatura Encantamento — Minotauro</t>
        </is>
      </c>
      <c r="C3921" s="13" t="inlineStr">
        <is>
          <t>Common / Comum</t>
        </is>
      </c>
      <c r="E3921" s="13" t="inlineStr">
        <is>
          <t>{2}{B}{B}</t>
        </is>
      </c>
      <c r="F3921" s="13" t="inlineStr">
        <is>
          <t>Preto</t>
        </is>
      </c>
      <c r="G3921" s="8" t="n">
        <v>0.03</v>
      </c>
      <c r="H3921" s="13" t="inlineStr">
        <is>
          <t>Theros Beyond Death (THB)</t>
        </is>
      </c>
      <c r="I3921" s="13" t="inlineStr">
        <is>
          <t>Não</t>
        </is>
      </c>
      <c r="J3921" s="13" t="n">
        <v>2020</v>
      </c>
      <c r="K3921" s="10" t="n">
        <v>46085</v>
      </c>
      <c r="L3921" s="13" t="n">
        <v>1</v>
      </c>
      <c r="M3921" s="8">
        <f>L3921*G3921</f>
        <v/>
      </c>
      <c r="P3921" s="9" t="n"/>
    </row>
    <row r="3922">
      <c r="A3922" s="13" t="inlineStr">
        <is>
          <t>Sultai Scavenger / Necrófago Sultai</t>
        </is>
      </c>
      <c r="B3922" s="13" t="inlineStr">
        <is>
          <t>Creature — Bird Warrior / Criatura — Ave Guerreiro</t>
        </is>
      </c>
      <c r="C3922" s="13" t="inlineStr">
        <is>
          <t>Common / Comum</t>
        </is>
      </c>
      <c r="D3922" s="13" t="inlineStr">
        <is>
          <t>Delve (Each card you exile from your graveyard while casting this spell pays for {1}.) Flying / Esquadrinhar (Cada card que você exila de seu cemitério quando conjura esta mágica paga por {1}.) Voar</t>
        </is>
      </c>
      <c r="E3922" s="13" t="inlineStr">
        <is>
          <t>{5}{B}</t>
        </is>
      </c>
      <c r="F3922" s="13" t="inlineStr">
        <is>
          <t>Preto</t>
        </is>
      </c>
      <c r="G3922" s="8" t="n">
        <v>0.05</v>
      </c>
      <c r="H3922" s="13" t="inlineStr">
        <is>
          <t>Khans of Tarkir (KTK)</t>
        </is>
      </c>
      <c r="I3922" s="13" t="inlineStr">
        <is>
          <t>Não</t>
        </is>
      </c>
      <c r="J3922" s="13" t="n">
        <v>2014</v>
      </c>
      <c r="K3922" s="10" t="n">
        <v>46084</v>
      </c>
      <c r="L3922" s="13" t="n">
        <v>1</v>
      </c>
      <c r="M3922" s="8">
        <f>L3922*G3922</f>
        <v/>
      </c>
      <c r="P3922" s="9" t="n"/>
    </row>
    <row r="3923">
      <c r="A3923" s="13" t="inlineStr">
        <is>
          <t>Anointed Deacon / Diácono Ungido</t>
        </is>
      </c>
      <c r="B3923" s="13" t="inlineStr">
        <is>
          <t>Creature — Vampire Cleric / Criatura — Vampiro Clérigo</t>
        </is>
      </c>
      <c r="C3923" s="13" t="inlineStr">
        <is>
          <t>Common / Comum</t>
        </is>
      </c>
      <c r="D3923" s="13" t="inlineStr">
        <is>
          <t>At the beginning of combat on your turn, you may have target Vampire get +2/+0 until end of turn. / No início do combate no seu turno, você pode fazer com que o Vampiro alvo receba +2/+0 até o final do turno.</t>
        </is>
      </c>
      <c r="E3923" s="13" t="inlineStr">
        <is>
          <t>{4}{B}</t>
        </is>
      </c>
      <c r="F3923" s="13" t="inlineStr">
        <is>
          <t>Preto</t>
        </is>
      </c>
      <c r="G3923" s="8" t="n">
        <v>0.03</v>
      </c>
      <c r="H3923" s="13" t="inlineStr">
        <is>
          <t>Ixalan (XLN)</t>
        </is>
      </c>
      <c r="I3923" s="13" t="inlineStr">
        <is>
          <t>Não</t>
        </is>
      </c>
      <c r="J3923" s="13" t="n">
        <v>2017</v>
      </c>
      <c r="K3923" s="10" t="n">
        <v>46084</v>
      </c>
      <c r="L3923" s="13" t="n">
        <v>1</v>
      </c>
      <c r="M3923" s="8">
        <f>L3923*G3923</f>
        <v/>
      </c>
      <c r="P3923" s="9" t="n"/>
    </row>
    <row r="3924">
      <c r="A3924" s="13" t="inlineStr">
        <is>
          <t>Rabid Bloodsucker / Sugador de Sangue Raivoso</t>
        </is>
      </c>
      <c r="B3924" s="13" t="inlineStr">
        <is>
          <t>Creature — Vampire / Criatura — Vampiro</t>
        </is>
      </c>
      <c r="C3924" s="13" t="inlineStr">
        <is>
          <t>Common / Comum</t>
        </is>
      </c>
      <c r="D3924" s="13" t="inlineStr">
        <is>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is>
      </c>
      <c r="E3924" s="13" t="inlineStr">
        <is>
          <t>{4}{B}</t>
        </is>
      </c>
      <c r="F3924" s="13" t="inlineStr">
        <is>
          <t>Preto</t>
        </is>
      </c>
      <c r="G3924" s="8" t="n">
        <v>0.05</v>
      </c>
      <c r="H3924" s="13" t="inlineStr">
        <is>
          <t>Magic Origins (ORI)</t>
        </is>
      </c>
      <c r="I3924" s="13" t="inlineStr">
        <is>
          <t>Não</t>
        </is>
      </c>
      <c r="J3924" s="13" t="n">
        <v>2015</v>
      </c>
      <c r="K3924" s="10" t="n">
        <v>46056</v>
      </c>
      <c r="L3924" s="13" t="n">
        <v>5</v>
      </c>
      <c r="M3924" s="8">
        <f>L3924*G3924</f>
        <v/>
      </c>
      <c r="P3924" s="9" t="n"/>
    </row>
    <row r="3925">
      <c r="A3925" s="13" t="inlineStr">
        <is>
          <t>Scavenging Harpy / Harpia Necrófaga</t>
        </is>
      </c>
      <c r="B3925" s="13" t="inlineStr">
        <is>
          <t>Creature — Harpy / Criatura — Harpia</t>
        </is>
      </c>
      <c r="C3925" s="13" t="inlineStr">
        <is>
          <t>Common / Comum</t>
        </is>
      </c>
      <c r="D3925" s="13" t="inlineStr">
        <is>
          <t>Flying When this creature enters, exile target card from an opponent's graveyard. / Voar Quando Harpia Necrófaga entrar no campo de batalha, exile o card alvo do cemitério de um oponente.</t>
        </is>
      </c>
      <c r="E3925" s="13" t="inlineStr">
        <is>
          <t>{2}{B}</t>
        </is>
      </c>
      <c r="F3925" s="13" t="inlineStr">
        <is>
          <t>Preto</t>
        </is>
      </c>
      <c r="G3925" s="8" t="n">
        <v>0.03</v>
      </c>
      <c r="H3925" s="13" t="inlineStr">
        <is>
          <t>Theros Beyond Death (THB)</t>
        </is>
      </c>
      <c r="I3925" s="13" t="inlineStr">
        <is>
          <t>Não</t>
        </is>
      </c>
      <c r="J3925" s="13" t="n">
        <v>2020</v>
      </c>
      <c r="K3925" s="10" t="n">
        <v>46024</v>
      </c>
      <c r="L3925" s="13" t="n">
        <v>5</v>
      </c>
      <c r="M3925" s="8">
        <f>L3925*G3925</f>
        <v/>
      </c>
      <c r="P3925" s="9" t="n"/>
    </row>
    <row r="3926">
      <c r="A3926" s="13" t="inlineStr">
        <is>
          <t>Dusk Legion Zealot / Zelote da Legião do Crepúsculo</t>
        </is>
      </c>
      <c r="B3926" s="13" t="inlineStr">
        <is>
          <t>Creature — Vampire Soldier / Criatura — Vampiro Soldado</t>
        </is>
      </c>
      <c r="C3926" s="13" t="inlineStr">
        <is>
          <t>Common / Comum</t>
        </is>
      </c>
      <c r="D3926" s="13" t="inlineStr">
        <is>
          <t>When this creature enters, you draw a card and you lose 1 life. / Quando Zelote da Legião do Crepúsculo entra no campo de batalha, você compra um card e perde 1 ponto de vida.</t>
        </is>
      </c>
      <c r="E3926" s="13" t="inlineStr">
        <is>
          <t>{1}{B}</t>
        </is>
      </c>
      <c r="F3926" s="13" t="inlineStr">
        <is>
          <t>Preto</t>
        </is>
      </c>
      <c r="G3926" s="8" t="n">
        <v>0.2</v>
      </c>
      <c r="H3926" s="13" t="inlineStr">
        <is>
          <t>Rivals of Ixalan (RIX)</t>
        </is>
      </c>
      <c r="I3926" s="13" t="inlineStr">
        <is>
          <t>Não</t>
        </is>
      </c>
      <c r="J3926" s="13" t="n">
        <v>2018</v>
      </c>
      <c r="K3926" s="10" t="n">
        <v>46023</v>
      </c>
      <c r="L3926" s="13" t="n">
        <v>1</v>
      </c>
      <c r="M3926" s="8">
        <f>L3926*G3926</f>
        <v/>
      </c>
      <c r="P3926" s="9" t="n"/>
    </row>
    <row r="3927">
      <c r="A3927" s="13" t="inlineStr">
        <is>
          <t>Dusk Charger / Corcel do Crepúsculo</t>
        </is>
      </c>
      <c r="B3927" s="13" t="inlineStr">
        <is>
          <t>Creature — Horse / Criatura — Cavalo</t>
        </is>
      </c>
      <c r="C3927" s="13" t="inlineStr">
        <is>
          <t>Common / Comum</t>
        </is>
      </c>
      <c r="D3927" s="13" t="inlineStr">
        <is>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is>
      </c>
      <c r="E3927" s="13" t="inlineStr">
        <is>
          <t>{3}{B}</t>
        </is>
      </c>
      <c r="F3927" s="13" t="inlineStr">
        <is>
          <t>Preto</t>
        </is>
      </c>
      <c r="G3927" s="8" t="n">
        <v>0.03</v>
      </c>
      <c r="H3927" s="13" t="inlineStr">
        <is>
          <t>Rivals of Ixalan (RIX)</t>
        </is>
      </c>
      <c r="I3927" s="13" t="inlineStr">
        <is>
          <t>Não</t>
        </is>
      </c>
      <c r="J3927" s="13" t="n">
        <v>2018</v>
      </c>
      <c r="K3927" s="10" t="n">
        <v>46084</v>
      </c>
      <c r="L3927" s="13" t="n">
        <v>1</v>
      </c>
      <c r="M3927" s="8">
        <f>L3927*G3927</f>
        <v/>
      </c>
      <c r="P3927" s="9" t="n"/>
    </row>
    <row r="3928">
      <c r="A3928" s="13" t="inlineStr">
        <is>
          <t>Crawling Filth / Imundície Rastejante</t>
        </is>
      </c>
      <c r="B3928" s="13" t="inlineStr">
        <is>
          <t>Creature — Spirit / Criatura - Espírito</t>
        </is>
      </c>
      <c r="C3928" s="13" t="inlineStr">
        <is>
          <t>Common / Comum</t>
        </is>
      </c>
      <c r="D3928" s="13" t="inlineStr">
        <is>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is>
      </c>
      <c r="E3928" s="13" t="inlineStr">
        <is>
          <t>{5}{B}</t>
        </is>
      </c>
      <c r="F3928" s="13" t="inlineStr">
        <is>
          <t>Preto</t>
        </is>
      </c>
      <c r="G3928" s="8" t="n">
        <v>0.05</v>
      </c>
      <c r="H3928" s="13" t="inlineStr">
        <is>
          <t>Betrayers of Kamigawa (BOK)</t>
        </is>
      </c>
      <c r="I3928" s="13" t="inlineStr">
        <is>
          <t>Não</t>
        </is>
      </c>
      <c r="J3928" s="13" t="n">
        <v>2005</v>
      </c>
      <c r="K3928" s="10" t="n">
        <v>46055</v>
      </c>
      <c r="L3928" s="13" t="n">
        <v>1</v>
      </c>
      <c r="M3928" s="8">
        <f>L3928*G3928</f>
        <v/>
      </c>
      <c r="P3928" s="9" t="n"/>
    </row>
    <row r="3929">
      <c r="A3929" s="13" t="inlineStr">
        <is>
          <t>Venomous Hierophant / Hierofante Venenosa</t>
        </is>
      </c>
      <c r="B3929" s="13" t="inlineStr">
        <is>
          <t>Creature — Gorgon Cleric / Criatura — Górgona Clérigo</t>
        </is>
      </c>
      <c r="C3929" s="13" t="inlineStr">
        <is>
          <t>Common / Comum</t>
        </is>
      </c>
      <c r="D3929" s="13" t="inlineStr">
        <is>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is>
      </c>
      <c r="E3929" s="13" t="inlineStr">
        <is>
          <t>{3}{B}</t>
        </is>
      </c>
      <c r="F3929" s="13" t="inlineStr">
        <is>
          <t>Preto</t>
        </is>
      </c>
      <c r="G3929" s="8" t="n">
        <v>0.03</v>
      </c>
      <c r="H3929" s="13" t="inlineStr">
        <is>
          <t>Theros Beyond Death (THB)</t>
        </is>
      </c>
      <c r="I3929" s="13" t="inlineStr">
        <is>
          <t>Não</t>
        </is>
      </c>
      <c r="J3929" s="13" t="n">
        <v>2020</v>
      </c>
      <c r="K3929" s="10" t="n">
        <v>46084</v>
      </c>
      <c r="L3929" s="13" t="n">
        <v>4</v>
      </c>
      <c r="M3929" s="8">
        <f>L3929*G3929</f>
        <v/>
      </c>
      <c r="P3929" s="9" t="n"/>
    </row>
    <row r="3930">
      <c r="A3930" s="13" t="inlineStr">
        <is>
          <t>Voracious Vampire / Vampiro Voraz</t>
        </is>
      </c>
      <c r="B3930" s="13" t="inlineStr">
        <is>
          <t>Creature — Vampire Knight / Criatura — Vampiro Cavaleiro</t>
        </is>
      </c>
      <c r="C3930" s="13" t="inlineStr">
        <is>
          <t>Common / Comum</t>
        </is>
      </c>
      <c r="D3930" s="13" t="inlineStr">
        <is>
          <t>Menace When this creature enters, target Vampire you control gets +1/+1 and gains menace until end of turn. / Ameaçar Quando Vampiro Voraz entra no campo de batalha, o Vampiro alvo que você controla recebe +1/+1 e ganha ameaçar até o final do turno.</t>
        </is>
      </c>
      <c r="E3930" s="13" t="inlineStr">
        <is>
          <t>{2}{B}</t>
        </is>
      </c>
      <c r="F3930" s="13" t="inlineStr">
        <is>
          <t>Preto</t>
        </is>
      </c>
      <c r="G3930" s="8" t="n">
        <v>0.03</v>
      </c>
      <c r="H3930" s="13" t="inlineStr">
        <is>
          <t>Rivals of Ixalan (RIX)</t>
        </is>
      </c>
      <c r="I3930" s="13" t="inlineStr">
        <is>
          <t>Não</t>
        </is>
      </c>
      <c r="J3930" s="13" t="n">
        <v>2018</v>
      </c>
      <c r="K3930" s="10" t="n">
        <v>46055</v>
      </c>
      <c r="L3930" s="13" t="n">
        <v>2</v>
      </c>
      <c r="M3930" s="8">
        <f>L3930*G3930</f>
        <v/>
      </c>
      <c r="P3930" s="9" t="n"/>
    </row>
    <row r="3931">
      <c r="A3931" s="13" t="inlineStr">
        <is>
          <t>Discordant Piper / Flautista Dissonante</t>
        </is>
      </c>
      <c r="B3931" s="13" t="inlineStr">
        <is>
          <t>Creature — Zombie Satyr / Criatura — Zumbi Sátiro</t>
        </is>
      </c>
      <c r="C3931" s="13" t="inlineStr">
        <is>
          <t>Common / Comum</t>
        </is>
      </c>
      <c r="D3931" s="13" t="inlineStr">
        <is>
          <t>When this creature dies, create a 0/1 white Goat creature token. / Quando Flautista Dissonante morrer, crie uma ficha de criatura branca 0/1 do tipo Bode.</t>
        </is>
      </c>
      <c r="E3931" s="13" t="inlineStr">
        <is>
          <t>{1}{B}</t>
        </is>
      </c>
      <c r="F3931" s="13" t="inlineStr">
        <is>
          <t>Preto</t>
        </is>
      </c>
      <c r="G3931" s="8" t="n">
        <v>0.03</v>
      </c>
      <c r="H3931" s="13" t="inlineStr">
        <is>
          <t>Theros Beyond Death (THB)</t>
        </is>
      </c>
      <c r="I3931" s="13" t="inlineStr">
        <is>
          <t>Não</t>
        </is>
      </c>
      <c r="J3931" s="13" t="n">
        <v>2020</v>
      </c>
      <c r="K3931" s="10" t="n">
        <v>46024</v>
      </c>
      <c r="L3931" s="13" t="n">
        <v>1</v>
      </c>
      <c r="M3931" s="8">
        <f>L3931*G3931</f>
        <v/>
      </c>
      <c r="P3931" s="9" t="n"/>
    </row>
    <row r="3932">
      <c r="A3932" s="13" t="inlineStr">
        <is>
          <t>Grim Physician / Médico Sinistro</t>
        </is>
      </c>
      <c r="B3932" s="13" t="inlineStr">
        <is>
          <t>Creature — Zombie / Criatura — Zumbi</t>
        </is>
      </c>
      <c r="C3932" s="13" t="inlineStr">
        <is>
          <t>Common / Comum</t>
        </is>
      </c>
      <c r="D3932" s="13" t="inlineStr">
        <is>
          <t>When this creature dies, target creature an opponent controls gets -1/-1 until end of turn. / Quando Médico Sinistro morre, a criatura alvo que um oponente controla recebe -1/-1 até o final do turno.</t>
        </is>
      </c>
      <c r="E3932" s="13" t="inlineStr">
        <is>
          <t>{B}</t>
        </is>
      </c>
      <c r="F3932" s="13" t="inlineStr">
        <is>
          <t>Preto</t>
        </is>
      </c>
      <c r="G3932" s="8" t="n">
        <v>0.03</v>
      </c>
      <c r="H3932" s="13" t="inlineStr">
        <is>
          <t>Theros Beyond Death (THB)</t>
        </is>
      </c>
      <c r="I3932" s="13" t="inlineStr">
        <is>
          <t>Não</t>
        </is>
      </c>
      <c r="J3932" s="13" t="n">
        <v>2020</v>
      </c>
      <c r="K3932" s="10" t="n">
        <v>46023</v>
      </c>
      <c r="L3932" s="13" t="n">
        <v>1</v>
      </c>
      <c r="M3932" s="8">
        <f>L3932*G3932</f>
        <v/>
      </c>
      <c r="P3932" s="9" t="n"/>
    </row>
    <row r="3933">
      <c r="A3933" s="13" t="inlineStr">
        <is>
          <t>Uncharted Haven / Refúgio Inexplorado</t>
        </is>
      </c>
      <c r="B3933" s="13" t="inlineStr">
        <is>
          <t>Land / Terreno</t>
        </is>
      </c>
      <c r="C3933" s="13" t="inlineStr">
        <is>
          <t>Common / Comum</t>
        </is>
      </c>
      <c r="D3933" s="13" t="inlineStr">
        <is>
          <t>This land enters tapped. As it enters, choose a color. {T}: Add one mana of the chosen color. / Refúgio Inexplorado entra no campo de batalha virado. Conforme Refúgio Inexplorado entrar no campo de batalha, escolha uma cor. {T}: Adicione um mana da cor escolhida.</t>
        </is>
      </c>
      <c r="F3933" s="13" t="inlineStr">
        <is>
          <t>Incolor</t>
        </is>
      </c>
      <c r="G3933" s="8" t="n">
        <v>0.1</v>
      </c>
      <c r="H3933" s="13" t="inlineStr">
        <is>
          <t>Kamigawa: Neon Dynasty (NEO)</t>
        </is>
      </c>
      <c r="I3933" s="13" t="inlineStr">
        <is>
          <t>Não</t>
        </is>
      </c>
      <c r="J3933" s="13" t="n">
        <v>2022</v>
      </c>
      <c r="L3933" s="13" t="n">
        <v>1</v>
      </c>
      <c r="M3933" s="8">
        <f>L3933*G3933</f>
        <v/>
      </c>
      <c r="P3933" s="9" t="n"/>
    </row>
    <row r="3934">
      <c r="A3934" s="13" t="inlineStr">
        <is>
          <t>Orzhov Guildgate / Portão da Guilda Orzhov</t>
        </is>
      </c>
      <c r="B3934" s="13" t="inlineStr">
        <is>
          <t>Land — Gate / Terreno — Portão</t>
        </is>
      </c>
      <c r="C3934" s="13" t="inlineStr">
        <is>
          <t>Common / Comum</t>
        </is>
      </c>
      <c r="D3934" s="13" t="inlineStr">
        <is>
          <t>This land enters tapped. {T}: Add {W} or {B}. / Portão da Guilda Orzhov entra no campo de batalha virado. {T}: Adicione {W} ou {B}.</t>
        </is>
      </c>
      <c r="F3934" s="13" t="inlineStr">
        <is>
          <t>Preto, Branco</t>
        </is>
      </c>
      <c r="G3934" s="8" t="n">
        <v>0.06</v>
      </c>
      <c r="H3934" s="13" t="inlineStr">
        <is>
          <t>Ravnica Allegiance (RNA)</t>
        </is>
      </c>
      <c r="I3934" s="13" t="inlineStr">
        <is>
          <t>Não</t>
        </is>
      </c>
      <c r="J3934" s="13" t="n">
        <v>2019</v>
      </c>
      <c r="L3934" s="13" t="n">
        <v>3</v>
      </c>
      <c r="M3934" s="8">
        <f>L3934*G3934</f>
        <v/>
      </c>
      <c r="P3934" s="9" t="n"/>
    </row>
    <row r="3935">
      <c r="A3935" s="13" t="inlineStr">
        <is>
          <t>Rakdos Guildgate / Portão da Guilda Rakdos</t>
        </is>
      </c>
      <c r="B3935" s="13" t="inlineStr">
        <is>
          <t>Land — Gate / Terreno — Portão</t>
        </is>
      </c>
      <c r="C3935" s="13" t="inlineStr">
        <is>
          <t>Common / Comum</t>
        </is>
      </c>
      <c r="D3935" s="13" t="inlineStr">
        <is>
          <t>This land enters tapped. {T}: Add {B} or {R}. / Portão da Guilda Rakdos entra no campo de batalha virado. {T}: Adicione {B} ou {R} à sua reserva de mana.</t>
        </is>
      </c>
      <c r="F3935" s="13" t="inlineStr">
        <is>
          <t>Preto, Vermelho</t>
        </is>
      </c>
      <c r="G3935" s="8" t="n">
        <v>0.09</v>
      </c>
      <c r="H3935" s="13" t="inlineStr">
        <is>
          <t>Ravnica Allegiance (RNA)</t>
        </is>
      </c>
      <c r="I3935" s="13" t="inlineStr">
        <is>
          <t>Não</t>
        </is>
      </c>
      <c r="J3935" s="13" t="n">
        <v>2019</v>
      </c>
      <c r="L3935" s="13" t="n">
        <v>4</v>
      </c>
      <c r="M3935" s="8">
        <f>L3935*G3935</f>
        <v/>
      </c>
      <c r="P3935" s="9" t="n"/>
    </row>
    <row r="3936">
      <c r="A3936" s="13" t="inlineStr">
        <is>
          <t>Simic Guildgate / Portão da Guilda Simic</t>
        </is>
      </c>
      <c r="B3936" s="13" t="inlineStr">
        <is>
          <t>Land — Gate / Terreno — Portão</t>
        </is>
      </c>
      <c r="C3936" s="13" t="inlineStr">
        <is>
          <t>Common / Comum</t>
        </is>
      </c>
      <c r="D3936" s="13" t="inlineStr">
        <is>
          <t>This land enters tapped. {T}: Add {G} or {U}. / Portão da Guilda Simic entra no campo de batalha virado. {T}: Adicione {G} ou {U}.</t>
        </is>
      </c>
      <c r="F3936" s="13" t="inlineStr">
        <is>
          <t>Verde, Azul</t>
        </is>
      </c>
      <c r="G3936" s="8" t="n">
        <v>0.12</v>
      </c>
      <c r="H3936" s="13" t="inlineStr">
        <is>
          <t>Ravnica Allegiance (RNA)</t>
        </is>
      </c>
      <c r="I3936" s="13" t="inlineStr">
        <is>
          <t>Não</t>
        </is>
      </c>
      <c r="J3936" s="13" t="n">
        <v>2019</v>
      </c>
      <c r="L3936" s="13" t="n">
        <v>4</v>
      </c>
      <c r="M3936" s="8">
        <f>L3936*G3936</f>
        <v/>
      </c>
      <c r="P3936" s="9" t="n"/>
    </row>
    <row r="3937">
      <c r="A3937" s="13" t="inlineStr">
        <is>
          <t>Gruul Guildgate / Portão da Guilda Gruul</t>
        </is>
      </c>
      <c r="B3937" s="13" t="inlineStr">
        <is>
          <t>Land — Gate / Terreno — Portão</t>
        </is>
      </c>
      <c r="C3937" s="13" t="inlineStr">
        <is>
          <t>Common / Comum</t>
        </is>
      </c>
      <c r="D3937" s="13" t="inlineStr">
        <is>
          <t>This land enters tapped. {T}: Add {R} or {G}. / Portão da Guilda Gruul entra no campo de batalha virado.{T}: Adicione {R} ou {G} à sua reserva de mana.</t>
        </is>
      </c>
      <c r="F3937" s="13" t="inlineStr">
        <is>
          <t>Verde, Vermelho</t>
        </is>
      </c>
      <c r="G3937" s="8" t="n">
        <v>0.14</v>
      </c>
      <c r="H3937" s="13" t="inlineStr">
        <is>
          <t>Ravnica Allegiance (RNA)</t>
        </is>
      </c>
      <c r="I3937" s="13" t="inlineStr">
        <is>
          <t>Não</t>
        </is>
      </c>
      <c r="J3937" s="13" t="n">
        <v>2019</v>
      </c>
      <c r="L3937" s="13" t="n">
        <v>2</v>
      </c>
      <c r="M3937" s="8">
        <f>L3937*G3937</f>
        <v/>
      </c>
      <c r="P3937" s="9" t="n"/>
    </row>
    <row r="3938">
      <c r="A3938" s="13" t="inlineStr">
        <is>
          <t>Fertile Thicket / Arvoredo Fértil</t>
        </is>
      </c>
      <c r="B3938" s="13" t="inlineStr">
        <is>
          <t>Land / Terreno</t>
        </is>
      </c>
      <c r="C3938" s="13" t="inlineStr">
        <is>
          <t>Common / Comum</t>
        </is>
      </c>
      <c r="D3938" s="13" t="inlineStr">
        <is>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is>
      </c>
      <c r="F3938" s="13" t="inlineStr">
        <is>
          <t>Verde</t>
        </is>
      </c>
      <c r="G3938" s="8" t="n">
        <v>0.1</v>
      </c>
      <c r="H3938" s="13" t="inlineStr">
        <is>
          <t>Battle for Zendikar (BFZ)</t>
        </is>
      </c>
      <c r="I3938" s="13" t="inlineStr">
        <is>
          <t>Não</t>
        </is>
      </c>
      <c r="J3938" s="13" t="n">
        <v>2015</v>
      </c>
      <c r="L3938" s="13" t="n">
        <v>2</v>
      </c>
      <c r="M3938" s="8">
        <f>L3938*G3938</f>
        <v/>
      </c>
      <c r="P3938" s="9" t="n"/>
    </row>
    <row r="3939">
      <c r="A3939" s="13" t="inlineStr">
        <is>
          <t>Sandstone Bridge / Ponte de Arenito</t>
        </is>
      </c>
      <c r="B3939" s="13" t="inlineStr">
        <is>
          <t>Land / Terreno</t>
        </is>
      </c>
      <c r="C3939" s="13" t="inlineStr">
        <is>
          <t>Common / Comum</t>
        </is>
      </c>
      <c r="D3939" s="13" t="inlineStr">
        <is>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is>
      </c>
      <c r="F3939" s="13" t="inlineStr">
        <is>
          <t>Branco</t>
        </is>
      </c>
      <c r="G3939" s="8" t="n">
        <v>0.09</v>
      </c>
      <c r="H3939" s="13" t="inlineStr">
        <is>
          <t>Battle for Zendikar (BFZ)</t>
        </is>
      </c>
      <c r="I3939" s="13" t="inlineStr">
        <is>
          <t>Não</t>
        </is>
      </c>
      <c r="J3939" s="13" t="n">
        <v>2015</v>
      </c>
      <c r="L3939" s="13" t="n">
        <v>1</v>
      </c>
      <c r="M3939" s="8">
        <f>L3939*G3939</f>
        <v/>
      </c>
      <c r="P3939" s="9" t="n"/>
    </row>
    <row r="3940">
      <c r="A3940" s="13" t="inlineStr">
        <is>
          <t>Skyline Cascade / Cascata Celeste</t>
        </is>
      </c>
      <c r="B3940" s="13" t="inlineStr">
        <is>
          <t>Land / Terreno</t>
        </is>
      </c>
      <c r="C3940" s="13" t="inlineStr">
        <is>
          <t>Common / Comum</t>
        </is>
      </c>
      <c r="D3940" s="13" t="inlineStr">
        <is>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is>
      </c>
      <c r="F3940" s="13" t="inlineStr">
        <is>
          <t>Azul</t>
        </is>
      </c>
      <c r="G3940" s="8" t="n">
        <v>0.12</v>
      </c>
      <c r="H3940" s="13" t="inlineStr">
        <is>
          <t>Battle for Zendikar (BFZ)</t>
        </is>
      </c>
      <c r="I3940" s="13" t="inlineStr">
        <is>
          <t>Não</t>
        </is>
      </c>
      <c r="J3940" s="13" t="n">
        <v>2015</v>
      </c>
      <c r="L3940" s="13" t="n">
        <v>1</v>
      </c>
      <c r="M3940" s="8">
        <f>L3940*G3940</f>
        <v/>
      </c>
      <c r="P3940" s="9" t="n"/>
    </row>
    <row r="3941">
      <c r="A3941" s="13" t="inlineStr">
        <is>
          <t>Looming Spires / Pináculos Indistintos</t>
        </is>
      </c>
      <c r="B3941" s="13" t="inlineStr">
        <is>
          <t>Land / Terreno</t>
        </is>
      </c>
      <c r="C3941" s="13" t="inlineStr">
        <is>
          <t>Common / Comum</t>
        </is>
      </c>
      <c r="D3941" s="13" t="inlineStr">
        <is>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is>
      </c>
      <c r="F3941" s="13" t="inlineStr">
        <is>
          <t>Vermelho</t>
        </is>
      </c>
      <c r="G3941" s="8" t="n">
        <v>0.09</v>
      </c>
      <c r="H3941" s="13" t="inlineStr">
        <is>
          <t>Battle for Zendikar (BFZ)</t>
        </is>
      </c>
      <c r="I3941" s="13" t="inlineStr">
        <is>
          <t>Não</t>
        </is>
      </c>
      <c r="J3941" s="13" t="n">
        <v>2015</v>
      </c>
      <c r="L3941" s="13" t="n">
        <v>1</v>
      </c>
      <c r="M3941" s="8">
        <f>L3941*G3941</f>
        <v/>
      </c>
      <c r="P3941" s="9" t="n"/>
    </row>
    <row r="3942">
      <c r="A3942" s="13" t="inlineStr">
        <is>
          <t>Applied Biomancy / Biomancia Aplicada</t>
        </is>
      </c>
      <c r="B3942" s="13" t="inlineStr">
        <is>
          <t>Instant / Mágica Instantânea</t>
        </is>
      </c>
      <c r="C3942" s="13" t="inlineStr">
        <is>
          <t>Common / Comum</t>
        </is>
      </c>
      <c r="D3942" s="13" t="inlineStr">
        <is>
          <t>Choose one or both — • Target creature gets +1/+1 until end of turn. • Return target creature to its owner's hand. / Escolha um ou ambos — • A criatura alvo recebe +1/+1 até o final do turno. • Devolva a criatura alvo para a mão de seu dono.</t>
        </is>
      </c>
      <c r="E3942" s="13" t="inlineStr">
        <is>
          <t>{G}{U}</t>
        </is>
      </c>
      <c r="F3942" s="13" t="inlineStr">
        <is>
          <t>Verde, Azul</t>
        </is>
      </c>
      <c r="G3942" s="8" t="n">
        <v>0.05</v>
      </c>
      <c r="H3942" s="13" t="inlineStr">
        <is>
          <t>Ravnica Allegiance (RNA)</t>
        </is>
      </c>
      <c r="I3942" s="13" t="inlineStr">
        <is>
          <t>Não</t>
        </is>
      </c>
      <c r="J3942" s="13" t="n">
        <v>2019</v>
      </c>
      <c r="L3942" s="13" t="n">
        <v>1</v>
      </c>
      <c r="M3942" s="8">
        <f>L3942*G3942</f>
        <v/>
      </c>
      <c r="P3942" s="9" t="n"/>
    </row>
    <row r="3943">
      <c r="A3943" s="13" t="inlineStr">
        <is>
          <t>Simic Ascendancy / Ascensão Simic</t>
        </is>
      </c>
      <c r="B3943" s="13" t="inlineStr">
        <is>
          <t>Enchantment / Encantamento</t>
        </is>
      </c>
      <c r="C3943" s="13" t="inlineStr">
        <is>
          <t>Rare / Rara</t>
        </is>
      </c>
      <c r="D3943" s="13" t="inlineStr">
        <is>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is>
      </c>
      <c r="E3943" s="13" t="inlineStr">
        <is>
          <t>{G}{U}</t>
        </is>
      </c>
      <c r="F3943" s="13" t="inlineStr">
        <is>
          <t>Verde, Azul</t>
        </is>
      </c>
      <c r="G3943" s="8" t="n">
        <v>1</v>
      </c>
      <c r="H3943" s="13" t="inlineStr">
        <is>
          <t>Ravnica Allegiance (RNA)</t>
        </is>
      </c>
      <c r="I3943" s="13" t="inlineStr">
        <is>
          <t>Sim</t>
        </is>
      </c>
      <c r="J3943" s="13" t="n">
        <v>2019</v>
      </c>
      <c r="L3943" s="13" t="n">
        <v>1</v>
      </c>
      <c r="M3943" s="8">
        <f>L3943*G3943</f>
        <v/>
      </c>
      <c r="N3943" s="13" t="inlineStr">
        <is>
          <t>Pasta</t>
        </is>
      </c>
      <c r="P3943" s="9" t="n"/>
    </row>
    <row r="3944">
      <c r="A3944" s="13" t="inlineStr">
        <is>
          <t>Frolicking Familiar // Blow Off Steam / Familiar Brincalhão // Aliviar a Pressão</t>
        </is>
      </c>
      <c r="B3944" s="13" t="inlineStr">
        <is>
          <t>Creature — Otter Wizard // Instant — Adventure / Criatura — Lontra Mago</t>
        </is>
      </c>
      <c r="C3944" s="13" t="inlineStr">
        <is>
          <t>Uncommon / Incomum</t>
        </is>
      </c>
      <c r="D3944" s="13" t="inlineStr">
        <is>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is>
      </c>
      <c r="E3944" s="13" t="inlineStr">
        <is>
          <t>{2}{U} // {R}</t>
        </is>
      </c>
      <c r="F3944" s="13" t="inlineStr">
        <is>
          <t>Azul</t>
        </is>
      </c>
      <c r="G3944" s="8" t="n">
        <v>0.04</v>
      </c>
      <c r="H3944" s="13" t="inlineStr">
        <is>
          <t>Wilds of Eldraine (WOE)</t>
        </is>
      </c>
      <c r="I3944" s="13" t="inlineStr">
        <is>
          <t>Não</t>
        </is>
      </c>
      <c r="J3944" s="13" t="n">
        <v>2023</v>
      </c>
      <c r="K3944" s="10" t="n">
        <v>46055</v>
      </c>
      <c r="L3944" s="13" t="n">
        <v>1</v>
      </c>
      <c r="M3944" s="8">
        <f>L3944*G3944</f>
        <v/>
      </c>
      <c r="P3944" s="9" t="n"/>
    </row>
    <row r="3945">
      <c r="A3945" s="13" t="inlineStr">
        <is>
          <t>Scuttlegator / Jacaruguejo</t>
        </is>
      </c>
      <c r="B3945" s="13" t="inlineStr">
        <is>
          <t>Creature — Crab Turtle Crocodile / Criatura — Caranguejo Tartaruga Crocodilo</t>
        </is>
      </c>
      <c r="C3945" s="13" t="inlineStr">
        <is>
          <t>Common / Comum</t>
        </is>
      </c>
      <c r="D3945" s="13" t="inlineStr">
        <is>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is>
      </c>
      <c r="E3945" s="13" t="inlineStr">
        <is>
          <t>{4}{G/U}{G/U}</t>
        </is>
      </c>
      <c r="F3945" s="13" t="inlineStr">
        <is>
          <t>Verde, Azul</t>
        </is>
      </c>
      <c r="G3945" s="8" t="n">
        <v>0.03</v>
      </c>
      <c r="H3945" s="13" t="inlineStr">
        <is>
          <t>Ravnica Allegiance (RNA)</t>
        </is>
      </c>
      <c r="I3945" s="13" t="inlineStr">
        <is>
          <t>Não</t>
        </is>
      </c>
      <c r="J3945" s="13" t="n">
        <v>2019</v>
      </c>
      <c r="K3945" s="10" t="n">
        <v>46179</v>
      </c>
      <c r="L3945" s="13" t="n">
        <v>1</v>
      </c>
      <c r="M3945" s="8">
        <f>L3945*G3945</f>
        <v/>
      </c>
      <c r="P3945" s="9" t="n"/>
    </row>
    <row r="3946">
      <c r="A3946" s="13" t="inlineStr">
        <is>
          <t>Wavesifter / Ondo-peneirador</t>
        </is>
      </c>
      <c r="B3946" s="13" t="inlineStr">
        <is>
          <t>Creature — Elemental / Criatura — Elemental</t>
        </is>
      </c>
      <c r="C3946" s="13" t="inlineStr">
        <is>
          <t>Common / Comum</t>
        </is>
      </c>
      <c r="D3946" s="13" t="inlineStr">
        <is>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is>
      </c>
      <c r="E3946" s="13" t="inlineStr">
        <is>
          <t>{3}{G}{U}</t>
        </is>
      </c>
      <c r="F3946" s="13" t="inlineStr">
        <is>
          <t>Verde, Azul</t>
        </is>
      </c>
      <c r="G3946" s="8" t="n">
        <v>0.03</v>
      </c>
      <c r="H3946" s="13" t="inlineStr">
        <is>
          <t>Modern Horizons 2 (MH2)</t>
        </is>
      </c>
      <c r="I3946" s="13" t="inlineStr">
        <is>
          <t>Não</t>
        </is>
      </c>
      <c r="J3946" s="13" t="n">
        <v>2021</v>
      </c>
      <c r="K3946" s="10" t="n">
        <v>46056</v>
      </c>
      <c r="L3946" s="13" t="n">
        <v>1</v>
      </c>
      <c r="M3946" s="8">
        <f>L3946*G3946</f>
        <v/>
      </c>
      <c r="P3946" s="9" t="n"/>
    </row>
    <row r="3947">
      <c r="A3947" s="13" t="inlineStr">
        <is>
          <t>Decisive Denial / Negação Decisiva</t>
        </is>
      </c>
      <c r="B3947" s="13" t="inlineStr">
        <is>
          <t>Instant / Mágica Instantânea</t>
        </is>
      </c>
      <c r="C3947" s="13" t="inlineStr">
        <is>
          <t>Uncommon / Incomum</t>
        </is>
      </c>
      <c r="D3947" s="13" t="inlineStr">
        <is>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is>
      </c>
      <c r="E3947" s="13" t="inlineStr">
        <is>
          <t>{G}{U}</t>
        </is>
      </c>
      <c r="F3947" s="13" t="inlineStr">
        <is>
          <t>Verde, Azul</t>
        </is>
      </c>
      <c r="G3947" s="8" t="n">
        <v>0.14</v>
      </c>
      <c r="H3947" s="13" t="inlineStr">
        <is>
          <t>Breaking News (OTP)</t>
        </is>
      </c>
      <c r="I3947" s="13" t="inlineStr">
        <is>
          <t>Não</t>
        </is>
      </c>
      <c r="J3947" s="13" t="n">
        <v>2024</v>
      </c>
      <c r="L3947" s="13" t="n">
        <v>1</v>
      </c>
      <c r="M3947" s="8">
        <f>L3947*G3947</f>
        <v/>
      </c>
      <c r="P3947" s="9" t="n"/>
    </row>
    <row r="3948">
      <c r="A3948" s="13" t="inlineStr">
        <is>
          <t>Aeromunculus / Aeromúnculo</t>
        </is>
      </c>
      <c r="B3948" s="13" t="inlineStr">
        <is>
          <t>Creature — Homunculus Mutant / Criatura — Homúnculo Mutante</t>
        </is>
      </c>
      <c r="C3948" s="13" t="inlineStr">
        <is>
          <t>Common / Comum</t>
        </is>
      </c>
      <c r="D3948" s="13" t="inlineStr">
        <is>
          <t>Flying {2}{G}{U}: Adapt 1. (If this creature has no +1/+1 counters on it, put a +1/+1 counter on it.) / Voar {2}{G}: Adaptar 1. (Se esta criatura não tiver marcadores +1/+1, coloque um marcador +1/+1 nela.)</t>
        </is>
      </c>
      <c r="E3948" s="13" t="inlineStr">
        <is>
          <t>{1}{G}{U}</t>
        </is>
      </c>
      <c r="F3948" s="13" t="inlineStr">
        <is>
          <t>Verde, Azul</t>
        </is>
      </c>
      <c r="G3948" s="8" t="n">
        <v>0.03</v>
      </c>
      <c r="H3948" s="13" t="inlineStr">
        <is>
          <t>Ravnica Allegiance (RNA)</t>
        </is>
      </c>
      <c r="I3948" s="13" t="inlineStr">
        <is>
          <t>Não</t>
        </is>
      </c>
      <c r="J3948" s="13" t="n">
        <v>2019</v>
      </c>
      <c r="K3948" s="10" t="n">
        <v>46083</v>
      </c>
      <c r="L3948" s="13" t="n">
        <v>2</v>
      </c>
      <c r="M3948" s="8">
        <f>L3948*G3948</f>
        <v/>
      </c>
      <c r="P3948" s="9" t="n"/>
    </row>
    <row r="3949">
      <c r="A3949" s="13" t="inlineStr">
        <is>
          <t>Rubble Slinger / Fundeira dos Escombros</t>
        </is>
      </c>
      <c r="B3949" s="13" t="inlineStr">
        <is>
          <t>Creature — Human Warrior / Criatura — Humano Guerreiro</t>
        </is>
      </c>
      <c r="C3949" s="13" t="inlineStr">
        <is>
          <t>Common / Comum</t>
        </is>
      </c>
      <c r="D3949" s="13" t="inlineStr">
        <is>
          <t>Reach / Alcance</t>
        </is>
      </c>
      <c r="E3949" s="13" t="inlineStr">
        <is>
          <t>{2}{R/G}</t>
        </is>
      </c>
      <c r="F3949" s="13" t="inlineStr">
        <is>
          <t>Verde, Vermelho</t>
        </is>
      </c>
      <c r="G3949" s="8" t="n">
        <v>0.03</v>
      </c>
      <c r="H3949" s="13" t="inlineStr">
        <is>
          <t>Ravnica Allegiance (RNA)</t>
        </is>
      </c>
      <c r="I3949" s="13" t="inlineStr">
        <is>
          <t>Não</t>
        </is>
      </c>
      <c r="J3949" s="13" t="n">
        <v>2019</v>
      </c>
      <c r="K3949" s="10" t="n">
        <v>46083</v>
      </c>
      <c r="L3949" s="13" t="n">
        <v>1</v>
      </c>
      <c r="M3949" s="8">
        <f>L3949*G3949</f>
        <v/>
      </c>
      <c r="P3949" s="9" t="n"/>
    </row>
    <row r="3950">
      <c r="A3950" s="13" t="inlineStr">
        <is>
          <t>Frenzied Arynx / Arynx Frenético</t>
        </is>
      </c>
      <c r="B3950" s="13" t="inlineStr">
        <is>
          <t>Creature — Cat Beast / Criatura — Felino Besta</t>
        </is>
      </c>
      <c r="C3950" s="13" t="inlineStr">
        <is>
          <t>Common / Comum</t>
        </is>
      </c>
      <c r="D3950" s="13" t="inlineStr">
        <is>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is>
      </c>
      <c r="E3950" s="13" t="inlineStr">
        <is>
          <t>{2}{R}{G}</t>
        </is>
      </c>
      <c r="F3950" s="13" t="inlineStr">
        <is>
          <t>Verde, Vermelho</t>
        </is>
      </c>
      <c r="G3950" s="8" t="n">
        <v>0.03</v>
      </c>
      <c r="H3950" s="13" t="inlineStr">
        <is>
          <t>Ravnica Allegiance (RNA)</t>
        </is>
      </c>
      <c r="I3950" s="13" t="inlineStr">
        <is>
          <t>Não</t>
        </is>
      </c>
      <c r="J3950" s="13" t="n">
        <v>2019</v>
      </c>
      <c r="K3950" s="10" t="n">
        <v>46084</v>
      </c>
      <c r="L3950" s="13" t="n">
        <v>1</v>
      </c>
      <c r="M3950" s="8">
        <f>L3950*G3950</f>
        <v/>
      </c>
      <c r="P3950" s="9" t="n"/>
    </row>
    <row r="3951">
      <c r="A3951" s="13" t="inlineStr">
        <is>
          <t>Gladiolus Amicitia</t>
        </is>
      </c>
      <c r="B3951" s="13" t="inlineStr">
        <is>
          <t>Legendary Creature — Human Warrior</t>
        </is>
      </c>
      <c r="C3951" s="13" t="inlineStr">
        <is>
          <t>Uncommon / Incomum</t>
        </is>
      </c>
      <c r="D3951" s="13" t="inlineStr">
        <is>
          <t>When Gladiolus Amicitia enters, search your library for a land card, put it onto the battlefield tapped, then shuffle. Landfall — Whenever a land you control enters, another target creature you control gets +2/+2 and gains trample until end of turn.</t>
        </is>
      </c>
      <c r="E3951" s="13" t="inlineStr">
        <is>
          <t>{4}{R}{G}</t>
        </is>
      </c>
      <c r="F3951" s="13" t="inlineStr">
        <is>
          <t>Verde, Vermelho</t>
        </is>
      </c>
      <c r="G3951" s="8" t="n">
        <v>1.4</v>
      </c>
      <c r="H3951" s="13" t="inlineStr">
        <is>
          <t>Final Fantasy (FIN)</t>
        </is>
      </c>
      <c r="I3951" s="13" t="inlineStr">
        <is>
          <t>Sim</t>
        </is>
      </c>
      <c r="J3951" s="13" t="n">
        <v>2025</v>
      </c>
      <c r="K3951" s="10" t="n">
        <v>46179</v>
      </c>
      <c r="L3951" s="13" t="n">
        <v>1</v>
      </c>
      <c r="M3951" s="8">
        <f>L3951*G3951</f>
        <v/>
      </c>
      <c r="N3951" s="13" t="inlineStr">
        <is>
          <t>Pasta</t>
        </is>
      </c>
      <c r="P3951" s="9" t="n"/>
    </row>
    <row r="3952">
      <c r="A3952" s="13" t="inlineStr">
        <is>
          <t>Savage Smash / Pancada Selvagem</t>
        </is>
      </c>
      <c r="B3952" s="13" t="inlineStr">
        <is>
          <t>Sorcery / Feitiço</t>
        </is>
      </c>
      <c r="C3952" s="13" t="inlineStr">
        <is>
          <t>Common / Comum</t>
        </is>
      </c>
      <c r="D3952" s="13" t="inlineStr">
        <is>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is>
      </c>
      <c r="E3952" s="13" t="inlineStr">
        <is>
          <t>{1}{R}{G}</t>
        </is>
      </c>
      <c r="F3952" s="13" t="inlineStr">
        <is>
          <t>Verde, Vermelho</t>
        </is>
      </c>
      <c r="G3952" s="8" t="n">
        <v>0.03</v>
      </c>
      <c r="H3952" s="13" t="inlineStr">
        <is>
          <t>Ravnica Allegiance (RNA)</t>
        </is>
      </c>
      <c r="I3952" s="13" t="inlineStr">
        <is>
          <t>Não</t>
        </is>
      </c>
      <c r="J3952" s="13" t="n">
        <v>2019</v>
      </c>
      <c r="L3952" s="13" t="n">
        <v>1</v>
      </c>
      <c r="M3952" s="8">
        <f>L3952*G3952</f>
        <v/>
      </c>
      <c r="P3952" s="9" t="n"/>
    </row>
    <row r="3953">
      <c r="A3953" s="13" t="inlineStr">
        <is>
          <t>Ruination Wurm / Vorme Ruinoso</t>
        </is>
      </c>
      <c r="B3953" s="13" t="inlineStr">
        <is>
          <t>Creature — Wurm / Criatura — Vorme</t>
        </is>
      </c>
      <c r="C3953" s="13" t="inlineStr">
        <is>
          <t>Common / Comum</t>
        </is>
      </c>
      <c r="E3953" s="13" t="inlineStr">
        <is>
          <t>{4}{R}{G}</t>
        </is>
      </c>
      <c r="F3953" s="13" t="inlineStr">
        <is>
          <t>Verde, Vermelho</t>
        </is>
      </c>
      <c r="G3953" s="8" t="n">
        <v>0.03</v>
      </c>
      <c r="H3953" s="13" t="inlineStr">
        <is>
          <t>Gatecrash (GTC)</t>
        </is>
      </c>
      <c r="I3953" s="13" t="inlineStr">
        <is>
          <t>Não</t>
        </is>
      </c>
      <c r="J3953" s="13" t="n">
        <v>2013</v>
      </c>
      <c r="K3953" s="10" t="n">
        <v>46180</v>
      </c>
      <c r="L3953" s="13" t="n">
        <v>1</v>
      </c>
      <c r="M3953" s="8">
        <f>L3953*G3953</f>
        <v/>
      </c>
      <c r="P3953" s="9" t="n"/>
    </row>
    <row r="3954">
      <c r="A3954" s="13" t="inlineStr">
        <is>
          <t>Atzocan Seer / Vidente de Atzocan</t>
        </is>
      </c>
      <c r="B3954" s="13" t="inlineStr">
        <is>
          <t>Creature — Human Druid / Criatura — Humano Druida</t>
        </is>
      </c>
      <c r="C3954" s="13" t="inlineStr">
        <is>
          <t>Uncommon / Incomum</t>
        </is>
      </c>
      <c r="D3954" s="13" t="inlineStr">
        <is>
          <t>{T}: Add one mana of any color. Sacrifice this creature: Return target Dinosaur card from your graveyard to your hand. / {T}: Adicione um mana de qualquer cor à sua reserva de mana. Sacrifique Vidente de Atzocan: Devolva o card de Dinossauro alvo de seu cemitério para a sua mão.</t>
        </is>
      </c>
      <c r="E3954" s="13" t="inlineStr">
        <is>
          <t>{1}{G}{W}</t>
        </is>
      </c>
      <c r="F3954" s="13" t="inlineStr">
        <is>
          <t>Verde, Branco</t>
        </is>
      </c>
      <c r="G3954" s="8" t="n">
        <v>0.03</v>
      </c>
      <c r="H3954" s="13" t="inlineStr">
        <is>
          <t>Rivals of Ixalan (RIX)</t>
        </is>
      </c>
      <c r="I3954" s="13" t="inlineStr">
        <is>
          <t>Não</t>
        </is>
      </c>
      <c r="J3954" s="13" t="n">
        <v>2018</v>
      </c>
      <c r="K3954" s="10" t="n">
        <v>46083</v>
      </c>
      <c r="L3954" s="13" t="n">
        <v>1</v>
      </c>
      <c r="M3954" s="8">
        <f>L3954*G3954</f>
        <v/>
      </c>
      <c r="P3954" s="9" t="n"/>
    </row>
    <row r="3955">
      <c r="A3955" s="13" t="inlineStr">
        <is>
          <t>Drey Keeper / Guardião da Toca</t>
        </is>
      </c>
      <c r="B3955" s="13" t="inlineStr">
        <is>
          <t>Creature — Elf Druid / Criatura — Elfo Druida</t>
        </is>
      </c>
      <c r="C3955" s="13" t="inlineStr">
        <is>
          <t>Common / Comum</t>
        </is>
      </c>
      <c r="D3955" s="13" t="inlineStr">
        <is>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is>
      </c>
      <c r="E3955" s="13" t="inlineStr">
        <is>
          <t>{3}{B}{G}</t>
        </is>
      </c>
      <c r="F3955" s="13" t="inlineStr">
        <is>
          <t>Preto, Verde</t>
        </is>
      </c>
      <c r="G3955" s="8" t="n">
        <v>0.05</v>
      </c>
      <c r="H3955" s="13" t="inlineStr">
        <is>
          <t>Modern Horizons 2 (MH2)</t>
        </is>
      </c>
      <c r="I3955" s="13" t="inlineStr">
        <is>
          <t>Não</t>
        </is>
      </c>
      <c r="J3955" s="13" t="n">
        <v>2021</v>
      </c>
      <c r="K3955" s="10" t="n">
        <v>46055</v>
      </c>
      <c r="L3955" s="13" t="n">
        <v>1</v>
      </c>
      <c r="M3955" s="8">
        <f>L3955*G3955</f>
        <v/>
      </c>
      <c r="P3955" s="9" t="n"/>
    </row>
    <row r="3956">
      <c r="A3956" s="13" t="inlineStr">
        <is>
          <t>Jungle Creeper / Rastejador da Selva</t>
        </is>
      </c>
      <c r="B3956" s="13" t="inlineStr">
        <is>
          <t>Creature — Elemental / Criatura — Elemental</t>
        </is>
      </c>
      <c r="C3956" s="13" t="inlineStr">
        <is>
          <t>Uncommon / Incomum</t>
        </is>
      </c>
      <c r="D3956" s="13" t="inlineStr">
        <is>
          <t>{3}{B}{G}: Return this card from your graveyard to your hand. / {3}{B}{G}: Devolva Rastejador da Selva de seu cemitério para sua mão.</t>
        </is>
      </c>
      <c r="E3956" s="13" t="inlineStr">
        <is>
          <t>{1}{B}{G}</t>
        </is>
      </c>
      <c r="F3956" s="13" t="inlineStr">
        <is>
          <t>Preto, Verde</t>
        </is>
      </c>
      <c r="G3956" s="8" t="n">
        <v>0.03</v>
      </c>
      <c r="H3956" s="13" t="inlineStr">
        <is>
          <t>Rivals of Ixalan (RIX)</t>
        </is>
      </c>
      <c r="I3956" s="13" t="inlineStr">
        <is>
          <t>Não</t>
        </is>
      </c>
      <c r="J3956" s="13" t="n">
        <v>2018</v>
      </c>
      <c r="K3956" s="10" t="n">
        <v>46084</v>
      </c>
      <c r="L3956" s="13" t="n">
        <v>1</v>
      </c>
      <c r="M3956" s="8">
        <f>L3956*G3956</f>
        <v/>
      </c>
      <c r="P3956" s="9" t="n"/>
    </row>
    <row r="3957">
      <c r="A3957" s="13" t="inlineStr">
        <is>
          <t>Get the Point / Performance de Ponta</t>
        </is>
      </c>
      <c r="B3957" s="13" t="inlineStr">
        <is>
          <t>Instant / Mágica Instantânea</t>
        </is>
      </c>
      <c r="C3957" s="13" t="inlineStr">
        <is>
          <t>Common / Comum</t>
        </is>
      </c>
      <c r="D3957" s="13" t="inlineStr">
        <is>
          <t>Destroy target creature. Scry 1. / Destrua a criatura alvo. Vidência 1.</t>
        </is>
      </c>
      <c r="E3957" s="13" t="inlineStr">
        <is>
          <t>{3}{B}{R}</t>
        </is>
      </c>
      <c r="F3957" s="13" t="inlineStr">
        <is>
          <t>Preto, Vermelho</t>
        </is>
      </c>
      <c r="G3957" s="8" t="n">
        <v>0.03</v>
      </c>
      <c r="H3957" s="13" t="inlineStr">
        <is>
          <t>Ravnica Allegiance (RNA)</t>
        </is>
      </c>
      <c r="I3957" s="13" t="inlineStr">
        <is>
          <t>Não</t>
        </is>
      </c>
      <c r="J3957" s="13" t="n">
        <v>2019</v>
      </c>
      <c r="L3957" s="13" t="n">
        <v>1</v>
      </c>
      <c r="M3957" s="8">
        <f>L3957*G3957</f>
        <v/>
      </c>
      <c r="P3957" s="9" t="n"/>
    </row>
    <row r="3958">
      <c r="A3958" s="13" t="inlineStr">
        <is>
          <t>Rakdos Roustabout / Servente Rakdos</t>
        </is>
      </c>
      <c r="B3958" s="13" t="inlineStr">
        <is>
          <t>Creature — Ogre Warrior / Criatura — Ogro Guerreiro</t>
        </is>
      </c>
      <c r="C3958" s="13" t="inlineStr">
        <is>
          <t>Common / Comum</t>
        </is>
      </c>
      <c r="D3958" s="13" t="inlineStr">
        <is>
          <t>Whenever this creature becomes blocked, it deals 1 damage to the player or planeswalker it's attacking. / Toda vez que Servente Rakdos é bloqueado, ele causa 1 ponto de dano ao jogador ou planeswalker que ele está atacando.</t>
        </is>
      </c>
      <c r="E3958" s="13" t="inlineStr">
        <is>
          <t>{1}{B}{R}</t>
        </is>
      </c>
      <c r="F3958" s="13" t="inlineStr">
        <is>
          <t>Preto, Vermelho</t>
        </is>
      </c>
      <c r="G3958" s="8" t="n">
        <v>0.03</v>
      </c>
      <c r="H3958" s="13" t="inlineStr">
        <is>
          <t>Ravnica Allegiance (RNA)</t>
        </is>
      </c>
      <c r="I3958" s="13" t="inlineStr">
        <is>
          <t>Não</t>
        </is>
      </c>
      <c r="J3958" s="13" t="n">
        <v>2019</v>
      </c>
      <c r="K3958" s="10" t="n">
        <v>46056</v>
      </c>
      <c r="L3958" s="13" t="n">
        <v>2</v>
      </c>
      <c r="M3958" s="8">
        <f>L3958*G3958</f>
        <v/>
      </c>
      <c r="P3958" s="9" t="n"/>
    </row>
    <row r="3959">
      <c r="A3959" s="13" t="inlineStr">
        <is>
          <t>Dihada's Ploy / Ardil de Dihada</t>
        </is>
      </c>
      <c r="B3959" s="13" t="inlineStr">
        <is>
          <t>Instant / Mágica Instantânea</t>
        </is>
      </c>
      <c r="C3959" s="13" t="inlineStr">
        <is>
          <t>Common / Comum</t>
        </is>
      </c>
      <c r="D3959" s="13" t="inlineStr">
        <is>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is>
      </c>
      <c r="E3959" s="13" t="inlineStr">
        <is>
          <t>{1}{U}{B}</t>
        </is>
      </c>
      <c r="F3959" s="13" t="inlineStr">
        <is>
          <t>Preto, Azul</t>
        </is>
      </c>
      <c r="G3959" s="8" t="n">
        <v>0.15</v>
      </c>
      <c r="H3959" s="13" t="inlineStr">
        <is>
          <t>Modern Horizons 2 (MH2)</t>
        </is>
      </c>
      <c r="I3959" s="13" t="inlineStr">
        <is>
          <t>Não</t>
        </is>
      </c>
      <c r="J3959" s="13" t="n">
        <v>2021</v>
      </c>
      <c r="L3959" s="13" t="n">
        <v>1</v>
      </c>
      <c r="M3959" s="8">
        <f>L3959*G3959</f>
        <v/>
      </c>
      <c r="P3959" s="9" t="n"/>
    </row>
    <row r="3960">
      <c r="A3960" s="13" t="inlineStr">
        <is>
          <t>Marauding Looter / Saqueador Errante</t>
        </is>
      </c>
      <c r="B3960" s="13" t="inlineStr">
        <is>
          <t>Creature — Human Pirate / Criatura — Humano Pirata</t>
        </is>
      </c>
      <c r="C3960" s="13" t="inlineStr">
        <is>
          <t>Uncommon / Incomum</t>
        </is>
      </c>
      <c r="D3960" s="13" t="inlineStr">
        <is>
          <t>Raid — At the beginning of your end step, if you attacked this turn, you may draw a card. If you do, discard a card. / Raide — No início de sua etapa final, se você atacou com uma criatura neste turno, você pode comprar um card. Se fizer isso, descarte um card.</t>
        </is>
      </c>
      <c r="E3960" s="13" t="inlineStr">
        <is>
          <t>{2}{U}{R}</t>
        </is>
      </c>
      <c r="F3960" s="13" t="inlineStr">
        <is>
          <t>Vermelho, Azul</t>
        </is>
      </c>
      <c r="G3960" s="8" t="n">
        <v>0.03</v>
      </c>
      <c r="H3960" s="13" t="inlineStr">
        <is>
          <t>Ixalan (XLN)</t>
        </is>
      </c>
      <c r="I3960" s="13" t="inlineStr">
        <is>
          <t>Não</t>
        </is>
      </c>
      <c r="J3960" s="13" t="n">
        <v>2017</v>
      </c>
      <c r="K3960" s="10" t="n">
        <v>46085</v>
      </c>
      <c r="L3960" s="13" t="n">
        <v>1</v>
      </c>
      <c r="M3960" s="8">
        <f>L3960*G3960</f>
        <v/>
      </c>
      <c r="P3960" s="9" t="n"/>
    </row>
    <row r="3961">
      <c r="A3961" s="13" t="inlineStr">
        <is>
          <t>Lawmage's Binding / Selamento do Mago Legista</t>
        </is>
      </c>
      <c r="B3961" s="13" t="inlineStr">
        <is>
          <t>Enchantment — Aura / Encantamento — Aura</t>
        </is>
      </c>
      <c r="C3961" s="13" t="inlineStr">
        <is>
          <t>Common / Comum</t>
        </is>
      </c>
      <c r="D3961" s="13" t="inlineStr">
        <is>
          <t>Flash Enchant creature Enchanted creature can't attack or block, and its activated abilities can't be activated. / Lampejo Encantar criatura A criatura encantada não pode atacar nem bloquear e suas habilidades ativadas não podem ser ativadas.</t>
        </is>
      </c>
      <c r="E3961" s="13" t="inlineStr">
        <is>
          <t>{1}{W}{U}</t>
        </is>
      </c>
      <c r="F3961" s="13" t="inlineStr">
        <is>
          <t>Azul, Branco</t>
        </is>
      </c>
      <c r="G3961" s="8" t="n">
        <v>0.03</v>
      </c>
      <c r="H3961" s="13" t="inlineStr">
        <is>
          <t>Ravnica Allegiance (RNA)</t>
        </is>
      </c>
      <c r="I3961" s="13" t="inlineStr">
        <is>
          <t>Não</t>
        </is>
      </c>
      <c r="J3961" s="13" t="n">
        <v>2019</v>
      </c>
      <c r="L3961" s="13" t="n">
        <v>1</v>
      </c>
      <c r="M3961" s="8">
        <f>L3961*G3961</f>
        <v/>
      </c>
      <c r="P3961" s="9" t="n"/>
    </row>
    <row r="3962">
      <c r="A3962" s="13" t="inlineStr">
        <is>
          <t>Senate Griffin / Grifo do Senado</t>
        </is>
      </c>
      <c r="B3962" s="13" t="inlineStr">
        <is>
          <t>Creature — Griffin / Criatura — Grifo</t>
        </is>
      </c>
      <c r="C3962" s="13" t="inlineStr">
        <is>
          <t>Common / Comum</t>
        </is>
      </c>
      <c r="D3962" s="13" t="inlineStr">
        <is>
          <t>Flying When this creature enters, scry 1. / Voar Quando Grifo do Senado entrar no campo de batalha, use vidência 1.</t>
        </is>
      </c>
      <c r="E3962" s="13" t="inlineStr">
        <is>
          <t>{2}{W/U}{W/U}</t>
        </is>
      </c>
      <c r="F3962" s="13" t="inlineStr">
        <is>
          <t>Azul, Branco</t>
        </is>
      </c>
      <c r="G3962" s="8" t="n">
        <v>0.03</v>
      </c>
      <c r="H3962" s="13" t="inlineStr">
        <is>
          <t>Ravnica Allegiance (RNA)</t>
        </is>
      </c>
      <c r="I3962" s="13" t="inlineStr">
        <is>
          <t>Não</t>
        </is>
      </c>
      <c r="J3962" s="13" t="n">
        <v>2019</v>
      </c>
      <c r="K3962" s="10" t="n">
        <v>46056</v>
      </c>
      <c r="L3962" s="13" t="n">
        <v>1</v>
      </c>
      <c r="M3962" s="8">
        <f>L3962*G3962</f>
        <v/>
      </c>
      <c r="P3962" s="9" t="n"/>
    </row>
    <row r="3963">
      <c r="A3963" s="13" t="inlineStr">
        <is>
          <t>Grasping Thrull / Thrull Agarrador</t>
        </is>
      </c>
      <c r="B3963" s="13" t="inlineStr">
        <is>
          <t>Creature — Thrull / Criatura — Thrull</t>
        </is>
      </c>
      <c r="C3963" s="13" t="inlineStr">
        <is>
          <t>Common / Comum</t>
        </is>
      </c>
      <c r="D3963" s="13" t="inlineStr">
        <is>
          <t>Flying When this creature enters, it deals 2 damage to each opponent and you gain 2 life. / Voar Quando Thrull Agarrador entra no campo de batalha, ele causa 2 pontos de dano a cada oponente e você ganha 2 pontos de vida.</t>
        </is>
      </c>
      <c r="E3963" s="13" t="inlineStr">
        <is>
          <t>{3}{W}{B}</t>
        </is>
      </c>
      <c r="F3963" s="13" t="inlineStr">
        <is>
          <t>Preto, Branco</t>
        </is>
      </c>
      <c r="G3963" s="8" t="n">
        <v>0.03</v>
      </c>
      <c r="H3963" s="13" t="inlineStr">
        <is>
          <t>Ravnica Allegiance (RNA)</t>
        </is>
      </c>
      <c r="I3963" s="13" t="inlineStr">
        <is>
          <t>Não</t>
        </is>
      </c>
      <c r="J3963" s="13" t="n">
        <v>2019</v>
      </c>
      <c r="K3963" s="10" t="n">
        <v>46084</v>
      </c>
      <c r="L3963" s="13" t="n">
        <v>1</v>
      </c>
      <c r="M3963" s="8">
        <f>L3963*G3963</f>
        <v/>
      </c>
      <c r="P3963" s="9" t="n"/>
    </row>
    <row r="3964">
      <c r="A3964" s="13" t="inlineStr">
        <is>
          <t>Final Payment / Pagamento Final</t>
        </is>
      </c>
      <c r="B3964" s="13" t="inlineStr">
        <is>
          <t>Instant / Mágica Instantânea</t>
        </is>
      </c>
      <c r="C3964" s="13" t="inlineStr">
        <is>
          <t>Common / Comum</t>
        </is>
      </c>
      <c r="D3964" s="13" t="inlineStr">
        <is>
          <t>As an additional cost to cast this spell, pay 5 life or sacrifice a creature or enchantment. Destroy target creature. / Como custo adicional para conjurar esta mágica, pague 5 pontos de vida ou sacrifique uma criatura ou um encantamento. Destrua a criatura alvo.</t>
        </is>
      </c>
      <c r="E3964" s="13" t="inlineStr">
        <is>
          <t>{W}{B}</t>
        </is>
      </c>
      <c r="F3964" s="13" t="inlineStr">
        <is>
          <t>Preto, Branco</t>
        </is>
      </c>
      <c r="G3964" s="8" t="n">
        <v>0.05</v>
      </c>
      <c r="H3964" s="13" t="inlineStr">
        <is>
          <t>Ravnica Allegiance (RNA)</t>
        </is>
      </c>
      <c r="I3964" s="13" t="inlineStr">
        <is>
          <t>Não</t>
        </is>
      </c>
      <c r="J3964" s="13" t="n">
        <v>2019</v>
      </c>
      <c r="L3964" s="13" t="n">
        <v>1</v>
      </c>
      <c r="M3964" s="8">
        <f>L3964*G3964</f>
        <v/>
      </c>
      <c r="P3964" s="9" t="n"/>
    </row>
    <row r="3965">
      <c r="A3965" s="13" t="inlineStr">
        <is>
          <t>Kingpin's Pet / Animal de Estimação do Dirigente</t>
        </is>
      </c>
      <c r="B3965" s="13" t="inlineStr">
        <is>
          <t>Creature — Thrull / Criatura — Thrull</t>
        </is>
      </c>
      <c r="C3965" s="13" t="inlineStr">
        <is>
          <t>Common / Comum</t>
        </is>
      </c>
      <c r="D3965" s="13" t="inlineStr">
        <is>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is>
      </c>
      <c r="E3965" s="13" t="inlineStr">
        <is>
          <t>{1}{W}{B}</t>
        </is>
      </c>
      <c r="F3965" s="13" t="inlineStr">
        <is>
          <t>Preto, Branco</t>
        </is>
      </c>
      <c r="G3965" s="8" t="n">
        <v>0.03</v>
      </c>
      <c r="H3965" s="13" t="inlineStr">
        <is>
          <t>Gatecrash (GTC)</t>
        </is>
      </c>
      <c r="I3965" s="13" t="inlineStr">
        <is>
          <t>Não</t>
        </is>
      </c>
      <c r="J3965" s="13" t="n">
        <v>2013</v>
      </c>
      <c r="K3965" s="10" t="n">
        <v>46055</v>
      </c>
      <c r="L3965" s="13" t="n">
        <v>1</v>
      </c>
      <c r="M3965" s="8">
        <f>L3965*G3965</f>
        <v/>
      </c>
      <c r="P3965" s="9" t="n"/>
    </row>
    <row r="3966">
      <c r="A3966" s="13" t="inlineStr">
        <is>
          <t>Blue Ward / Defesa Azul</t>
        </is>
      </c>
      <c r="B3966" s="13" t="inlineStr">
        <is>
          <t>Enchantment — Aura</t>
        </is>
      </c>
      <c r="C3966" s="13" t="inlineStr">
        <is>
          <t>Uncommon / Incomum</t>
        </is>
      </c>
      <c r="D3966" s="13" t="inlineStr">
        <is>
          <t>Enchant creature Enchanted creature has protection from blue. This effect doesn't remove this Aura.</t>
        </is>
      </c>
      <c r="E3966" s="13" t="inlineStr">
        <is>
          <t>{W}</t>
        </is>
      </c>
      <c r="F3966" s="13" t="inlineStr">
        <is>
          <t>Branco</t>
        </is>
      </c>
      <c r="G3966" s="8" t="n">
        <v>0.1</v>
      </c>
      <c r="H3966" s="13" t="inlineStr">
        <is>
          <t>Fourth Edition (4ED)</t>
        </is>
      </c>
      <c r="I3966" s="13" t="inlineStr">
        <is>
          <t>Não</t>
        </is>
      </c>
      <c r="J3966" s="13" t="n">
        <v>1995</v>
      </c>
      <c r="L3966" s="13" t="n">
        <v>1</v>
      </c>
      <c r="M3966" s="8">
        <f>L3966*G3966</f>
        <v/>
      </c>
      <c r="P3966" s="9" t="n"/>
    </row>
    <row r="3967">
      <c r="A3967" s="13" t="inlineStr">
        <is>
          <t>Prophecy</t>
        </is>
      </c>
      <c r="B3967" s="13" t="inlineStr">
        <is>
          <t>Feitiço / Sorcery</t>
        </is>
      </c>
      <c r="C3967" s="13" t="inlineStr">
        <is>
          <t>Comum / Common</t>
        </is>
      </c>
      <c r="D3967" s="13" t="inlineStr">
        <is>
          <t>Reveal the top card of target opponent's library to all players. If it is a land, gain 1 life. That opponent then shuffles his or her library. Draw a card at the beginning of the next turn's upkeep.</t>
        </is>
      </c>
      <c r="E3967" s="13" t="inlineStr">
        <is>
          <t>{W}</t>
        </is>
      </c>
      <c r="F3967" s="13" t="inlineStr">
        <is>
          <t>Branco</t>
        </is>
      </c>
      <c r="G3967" s="8" t="n">
        <v>0.19</v>
      </c>
      <c r="H3967" s="13" t="inlineStr">
        <is>
          <t>Homelands (HML)</t>
        </is>
      </c>
      <c r="I3967" s="13" t="inlineStr">
        <is>
          <t>Não</t>
        </is>
      </c>
      <c r="J3967" s="13" t="n">
        <v>1995</v>
      </c>
      <c r="L3967" s="13" t="n">
        <v>1</v>
      </c>
      <c r="M3967" s="8">
        <f>L3967*G3967</f>
        <v/>
      </c>
      <c r="P3967" s="9" t="n"/>
    </row>
    <row r="3968">
      <c r="A3968" s="13" t="inlineStr">
        <is>
          <t>Aysen Bureaucrats / Burocratas de Aysen</t>
        </is>
      </c>
      <c r="B3968" s="13" t="inlineStr">
        <is>
          <t>Creature — Human Advisor</t>
        </is>
      </c>
      <c r="C3968" s="13" t="inlineStr">
        <is>
          <t>Common / Comum</t>
        </is>
      </c>
      <c r="D3968" s="13" t="inlineStr">
        <is>
          <t>{T}: Tap target creature with power 2 or less.</t>
        </is>
      </c>
      <c r="E3968" s="13" t="inlineStr">
        <is>
          <t>{1}{W}</t>
        </is>
      </c>
      <c r="F3968" s="13" t="inlineStr">
        <is>
          <t>Branco</t>
        </is>
      </c>
      <c r="G3968" s="8" t="n">
        <v>0.05</v>
      </c>
      <c r="H3968" s="13" t="inlineStr">
        <is>
          <t>Homelands (HML)</t>
        </is>
      </c>
      <c r="I3968" s="13" t="inlineStr">
        <is>
          <t>Não</t>
        </is>
      </c>
      <c r="J3968" s="13" t="n">
        <v>1995</v>
      </c>
      <c r="K3968" s="10" t="n">
        <v>46023</v>
      </c>
      <c r="L3968" s="13" t="n">
        <v>2</v>
      </c>
      <c r="M3968" s="8">
        <f>L3968*G3968</f>
        <v/>
      </c>
      <c r="P3968" s="9" t="n"/>
    </row>
    <row r="3969">
      <c r="A3969" s="13" t="inlineStr">
        <is>
          <t>Serra Paladin</t>
        </is>
      </c>
      <c r="B3969" s="13" t="inlineStr">
        <is>
          <t>Criatura — Paladino / Summon Paladin</t>
        </is>
      </c>
      <c r="C3969" s="13" t="inlineStr">
        <is>
          <t>Rara / Rare</t>
        </is>
      </c>
      <c r="D3969" s="13" t="inlineStr">
        <is>
          <t>{T}: Prevent 1 damage to any creature or player. {1}{W}{W}, {T}: Attacking does not cause target creature to tap this turn.</t>
        </is>
      </c>
      <c r="E3969" s="13" t="inlineStr">
        <is>
          <t>{2}{W}{W}</t>
        </is>
      </c>
      <c r="F3969" s="13" t="inlineStr">
        <is>
          <t>Branco</t>
        </is>
      </c>
      <c r="G3969" s="8" t="n">
        <v>0.19</v>
      </c>
      <c r="H3969" s="13" t="inlineStr">
        <is>
          <t>Legends (LEG)</t>
        </is>
      </c>
      <c r="I3969" s="13" t="inlineStr">
        <is>
          <t>Não</t>
        </is>
      </c>
      <c r="J3969" s="13" t="n">
        <v>1995</v>
      </c>
      <c r="K3969" s="10" t="n">
        <v>46055</v>
      </c>
      <c r="L3969" s="13" t="n">
        <v>1</v>
      </c>
      <c r="M3969" s="8">
        <f>L3969*G3969</f>
        <v/>
      </c>
      <c r="P3969" s="9" t="n"/>
    </row>
    <row r="3970">
      <c r="A3970" s="13" t="inlineStr">
        <is>
          <t>Aysen Crusader</t>
        </is>
      </c>
      <c r="B3970" s="13" t="inlineStr">
        <is>
          <t>Criatura — Cruzado / Summon Crusader</t>
        </is>
      </c>
      <c r="C3970" s="13" t="inlineStr">
        <is>
          <t>Rara / Rare</t>
        </is>
      </c>
      <c r="D3970" s="13" t="inlineStr">
        <is>
          <t>Aysen Crusader has power and toughness each equal to 2 plus the number of Heroes you control.</t>
        </is>
      </c>
      <c r="E3970" s="13" t="inlineStr">
        <is>
          <t>{2}{W}{W}</t>
        </is>
      </c>
      <c r="F3970" s="13" t="inlineStr">
        <is>
          <t>Branco</t>
        </is>
      </c>
      <c r="G3970" s="8" t="n">
        <v>1.75</v>
      </c>
      <c r="H3970" s="13" t="inlineStr">
        <is>
          <t>Homelands (HML)</t>
        </is>
      </c>
      <c r="I3970" s="13" t="inlineStr">
        <is>
          <t>Não</t>
        </is>
      </c>
      <c r="J3970" s="13" t="n">
        <v>1995</v>
      </c>
      <c r="K3970" s="13" t="inlineStr">
        <is>
          <t>2+*/2+*</t>
        </is>
      </c>
      <c r="L3970" s="13" t="n">
        <v>1</v>
      </c>
      <c r="M3970" s="8">
        <f>L3970*G3970</f>
        <v/>
      </c>
      <c r="N3970" s="13" t="inlineStr">
        <is>
          <t>Pasta</t>
        </is>
      </c>
      <c r="P3970" s="9" t="n"/>
    </row>
    <row r="3971">
      <c r="A3971" s="13" t="inlineStr">
        <is>
          <t>Visions / Visões</t>
        </is>
      </c>
      <c r="B3971" s="13" t="inlineStr">
        <is>
          <t>Sorcery</t>
        </is>
      </c>
      <c r="C3971" s="13" t="inlineStr">
        <is>
          <t>Uncommon / Incomum</t>
        </is>
      </c>
      <c r="D3971" s="13" t="inlineStr">
        <is>
          <t>Look at the top five cards of target player's library. You may then have that player shuffle that library.</t>
        </is>
      </c>
      <c r="E3971" s="13" t="inlineStr">
        <is>
          <t>{W}</t>
        </is>
      </c>
      <c r="F3971" s="13" t="inlineStr">
        <is>
          <t>Branco</t>
        </is>
      </c>
      <c r="G3971" s="8" t="n">
        <v>0.18</v>
      </c>
      <c r="H3971" s="13" t="inlineStr">
        <is>
          <t>Fourth Edition</t>
        </is>
      </c>
      <c r="I3971" s="13" t="inlineStr">
        <is>
          <t>Não</t>
        </is>
      </c>
      <c r="J3971" s="13" t="n">
        <v>1995</v>
      </c>
      <c r="L3971" s="13" t="n">
        <v>2</v>
      </c>
      <c r="M3971" s="8">
        <f>L3971*G3971</f>
        <v/>
      </c>
      <c r="P3971" s="9" t="n"/>
    </row>
    <row r="3972">
      <c r="A3972" s="13" t="inlineStr">
        <is>
          <t>Mesa Falcon / Falcão de Meseta</t>
        </is>
      </c>
      <c r="B3972" s="13" t="inlineStr">
        <is>
          <t>Creature — Bird</t>
        </is>
      </c>
      <c r="C3972" s="13" t="inlineStr">
        <is>
          <t>Common / Comum</t>
        </is>
      </c>
      <c r="D3972" s="13" t="inlineStr">
        <is>
          <t>Flying {1}{W}: This creature gets +0/+1 until end of turn.</t>
        </is>
      </c>
      <c r="E3972" s="13" t="inlineStr">
        <is>
          <t>{1}{W}</t>
        </is>
      </c>
      <c r="F3972" s="13" t="inlineStr">
        <is>
          <t>Branco</t>
        </is>
      </c>
      <c r="G3972" s="8" t="n">
        <v>0.09</v>
      </c>
      <c r="H3972" s="13" t="inlineStr">
        <is>
          <t>Homelands (HML)</t>
        </is>
      </c>
      <c r="I3972" s="13" t="inlineStr">
        <is>
          <t>Não</t>
        </is>
      </c>
      <c r="J3972" s="13" t="n">
        <v>1995</v>
      </c>
      <c r="K3972" s="10" t="n">
        <v>46023</v>
      </c>
      <c r="L3972" s="13" t="n">
        <v>3</v>
      </c>
      <c r="M3972" s="8">
        <f>L3972*G3972</f>
        <v/>
      </c>
      <c r="P3972" s="9" t="n"/>
    </row>
    <row r="3973">
      <c r="A3973" s="13" t="inlineStr">
        <is>
          <t>Serra Inquisitors / Inquisidores de Serra</t>
        </is>
      </c>
      <c r="B3973" s="13" t="inlineStr">
        <is>
          <t>Creature — Human Cleric</t>
        </is>
      </c>
      <c r="C3973" s="13" t="inlineStr">
        <is>
          <t>Uncommon / Incomum</t>
        </is>
      </c>
      <c r="D3973" s="13" t="inlineStr">
        <is>
          <t>Whenever this creature blocks or becomes blocked by one or more black creatures, this creature gets +2/+0 until end of turn.</t>
        </is>
      </c>
      <c r="E3973" s="13" t="inlineStr">
        <is>
          <t>{4}{W}</t>
        </is>
      </c>
      <c r="F3973" s="13" t="inlineStr">
        <is>
          <t>Branco</t>
        </is>
      </c>
      <c r="G3973" s="8" t="n">
        <v>0.1</v>
      </c>
      <c r="H3973" s="13" t="inlineStr">
        <is>
          <t>Homelands (HML)</t>
        </is>
      </c>
      <c r="I3973" s="13" t="inlineStr">
        <is>
          <t>Não</t>
        </is>
      </c>
      <c r="J3973" s="13" t="n">
        <v>1995</v>
      </c>
      <c r="K3973" s="10" t="n">
        <v>46084</v>
      </c>
      <c r="L3973" s="13" t="n">
        <v>2</v>
      </c>
      <c r="M3973" s="8">
        <f>L3973*G3973</f>
        <v/>
      </c>
      <c r="P3973" s="9" t="n"/>
    </row>
    <row r="3974">
      <c r="A3974" s="13" t="inlineStr">
        <is>
          <t>Círculo de Proteção: Branco / Circle of Protection: White</t>
        </is>
      </c>
      <c r="B3974" s="13" t="inlineStr">
        <is>
          <t>Encantamento / Enchantment</t>
        </is>
      </c>
      <c r="C3974" s="13" t="inlineStr">
        <is>
          <t>Comum / Common</t>
        </is>
      </c>
      <c r="D3974" s="13" t="inlineStr">
        <is>
          <t>{1}: Evita qualquer dano de uma única origem branca contra você. Se esta fonte lhe causar dano mais de uma vez num mesmo turno, você poderá pagar 1 em cada uma das vezes para evitar o dano.</t>
        </is>
      </c>
      <c r="E3974" s="13" t="inlineStr">
        <is>
          <t>{1}{W}</t>
        </is>
      </c>
      <c r="F3974" s="13" t="inlineStr">
        <is>
          <t>Branco</t>
        </is>
      </c>
      <c r="G3974" s="8" t="n">
        <v>0.48</v>
      </c>
      <c r="H3974" s="13" t="inlineStr">
        <is>
          <t>Fourth Edition (BB)</t>
        </is>
      </c>
      <c r="I3974" s="13" t="inlineStr">
        <is>
          <t>Não</t>
        </is>
      </c>
      <c r="J3974" s="13" t="n">
        <v>1995</v>
      </c>
      <c r="L3974" s="13" t="n">
        <v>3</v>
      </c>
      <c r="M3974" s="8">
        <f>L3974*G3974</f>
        <v/>
      </c>
      <c r="P3974" s="9" t="n"/>
    </row>
    <row r="3975">
      <c r="A3975" s="13" t="inlineStr">
        <is>
          <t>Círculo de Proteção: Branco / Circle of Protection: White</t>
        </is>
      </c>
      <c r="B3975" s="13" t="inlineStr">
        <is>
          <t>Encantamento / Enchantment</t>
        </is>
      </c>
      <c r="C3975" s="13" t="inlineStr">
        <is>
          <t>Comum / Common</t>
        </is>
      </c>
      <c r="D3975" s="13" t="inlineStr">
        <is>
          <t>{1}: Evita qualquer dano de uma única origem branca contra você. Se esta fonte lhe causar dano mais de uma vez num mesmo turno, você poderá pagar 1 em cada uma das vezes para evitar o dano.</t>
        </is>
      </c>
      <c r="E3975" s="13" t="inlineStr">
        <is>
          <t>{1}{W}</t>
        </is>
      </c>
      <c r="F3975" s="13" t="inlineStr">
        <is>
          <t>Branco</t>
        </is>
      </c>
      <c r="G3975" s="8" t="n">
        <v>0.14</v>
      </c>
      <c r="H3975" s="13" t="inlineStr">
        <is>
          <t>Fourth Edition</t>
        </is>
      </c>
      <c r="I3975" s="13" t="inlineStr">
        <is>
          <t>Não</t>
        </is>
      </c>
      <c r="J3975" s="13" t="n">
        <v>1995</v>
      </c>
      <c r="L3975" s="13" t="n">
        <v>2</v>
      </c>
      <c r="M3975" s="8">
        <f>L3975*G3975</f>
        <v/>
      </c>
      <c r="P3975" s="9" t="n"/>
    </row>
    <row r="3976">
      <c r="A3976" s="13" t="inlineStr">
        <is>
          <t>Samite Alchemist</t>
        </is>
      </c>
      <c r="B3976" s="13" t="inlineStr">
        <is>
          <t>Criatura — Alquimista / Summon Alchemist</t>
        </is>
      </c>
      <c r="C3976" s="13" t="inlineStr">
        <is>
          <t>Rara / Rare</t>
        </is>
      </c>
      <c r="D3976" s="13" t="inlineStr">
        <is>
          <t>{W}{W}, {T}: Prevent up to 4 damage to a creature you control. Tap that creature. The creature does not untap during your next untap phase.</t>
        </is>
      </c>
      <c r="E3976" s="13" t="inlineStr">
        <is>
          <t>{3}{W}</t>
        </is>
      </c>
      <c r="F3976" s="13" t="inlineStr">
        <is>
          <t>Branco</t>
        </is>
      </c>
      <c r="G3976" s="8" t="n">
        <v>0.06</v>
      </c>
      <c r="H3976" s="13" t="inlineStr">
        <is>
          <t>Legends (LEG)</t>
        </is>
      </c>
      <c r="I3976" s="13" t="inlineStr">
        <is>
          <t>Não</t>
        </is>
      </c>
      <c r="J3976" s="13" t="n">
        <v>1995</v>
      </c>
      <c r="K3976" s="13" t="inlineStr">
        <is>
          <t>0/2</t>
        </is>
      </c>
      <c r="L3976" s="13" t="n">
        <v>2</v>
      </c>
      <c r="M3976" s="8">
        <f>L3976*G3976</f>
        <v/>
      </c>
      <c r="P3976" s="9" t="n"/>
    </row>
    <row r="3977">
      <c r="A3977" s="13" t="inlineStr">
        <is>
          <t>Unicórnio Perolado / Pearled Unicorn</t>
        </is>
      </c>
      <c r="B3977" s="13" t="inlineStr">
        <is>
          <t>Invocação de Unicórnio / Summon Unicorn</t>
        </is>
      </c>
      <c r="C3977" s="13" t="inlineStr">
        <is>
          <t>Comum / Common</t>
        </is>
      </c>
      <c r="D3977" s="13" t="inlineStr">
        <is>
          <t>-</t>
        </is>
      </c>
      <c r="E3977" s="13" t="inlineStr">
        <is>
          <t>{2}{W}</t>
        </is>
      </c>
      <c r="F3977" s="13" t="inlineStr">
        <is>
          <t>Branco</t>
        </is>
      </c>
      <c r="G3977" s="8" t="n">
        <v>0.17</v>
      </c>
      <c r="H3977" s="13" t="inlineStr">
        <is>
          <t>Fourth Edition (BB)</t>
        </is>
      </c>
      <c r="I3977" s="13" t="inlineStr">
        <is>
          <t>Não</t>
        </is>
      </c>
      <c r="J3977" s="13" t="n">
        <v>1995</v>
      </c>
      <c r="K3977" s="10" t="n">
        <v>46055</v>
      </c>
      <c r="L3977" s="13" t="n">
        <v>3</v>
      </c>
      <c r="M3977" s="8">
        <f>L3977*G3977</f>
        <v/>
      </c>
      <c r="P3977" s="9" t="n"/>
    </row>
    <row r="3978">
      <c r="A3978" s="13" t="inlineStr">
        <is>
          <t>Unicórnio Perolado / Pearled Unicorn</t>
        </is>
      </c>
      <c r="B3978" s="13" t="inlineStr">
        <is>
          <t>Invocação de Unicórnio / Summon Unicorn</t>
        </is>
      </c>
      <c r="C3978" s="13" t="inlineStr">
        <is>
          <t>Comum / Common</t>
        </is>
      </c>
      <c r="D3978" s="13" t="inlineStr">
        <is>
          <t>-</t>
        </is>
      </c>
      <c r="E3978" s="13" t="inlineStr">
        <is>
          <t>{2}{W}</t>
        </is>
      </c>
      <c r="F3978" s="13" t="inlineStr">
        <is>
          <t>Branco</t>
        </is>
      </c>
      <c r="G3978" s="8" t="n">
        <v>0.07000000000000001</v>
      </c>
      <c r="H3978" s="13" t="inlineStr">
        <is>
          <t>Fourth Edition</t>
        </is>
      </c>
      <c r="I3978" s="13" t="inlineStr">
        <is>
          <t>Não</t>
        </is>
      </c>
      <c r="J3978" s="13" t="n">
        <v>1995</v>
      </c>
      <c r="K3978" s="10" t="n">
        <v>46055</v>
      </c>
      <c r="L3978" s="13" t="n">
        <v>4</v>
      </c>
      <c r="M3978" s="8">
        <f>L3978*G3978</f>
        <v/>
      </c>
      <c r="P3978" s="9" t="n"/>
    </row>
    <row r="3979">
      <c r="A3979" s="13" t="inlineStr">
        <is>
          <t>Abbey Gargoyles</t>
        </is>
      </c>
      <c r="B3979" s="13" t="inlineStr">
        <is>
          <t>Criatura — Gárgulas / Summon Gargoyles</t>
        </is>
      </c>
      <c r="C3979" s="13" t="inlineStr">
        <is>
          <t>Incomum / Uncommon</t>
        </is>
      </c>
      <c r="D3979" s="13" t="inlineStr">
        <is>
          <t>Flying, protection from red</t>
        </is>
      </c>
      <c r="E3979" s="13" t="inlineStr">
        <is>
          <t>{2}{W}{W}{W}</t>
        </is>
      </c>
      <c r="F3979" s="13" t="inlineStr">
        <is>
          <t>Branco</t>
        </is>
      </c>
      <c r="G3979" s="8" t="n">
        <v>0.09</v>
      </c>
      <c r="H3979" s="13" t="inlineStr">
        <is>
          <t>Homelands (HML)</t>
        </is>
      </c>
      <c r="I3979" s="13" t="inlineStr">
        <is>
          <t>Não</t>
        </is>
      </c>
      <c r="J3979" s="13" t="n">
        <v>1995</v>
      </c>
      <c r="K3979" s="10" t="n">
        <v>46115</v>
      </c>
      <c r="L3979" s="13" t="n">
        <v>1</v>
      </c>
      <c r="M3979" s="8">
        <f>L3979*G3979</f>
        <v/>
      </c>
      <c r="P3979" s="9" t="n"/>
    </row>
    <row r="3980">
      <c r="A3980" s="13" t="inlineStr">
        <is>
          <t>Abbey Matron / Matrona da Abadia</t>
        </is>
      </c>
      <c r="B3980" s="13" t="inlineStr">
        <is>
          <t>Creature — Cleric / Criatura — Clérigo</t>
        </is>
      </c>
      <c r="C3980" s="13" t="inlineStr">
        <is>
          <t>Common / Comum</t>
        </is>
      </c>
      <c r="D3980" s="13" t="inlineStr">
        <is>
          <t>{W}, {T}: +0/+3 until end of turn. / {W}, {T}: +0/+3 até o final do turno.</t>
        </is>
      </c>
      <c r="E3980" s="13" t="inlineStr">
        <is>
          <t>{2}{W}</t>
        </is>
      </c>
      <c r="F3980" s="13" t="inlineStr">
        <is>
          <t>Branco</t>
        </is>
      </c>
      <c r="G3980" s="8" t="n">
        <v>0.05</v>
      </c>
      <c r="H3980" s="13" t="inlineStr">
        <is>
          <t>Homelands (HML)</t>
        </is>
      </c>
      <c r="I3980" s="13" t="inlineStr">
        <is>
          <t>No</t>
        </is>
      </c>
      <c r="J3980" s="13" t="n">
        <v>1995</v>
      </c>
      <c r="K3980" s="10" t="n">
        <v>46082</v>
      </c>
      <c r="L3980" s="13" t="n">
        <v>1</v>
      </c>
      <c r="M3980" s="8">
        <f>L3980*G3980</f>
        <v/>
      </c>
      <c r="P3980" s="9" t="n"/>
    </row>
    <row r="3981">
      <c r="A3981" s="13" t="inlineStr">
        <is>
          <t>Trade Caravan / Caravana Comercial</t>
        </is>
      </c>
      <c r="B3981" s="13" t="inlineStr">
        <is>
          <t>Creature — Human Nomad</t>
        </is>
      </c>
      <c r="C3981" s="13" t="inlineStr">
        <is>
          <t>Common / Comum</t>
        </is>
      </c>
      <c r="D3981" s="13" t="inlineStr">
        <is>
          <t>At the beginning of your upkeep, put a currency counter on this creature. Remove two currency counters from this creature: Untap target basic land. Activate only during an opponent's upkeep.</t>
        </is>
      </c>
      <c r="E3981" s="13" t="inlineStr">
        <is>
          <t>{W}</t>
        </is>
      </c>
      <c r="F3981" s="13" t="inlineStr">
        <is>
          <t>Branco</t>
        </is>
      </c>
      <c r="G3981" s="8" t="n">
        <v>0.09</v>
      </c>
      <c r="H3981" s="13" t="inlineStr">
        <is>
          <t>Homelands (HML)</t>
        </is>
      </c>
      <c r="I3981" s="13" t="inlineStr">
        <is>
          <t>Não</t>
        </is>
      </c>
      <c r="J3981" s="13" t="n">
        <v>1995</v>
      </c>
      <c r="K3981" s="10" t="n">
        <v>46023</v>
      </c>
      <c r="L3981" s="13" t="n">
        <v>4</v>
      </c>
      <c r="M3981" s="8">
        <f>L3981*G3981</f>
        <v/>
      </c>
      <c r="P3981" s="9" t="n"/>
    </row>
    <row r="3982">
      <c r="A3982" s="13" t="inlineStr">
        <is>
          <t>Serra Bestiary / Bestiário de Serra</t>
        </is>
      </c>
      <c r="B3982" s="13" t="inlineStr">
        <is>
          <t>Enchantment — Aura</t>
        </is>
      </c>
      <c r="C3982" s="13" t="inlineStr">
        <is>
          <t>Common / Comum</t>
        </is>
      </c>
      <c r="D3982" s="13" t="inlineStr">
        <is>
          <t>Enchant creature At the beginning of your upkeep, sacrifice this Aura unless you pay {W}{W}. Enchanted creature can't attack or block, and its activated abilities with {T} in their costs can't be activated.</t>
        </is>
      </c>
      <c r="E3982" s="13" t="inlineStr">
        <is>
          <t>{W}{W}</t>
        </is>
      </c>
      <c r="F3982" s="13" t="inlineStr">
        <is>
          <t>Branco</t>
        </is>
      </c>
      <c r="G3982" s="8" t="n">
        <v>0.15</v>
      </c>
      <c r="H3982" s="13" t="inlineStr">
        <is>
          <t>Homelands (HML)</t>
        </is>
      </c>
      <c r="I3982" s="13" t="inlineStr">
        <is>
          <t>Não</t>
        </is>
      </c>
      <c r="J3982" s="13" t="n">
        <v>1995</v>
      </c>
      <c r="L3982" s="13" t="n">
        <v>1</v>
      </c>
      <c r="M3982" s="8">
        <f>L3982*G3982</f>
        <v/>
      </c>
      <c r="P3982" s="9" t="n"/>
    </row>
    <row r="3983">
      <c r="A3983" s="13" t="inlineStr">
        <is>
          <t>Island</t>
        </is>
      </c>
      <c r="B3983" s="13" t="inlineStr">
        <is>
          <t>Terreno / Land</t>
        </is>
      </c>
      <c r="C3983" s="13" t="inlineStr">
        <is>
          <t>Comum / Common</t>
        </is>
      </c>
      <c r="D3983" s="13" t="inlineStr">
        <is>
          <t>{T}: Add {U} to your mana pool.</t>
        </is>
      </c>
      <c r="E3983" s="13" t="inlineStr">
        <is>
          <t>-</t>
        </is>
      </c>
      <c r="F3983" s="13" t="inlineStr">
        <is>
          <t>Azul / Blue</t>
        </is>
      </c>
      <c r="G3983" s="8" t="n">
        <v>1.75</v>
      </c>
      <c r="H3983" s="13" t="inlineStr">
        <is>
          <t>Miragens</t>
        </is>
      </c>
      <c r="I3983" s="13" t="inlineStr">
        <is>
          <t>Não</t>
        </is>
      </c>
      <c r="J3983" s="13" t="n">
        <v>1996</v>
      </c>
      <c r="K3983" s="13" t="inlineStr">
        <is>
          <t>-</t>
        </is>
      </c>
      <c r="L3983" s="13" t="n">
        <v>1</v>
      </c>
      <c r="M3983" s="8">
        <f>L3983*G3983</f>
        <v/>
      </c>
      <c r="N3983" s="13" t="inlineStr">
        <is>
          <t>Pasta</t>
        </is>
      </c>
      <c r="P3983" s="9" t="n"/>
    </row>
    <row r="3984">
      <c r="A3984" s="13" t="inlineStr">
        <is>
          <t>Island</t>
        </is>
      </c>
      <c r="B3984" s="13" t="inlineStr">
        <is>
          <t>Terreno / Land</t>
        </is>
      </c>
      <c r="C3984" s="13" t="inlineStr">
        <is>
          <t>Comum / Common</t>
        </is>
      </c>
      <c r="D3984" s="13" t="inlineStr">
        <is>
          <t>{T}: Add {U} to your mana pool.</t>
        </is>
      </c>
      <c r="E3984" s="13" t="inlineStr">
        <is>
          <t>-</t>
        </is>
      </c>
      <c r="F3984" s="13" t="inlineStr">
        <is>
          <t>Azul / Blue</t>
        </is>
      </c>
      <c r="G3984" s="8" t="n">
        <v>0.87</v>
      </c>
      <c r="H3984" s="13" t="inlineStr">
        <is>
          <t>Sexta Edição Clássica</t>
        </is>
      </c>
      <c r="I3984" s="13" t="inlineStr">
        <is>
          <t>Não</t>
        </is>
      </c>
      <c r="J3984" s="13" t="n">
        <v>1999</v>
      </c>
      <c r="K3984" s="13" t="inlineStr">
        <is>
          <t>-</t>
        </is>
      </c>
      <c r="L3984" s="13" t="n">
        <v>1</v>
      </c>
      <c r="M3984" s="8">
        <f>L3984*G3984</f>
        <v/>
      </c>
      <c r="P3984" s="9" t="n"/>
    </row>
    <row r="3985">
      <c r="A3985" s="13" t="inlineStr">
        <is>
          <t>Forest / Floresta</t>
        </is>
      </c>
      <c r="B3985" s="13" t="inlineStr">
        <is>
          <t>Basic Land — Forest / Terreno Básico — Floresta</t>
        </is>
      </c>
      <c r="C3985" s="13" t="inlineStr">
        <is>
          <t>Rare / Rara</t>
        </is>
      </c>
      <c r="D3985" s="13" t="inlineStr">
        <is>
          <t>({T}: Add {G}.) / G</t>
        </is>
      </c>
      <c r="F3985" s="13" t="inlineStr">
        <is>
          <t>Verde</t>
        </is>
      </c>
      <c r="G3985" s="8" t="n">
        <v>1.79</v>
      </c>
      <c r="H3985" s="13" t="inlineStr">
        <is>
          <t>A saga de urza</t>
        </is>
      </c>
      <c r="I3985" s="13" t="inlineStr">
        <is>
          <t>Sim</t>
        </is>
      </c>
      <c r="J3985" s="13" t="n">
        <v>1998</v>
      </c>
      <c r="L3985" s="13" t="n">
        <v>1</v>
      </c>
      <c r="M3985" s="8">
        <f>L3985*G3985</f>
        <v/>
      </c>
      <c r="N3985" s="13" t="inlineStr">
        <is>
          <t>Pasta</t>
        </is>
      </c>
      <c r="P3985" s="9" t="n"/>
    </row>
    <row r="3986">
      <c r="A3986" s="13" t="inlineStr">
        <is>
          <t>Forest / Floresta</t>
        </is>
      </c>
      <c r="B3986" s="13" t="inlineStr">
        <is>
          <t>Basic Land — Forest / Terreno Básico — Floresta</t>
        </is>
      </c>
      <c r="C3986" s="13" t="inlineStr">
        <is>
          <t>Rare / Rara</t>
        </is>
      </c>
      <c r="D3986" s="13" t="inlineStr">
        <is>
          <t>({T}: Add {G}.) / G</t>
        </is>
      </c>
      <c r="F3986" s="13" t="inlineStr">
        <is>
          <t>Verde</t>
        </is>
      </c>
      <c r="G3986" s="8" t="n">
        <v>1.2</v>
      </c>
      <c r="H3986" s="13" t="inlineStr">
        <is>
          <t>A saga de urza</t>
        </is>
      </c>
      <c r="I3986" s="13" t="inlineStr">
        <is>
          <t>Sim</t>
        </is>
      </c>
      <c r="J3986" s="13" t="n">
        <v>1998</v>
      </c>
      <c r="L3986" s="13" t="n">
        <v>1</v>
      </c>
      <c r="M3986" s="8">
        <f>L3986*G3986</f>
        <v/>
      </c>
      <c r="N3986" s="13" t="inlineStr">
        <is>
          <t>Pasta</t>
        </is>
      </c>
      <c r="P3986" s="9" t="n"/>
    </row>
    <row r="3987">
      <c r="A3987" s="13" t="inlineStr">
        <is>
          <t>Forest / Floresta</t>
        </is>
      </c>
      <c r="B3987" s="13" t="inlineStr">
        <is>
          <t>Basic Land — Forest / Terreno Básico — Floresta</t>
        </is>
      </c>
      <c r="C3987" s="13" t="inlineStr">
        <is>
          <t>Rare / Rara</t>
        </is>
      </c>
      <c r="D3987" s="13" t="inlineStr">
        <is>
          <t>({T}: Add {G}.) / G</t>
        </is>
      </c>
      <c r="F3987" s="13" t="inlineStr">
        <is>
          <t>Verde</t>
        </is>
      </c>
      <c r="G3987" s="8" t="n">
        <v>2.4</v>
      </c>
      <c r="H3987" s="13" t="inlineStr">
        <is>
          <t>Revised Edition</t>
        </is>
      </c>
      <c r="I3987" s="13" t="inlineStr">
        <is>
          <t>Sim</t>
        </is>
      </c>
      <c r="J3987" s="13" t="n">
        <v>1994</v>
      </c>
      <c r="L3987" s="13" t="n">
        <v>2</v>
      </c>
      <c r="M3987" s="8">
        <f>L3987*G3987</f>
        <v/>
      </c>
      <c r="N3987" s="13" t="inlineStr">
        <is>
          <t>Pasta</t>
        </is>
      </c>
      <c r="P3987" s="9" t="n"/>
    </row>
    <row r="3988">
      <c r="A3988" s="13" t="inlineStr">
        <is>
          <t>Forest / Floresta</t>
        </is>
      </c>
      <c r="B3988" s="13" t="inlineStr">
        <is>
          <t>Basic Land — Forest / Terreno Básico — Floresta</t>
        </is>
      </c>
      <c r="C3988" s="13" t="inlineStr">
        <is>
          <t>Rare / Rara</t>
        </is>
      </c>
      <c r="D3988" s="13" t="inlineStr">
        <is>
          <t>({T}: Add {G}.) / G</t>
        </is>
      </c>
      <c r="F3988" s="13" t="inlineStr">
        <is>
          <t>Verde</t>
        </is>
      </c>
      <c r="G3988" s="8" t="n">
        <v>0.51</v>
      </c>
      <c r="H3988" s="13" t="inlineStr">
        <is>
          <t xml:space="preserve">Máscaras de Mercádia </t>
        </is>
      </c>
      <c r="I3988" s="13" t="inlineStr">
        <is>
          <t>Sim</t>
        </is>
      </c>
      <c r="J3988" s="13" t="n">
        <v>1999</v>
      </c>
      <c r="L3988" s="13" t="n">
        <v>1</v>
      </c>
      <c r="M3988" s="8">
        <f>L3988*G3988</f>
        <v/>
      </c>
      <c r="P3988" s="9" t="n"/>
    </row>
    <row r="3989">
      <c r="A3989" s="13" t="inlineStr">
        <is>
          <t>Mountain / Montanha</t>
        </is>
      </c>
      <c r="B3989" s="13" t="inlineStr">
        <is>
          <t>Basic Land — Mountain / Terreno Básico — Montanha</t>
        </is>
      </c>
      <c r="C3989" s="13" t="inlineStr">
        <is>
          <t>Common / Comum</t>
        </is>
      </c>
      <c r="D3989" s="13" t="inlineStr">
        <is>
          <t>({T}: Add {R}.) / R</t>
        </is>
      </c>
      <c r="F3989" s="13" t="inlineStr">
        <is>
          <t>Vermelho</t>
        </is>
      </c>
      <c r="G3989" s="8" t="n">
        <v>1.28</v>
      </c>
      <c r="H3989" s="13" t="inlineStr">
        <is>
          <t>Tempestade</t>
        </is>
      </c>
      <c r="I3989" s="13" t="inlineStr">
        <is>
          <t>Não</t>
        </is>
      </c>
      <c r="J3989" s="13" t="n">
        <v>1997</v>
      </c>
      <c r="L3989" s="13" t="n">
        <v>2</v>
      </c>
      <c r="M3989" s="8">
        <f>L3989*G3989</f>
        <v/>
      </c>
      <c r="N3989" s="13" t="inlineStr">
        <is>
          <t>Pasta</t>
        </is>
      </c>
      <c r="P3989" s="9" t="n"/>
    </row>
    <row r="3990">
      <c r="A3990" s="13" t="inlineStr">
        <is>
          <t>Mountain / Montanha</t>
        </is>
      </c>
      <c r="B3990" s="13" t="inlineStr">
        <is>
          <t>Basic Land — Mountain / Terreno Básico — Montanha</t>
        </is>
      </c>
      <c r="C3990" s="13" t="inlineStr">
        <is>
          <t>Common / Comum</t>
        </is>
      </c>
      <c r="D3990" s="13" t="inlineStr">
        <is>
          <t>({T}: Add {R}.) / R</t>
        </is>
      </c>
      <c r="F3990" s="13" t="inlineStr">
        <is>
          <t>Vermelho</t>
        </is>
      </c>
      <c r="G3990" s="8" t="n">
        <v>0.99</v>
      </c>
      <c r="H3990" s="13" t="inlineStr">
        <is>
          <t>Tempestade</t>
        </is>
      </c>
      <c r="I3990" s="13" t="inlineStr">
        <is>
          <t>Não</t>
        </is>
      </c>
      <c r="J3990" s="13" t="n">
        <v>1997</v>
      </c>
      <c r="L3990" s="13" t="n">
        <v>1</v>
      </c>
      <c r="M3990" s="8">
        <f>L3990*G3990</f>
        <v/>
      </c>
      <c r="N3990" s="13" t="inlineStr">
        <is>
          <t>Pasta</t>
        </is>
      </c>
      <c r="P3990" s="9" t="n"/>
    </row>
    <row r="3991">
      <c r="A3991" s="13" t="inlineStr">
        <is>
          <t>Mountain / Montanha</t>
        </is>
      </c>
      <c r="B3991" s="13" t="inlineStr">
        <is>
          <t>Basic Land — Mountain / Terreno Básico — Montanha</t>
        </is>
      </c>
      <c r="C3991" s="13" t="inlineStr">
        <is>
          <t>Common / Comum</t>
        </is>
      </c>
      <c r="D3991" s="13" t="inlineStr">
        <is>
          <t>({T}: Add {R}.) / R</t>
        </is>
      </c>
      <c r="F3991" s="13" t="inlineStr">
        <is>
          <t>Vermelho</t>
        </is>
      </c>
      <c r="G3991" s="8" t="n">
        <v>1</v>
      </c>
      <c r="H3991" s="13" t="inlineStr">
        <is>
          <t>Tempestade</t>
        </is>
      </c>
      <c r="I3991" s="13" t="inlineStr">
        <is>
          <t>Não</t>
        </is>
      </c>
      <c r="J3991" s="13" t="n">
        <v>1997</v>
      </c>
      <c r="L3991" s="13" t="n">
        <v>1</v>
      </c>
      <c r="M3991" s="8">
        <f>L3991*G3991</f>
        <v/>
      </c>
      <c r="N3991" s="13" t="inlineStr">
        <is>
          <t>Pasta</t>
        </is>
      </c>
      <c r="P3991" s="9" t="n"/>
    </row>
    <row r="3992">
      <c r="A3992" s="13" t="inlineStr">
        <is>
          <t>Mountain / Montanha</t>
        </is>
      </c>
      <c r="B3992" s="13" t="inlineStr">
        <is>
          <t>Basic Land — Mountain / Terreno Básico — Montanha</t>
        </is>
      </c>
      <c r="C3992" s="13" t="inlineStr">
        <is>
          <t>Common / Comum</t>
        </is>
      </c>
      <c r="D3992" s="13" t="inlineStr">
        <is>
          <t>({T}: Add {R}.) / R</t>
        </is>
      </c>
      <c r="F3992" s="13" t="inlineStr">
        <is>
          <t>Vermelho</t>
        </is>
      </c>
      <c r="G3992" s="8" t="n">
        <v>0.92</v>
      </c>
      <c r="H3992" s="13" t="inlineStr">
        <is>
          <t>Tempestade</t>
        </is>
      </c>
      <c r="I3992" s="13" t="inlineStr">
        <is>
          <t>Não</t>
        </is>
      </c>
      <c r="J3992" s="13" t="n">
        <v>1997</v>
      </c>
      <c r="L3992" s="13" t="n">
        <v>1</v>
      </c>
      <c r="M3992" s="8">
        <f>L3992*G3992</f>
        <v/>
      </c>
      <c r="N3992" s="13" t="inlineStr">
        <is>
          <t>Pasta</t>
        </is>
      </c>
      <c r="P3992" s="9" t="n"/>
    </row>
    <row r="3993">
      <c r="A3993" s="13" t="inlineStr">
        <is>
          <t>Mountain / Montanha</t>
        </is>
      </c>
      <c r="B3993" s="13" t="inlineStr">
        <is>
          <t>Basic Land — Mountain / Terreno Básico — Montanha</t>
        </is>
      </c>
      <c r="C3993" s="13" t="inlineStr">
        <is>
          <t>Common / Comum</t>
        </is>
      </c>
      <c r="D3993" s="13" t="inlineStr">
        <is>
          <t>({T}: Add {R}.) / R</t>
        </is>
      </c>
      <c r="F3993" s="13" t="inlineStr">
        <is>
          <t>Vermelho</t>
        </is>
      </c>
      <c r="G3993" s="8" t="n">
        <v>1.91</v>
      </c>
      <c r="H3993" s="13" t="inlineStr">
        <is>
          <t>Fourth Edition</t>
        </is>
      </c>
      <c r="I3993" s="13" t="inlineStr">
        <is>
          <t>Não</t>
        </is>
      </c>
      <c r="J3993" s="13" t="n">
        <v>1995</v>
      </c>
      <c r="L3993" s="13" t="n">
        <v>2</v>
      </c>
      <c r="M3993" s="8">
        <f>L3993*G3993</f>
        <v/>
      </c>
      <c r="N3993" s="13" t="inlineStr">
        <is>
          <t>Pasta</t>
        </is>
      </c>
      <c r="P3993" s="9" t="n"/>
    </row>
    <row r="3994">
      <c r="A3994" s="13" t="inlineStr">
        <is>
          <t>Mountain / Montanha</t>
        </is>
      </c>
      <c r="B3994" s="13" t="inlineStr">
        <is>
          <t>Basic Land — Mountain / Terreno Básico — Montanha</t>
        </is>
      </c>
      <c r="C3994" s="13" t="inlineStr">
        <is>
          <t>Common / Comum</t>
        </is>
      </c>
      <c r="D3994" s="13" t="inlineStr">
        <is>
          <t>({T}: Add {R}.) / R</t>
        </is>
      </c>
      <c r="F3994" s="13" t="inlineStr">
        <is>
          <t>Vermelho</t>
        </is>
      </c>
      <c r="G3994" s="8" t="n">
        <v>1.39</v>
      </c>
      <c r="H3994" s="13" t="inlineStr">
        <is>
          <t>Fourth Edition</t>
        </is>
      </c>
      <c r="I3994" s="13" t="inlineStr">
        <is>
          <t>Não</t>
        </is>
      </c>
      <c r="J3994" s="13" t="n">
        <v>1995</v>
      </c>
      <c r="L3994" s="13" t="n">
        <v>1</v>
      </c>
      <c r="M3994" s="8">
        <f>L3994*G3994</f>
        <v/>
      </c>
      <c r="N3994" s="13" t="inlineStr">
        <is>
          <t>Pasta</t>
        </is>
      </c>
      <c r="P3994" s="9" t="n"/>
    </row>
    <row r="3995">
      <c r="A3995" s="13" t="inlineStr">
        <is>
          <t>Mountain / Montanha</t>
        </is>
      </c>
      <c r="B3995" s="13" t="inlineStr">
        <is>
          <t>Basic Land — Mountain / Terreno Básico — Montanha</t>
        </is>
      </c>
      <c r="C3995" s="13" t="inlineStr">
        <is>
          <t>Common / Comum</t>
        </is>
      </c>
      <c r="D3995" s="13" t="inlineStr">
        <is>
          <t>({T}: Add {R}.) / R</t>
        </is>
      </c>
      <c r="F3995" s="13" t="inlineStr">
        <is>
          <t>Vermelho</t>
        </is>
      </c>
      <c r="G3995" s="8" t="n">
        <v>0.8</v>
      </c>
      <c r="H3995" s="11" t="inlineStr">
        <is>
          <t>Sexta Edição Clássica</t>
        </is>
      </c>
      <c r="I3995" s="11" t="inlineStr">
        <is>
          <t>Não</t>
        </is>
      </c>
      <c r="J3995" s="12" t="n">
        <v>1999</v>
      </c>
      <c r="L3995" s="13" t="n">
        <v>1</v>
      </c>
      <c r="M3995" s="8">
        <f>L3995*G3995</f>
        <v/>
      </c>
      <c r="P3995" s="9" t="n"/>
    </row>
    <row r="3996">
      <c r="A3996" s="13" t="inlineStr">
        <is>
          <t>Mountain / Montanha</t>
        </is>
      </c>
      <c r="B3996" s="13" t="inlineStr">
        <is>
          <t>Basic Land — Mountain / Terreno Básico — Montanha</t>
        </is>
      </c>
      <c r="C3996" s="13" t="inlineStr">
        <is>
          <t>Common / Comum</t>
        </is>
      </c>
      <c r="D3996" s="13" t="inlineStr">
        <is>
          <t>({T}: Add {R}.) / R</t>
        </is>
      </c>
      <c r="F3996" s="13" t="inlineStr">
        <is>
          <t>Vermelho</t>
        </is>
      </c>
      <c r="G3996" s="8" t="n">
        <v>0.99</v>
      </c>
      <c r="H3996" s="11" t="inlineStr">
        <is>
          <t>Sexta Edição Clássica</t>
        </is>
      </c>
      <c r="I3996" s="11" t="inlineStr">
        <is>
          <t>Não</t>
        </is>
      </c>
      <c r="J3996" s="12" t="n">
        <v>1999</v>
      </c>
      <c r="L3996" s="13" t="n">
        <v>1</v>
      </c>
      <c r="M3996" s="8">
        <f>L3996*G3996</f>
        <v/>
      </c>
      <c r="N3996" s="13" t="inlineStr">
        <is>
          <t>Pasta</t>
        </is>
      </c>
      <c r="P3996" s="9" t="n"/>
    </row>
    <row r="3997">
      <c r="A3997" s="13" t="inlineStr">
        <is>
          <t>Mountain / Montanha</t>
        </is>
      </c>
      <c r="B3997" s="13" t="inlineStr">
        <is>
          <t>Basic Land — Mountain / Terreno Básico — Montanha</t>
        </is>
      </c>
      <c r="C3997" s="13" t="inlineStr">
        <is>
          <t>Common / Comum</t>
        </is>
      </c>
      <c r="D3997" s="13" t="inlineStr">
        <is>
          <t>({T}: Add {R}.) / R</t>
        </is>
      </c>
      <c r="F3997" s="13" t="inlineStr">
        <is>
          <t>Vermelho</t>
        </is>
      </c>
      <c r="G3997" s="8" t="n">
        <v>0.75</v>
      </c>
      <c r="H3997" s="11" t="inlineStr">
        <is>
          <t>Sexta Edição Clássica</t>
        </is>
      </c>
      <c r="I3997" s="11" t="inlineStr">
        <is>
          <t>Não</t>
        </is>
      </c>
      <c r="J3997" s="12" t="n">
        <v>1999</v>
      </c>
      <c r="L3997" s="13" t="n">
        <v>2</v>
      </c>
      <c r="M3997" s="8">
        <f>L3997*G3997</f>
        <v/>
      </c>
      <c r="P3997" s="9" t="n"/>
    </row>
    <row r="3998">
      <c r="A3998" s="13" t="inlineStr">
        <is>
          <t>Mountain / Montanha</t>
        </is>
      </c>
      <c r="B3998" s="13" t="inlineStr">
        <is>
          <t>Basic Land — Mountain / Terreno Básico — Montanha</t>
        </is>
      </c>
      <c r="C3998" s="13" t="inlineStr">
        <is>
          <t>Common / Comum</t>
        </is>
      </c>
      <c r="D3998" s="13" t="inlineStr">
        <is>
          <t>({T}: Add {R}.) / R</t>
        </is>
      </c>
      <c r="F3998" s="13" t="inlineStr">
        <is>
          <t>Vermelho</t>
        </is>
      </c>
      <c r="G3998" s="8" t="n">
        <v>1.5</v>
      </c>
      <c r="H3998" s="11" t="inlineStr">
        <is>
          <t>Sexta Edição Clássica</t>
        </is>
      </c>
      <c r="I3998" s="11" t="inlineStr">
        <is>
          <t>Não</t>
        </is>
      </c>
      <c r="J3998" s="12" t="n">
        <v>1999</v>
      </c>
      <c r="L3998" s="13" t="n">
        <v>2</v>
      </c>
      <c r="M3998" s="8">
        <f>L3998*G3998</f>
        <v/>
      </c>
      <c r="N3998" s="13" t="inlineStr">
        <is>
          <t>Pasta</t>
        </is>
      </c>
      <c r="P3998" s="9" t="n"/>
    </row>
    <row r="3999">
      <c r="A3999" s="13" t="inlineStr">
        <is>
          <t>Mountain / Montanha</t>
        </is>
      </c>
      <c r="B3999" s="13" t="inlineStr">
        <is>
          <t>Basic Land — Mountain / Terreno Básico — Montanha</t>
        </is>
      </c>
      <c r="C3999" s="13" t="inlineStr">
        <is>
          <t>Common / Comum</t>
        </is>
      </c>
      <c r="D3999" s="13" t="inlineStr">
        <is>
          <t>({T}: Add {R}.) / R</t>
        </is>
      </c>
      <c r="F3999" s="13" t="inlineStr">
        <is>
          <t>Vermelho</t>
        </is>
      </c>
      <c r="G3999" s="8" t="n">
        <v>0.95</v>
      </c>
      <c r="H3999" s="13" t="inlineStr">
        <is>
          <t xml:space="preserve">Máscaras de Mercádia </t>
        </is>
      </c>
      <c r="I3999" s="11" t="inlineStr">
        <is>
          <t>Não</t>
        </is>
      </c>
      <c r="J3999" s="12" t="n">
        <v>1999</v>
      </c>
      <c r="L3999" s="13" t="n">
        <v>2</v>
      </c>
      <c r="M3999" s="8">
        <f>L3999*G3999</f>
        <v/>
      </c>
      <c r="P3999" s="9" t="n"/>
    </row>
    <row r="4000">
      <c r="A4000" s="13" t="inlineStr">
        <is>
          <t>Mountain / Montanha</t>
        </is>
      </c>
      <c r="B4000" s="13" t="inlineStr">
        <is>
          <t>Basic Land — Mountain / Terreno Básico — Montanha</t>
        </is>
      </c>
      <c r="C4000" s="13" t="inlineStr">
        <is>
          <t>Common / Comum</t>
        </is>
      </c>
      <c r="D4000" s="13" t="inlineStr">
        <is>
          <t>({T}: Add {R}.) / R</t>
        </is>
      </c>
      <c r="F4000" s="13" t="inlineStr">
        <is>
          <t>Vermelho</t>
        </is>
      </c>
      <c r="G4000" s="8" t="n">
        <v>1</v>
      </c>
      <c r="H4000" s="13" t="inlineStr">
        <is>
          <t xml:space="preserve">Máscaras de Mercádia </t>
        </is>
      </c>
      <c r="I4000" s="11" t="inlineStr">
        <is>
          <t>Não</t>
        </is>
      </c>
      <c r="J4000" s="12" t="n">
        <v>1999</v>
      </c>
      <c r="L4000" s="13" t="n">
        <v>1</v>
      </c>
      <c r="M4000" s="8">
        <f>L4000*G4000</f>
        <v/>
      </c>
      <c r="N4000" s="13" t="inlineStr">
        <is>
          <t>Pasta</t>
        </is>
      </c>
      <c r="P4000" s="9" t="n"/>
    </row>
    <row r="4001">
      <c r="A4001" s="13" t="inlineStr">
        <is>
          <t>Mountain / Montanha</t>
        </is>
      </c>
      <c r="B4001" s="13" t="inlineStr">
        <is>
          <t>Basic Land — Mountain / Terreno Básico — Montanha</t>
        </is>
      </c>
      <c r="C4001" s="13" t="inlineStr">
        <is>
          <t>Common / Comum</t>
        </is>
      </c>
      <c r="D4001" s="13" t="inlineStr">
        <is>
          <t>({T}: Add {R}.) / R</t>
        </is>
      </c>
      <c r="F4001" s="13" t="inlineStr">
        <is>
          <t>Vermelho</t>
        </is>
      </c>
      <c r="G4001" s="8" t="n">
        <v>0.45</v>
      </c>
      <c r="H4001" s="13" t="inlineStr">
        <is>
          <t xml:space="preserve">Máscaras de Mercádia </t>
        </is>
      </c>
      <c r="I4001" s="11" t="inlineStr">
        <is>
          <t>Não</t>
        </is>
      </c>
      <c r="J4001" s="12" t="n">
        <v>1999</v>
      </c>
      <c r="L4001" s="13" t="n">
        <v>2</v>
      </c>
      <c r="M4001" s="8">
        <f>L4001*G4001</f>
        <v/>
      </c>
      <c r="P4001" s="9" t="n"/>
    </row>
    <row r="4002">
      <c r="A4002" s="13" t="inlineStr">
        <is>
          <t>Mountain / Montanha</t>
        </is>
      </c>
      <c r="B4002" s="13" t="inlineStr">
        <is>
          <t>Basic Land — Mountain / Terreno Básico — Montanha</t>
        </is>
      </c>
      <c r="C4002" s="13" t="inlineStr">
        <is>
          <t>Common / Comum</t>
        </is>
      </c>
      <c r="D4002" s="13" t="inlineStr">
        <is>
          <t>({T}: Add {R}.) / R</t>
        </is>
      </c>
      <c r="F4002" s="13" t="inlineStr">
        <is>
          <t>Vermelho</t>
        </is>
      </c>
      <c r="G4002" s="8" t="n">
        <v>0.99</v>
      </c>
      <c r="H4002" s="13" t="inlineStr">
        <is>
          <t xml:space="preserve">Máscaras de Mercádia </t>
        </is>
      </c>
      <c r="I4002" s="11" t="inlineStr">
        <is>
          <t>Não</t>
        </is>
      </c>
      <c r="J4002" s="12" t="n">
        <v>1999</v>
      </c>
      <c r="L4002" s="13" t="n">
        <v>3</v>
      </c>
      <c r="M4002" s="8">
        <f>L4002*G4002</f>
        <v/>
      </c>
      <c r="N4002" s="13" t="inlineStr">
        <is>
          <t>Pasta</t>
        </is>
      </c>
      <c r="P4002" s="9" t="n"/>
    </row>
    <row r="4003">
      <c r="A4003" s="13" t="inlineStr">
        <is>
          <t>Mountain / Montanha</t>
        </is>
      </c>
      <c r="B4003" s="13" t="inlineStr">
        <is>
          <t>Basic Land — Mountain / Terreno Básico — Montanha</t>
        </is>
      </c>
      <c r="C4003" s="13" t="inlineStr">
        <is>
          <t>Common / Comum</t>
        </is>
      </c>
      <c r="D4003" s="13" t="inlineStr">
        <is>
          <t>({T}: Add {R}.) / R</t>
        </is>
      </c>
      <c r="F4003" s="13" t="inlineStr">
        <is>
          <t>Vermelho</t>
        </is>
      </c>
      <c r="G4003" s="8" t="n">
        <v>0.99</v>
      </c>
      <c r="H4003" s="13" t="inlineStr">
        <is>
          <t xml:space="preserve">Máscaras de Mercádia </t>
        </is>
      </c>
      <c r="I4003" s="11" t="inlineStr">
        <is>
          <t>Não</t>
        </is>
      </c>
      <c r="J4003" s="12" t="n">
        <v>1999</v>
      </c>
      <c r="L4003" s="13" t="n">
        <v>1</v>
      </c>
      <c r="M4003" s="8">
        <f>L4003*G4003</f>
        <v/>
      </c>
      <c r="P4003" s="9" t="n"/>
    </row>
    <row r="4004">
      <c r="A4004" s="13" t="inlineStr">
        <is>
          <t>Mountain / Montanha</t>
        </is>
      </c>
      <c r="B4004" s="13" t="inlineStr">
        <is>
          <t>Basic Land — Mountain / Terreno Básico — Montanha</t>
        </is>
      </c>
      <c r="C4004" s="13" t="inlineStr">
        <is>
          <t>Common / Comum</t>
        </is>
      </c>
      <c r="D4004" s="13" t="inlineStr">
        <is>
          <t>({T}: Add {R}.) / R</t>
        </is>
      </c>
      <c r="F4004" s="13" t="inlineStr">
        <is>
          <t>Vermelho</t>
        </is>
      </c>
      <c r="G4004" s="8" t="n">
        <v>0.9399999999999999</v>
      </c>
      <c r="H4004" s="13" t="inlineStr">
        <is>
          <t>A saga de urza</t>
        </is>
      </c>
      <c r="I4004" s="13" t="inlineStr">
        <is>
          <t>Sim</t>
        </is>
      </c>
      <c r="J4004" s="13" t="n">
        <v>1998</v>
      </c>
      <c r="L4004" s="13" t="n">
        <v>1</v>
      </c>
      <c r="M4004" s="8">
        <f>L4004*G4004</f>
        <v/>
      </c>
      <c r="P4004" s="9" t="n"/>
    </row>
    <row r="4005">
      <c r="A4005" s="13" t="inlineStr">
        <is>
          <t>Plains / Planície</t>
        </is>
      </c>
      <c r="B4005" s="13" t="inlineStr">
        <is>
          <t>Basic Land — Plains / Terreno Básico — Planície</t>
        </is>
      </c>
      <c r="C4005" s="13" t="inlineStr">
        <is>
          <t>Common / Comum</t>
        </is>
      </c>
      <c r="D4005" s="13" t="inlineStr">
        <is>
          <t>({T}: Add {W}.) / W</t>
        </is>
      </c>
      <c r="F4005" s="13" t="inlineStr">
        <is>
          <t>Branco</t>
        </is>
      </c>
      <c r="G4005" s="8" t="n">
        <v>2.5</v>
      </c>
      <c r="H4005" s="13" t="inlineStr">
        <is>
          <t>Revised Edition</t>
        </is>
      </c>
      <c r="I4005" s="13" t="inlineStr">
        <is>
          <t>Não</t>
        </is>
      </c>
      <c r="J4005" s="13" t="n">
        <v>1994</v>
      </c>
      <c r="L4005" s="13" t="n">
        <v>2</v>
      </c>
      <c r="M4005" s="8">
        <f>L4005*G4005</f>
        <v/>
      </c>
      <c r="N4005" s="13" t="inlineStr">
        <is>
          <t>Pasta</t>
        </is>
      </c>
      <c r="P4005" s="9" t="n"/>
    </row>
    <row r="4006">
      <c r="A4006" s="13" t="inlineStr">
        <is>
          <t>Plains / Planície</t>
        </is>
      </c>
      <c r="B4006" s="13" t="inlineStr">
        <is>
          <t>Basic Land — Plains / Terreno Básico — Planície</t>
        </is>
      </c>
      <c r="C4006" s="13" t="inlineStr">
        <is>
          <t>Common / Comum</t>
        </is>
      </c>
      <c r="D4006" s="13" t="inlineStr">
        <is>
          <t>({T}: Add {W}.) / W</t>
        </is>
      </c>
      <c r="F4006" s="13" t="inlineStr">
        <is>
          <t>Branco</t>
        </is>
      </c>
      <c r="G4006" s="8" t="n">
        <v>2.15</v>
      </c>
      <c r="H4006" s="13" t="inlineStr">
        <is>
          <t>Revised Edition</t>
        </is>
      </c>
      <c r="I4006" s="13" t="inlineStr">
        <is>
          <t>Não</t>
        </is>
      </c>
      <c r="J4006" s="13" t="n">
        <v>1994</v>
      </c>
      <c r="L4006" s="13" t="n">
        <v>3</v>
      </c>
      <c r="M4006" s="8">
        <f>L4006*G4006</f>
        <v/>
      </c>
      <c r="N4006" s="13" t="inlineStr">
        <is>
          <t>Pasta</t>
        </is>
      </c>
      <c r="P4006" s="9" t="n"/>
    </row>
    <row r="4007">
      <c r="A4007" s="13" t="inlineStr">
        <is>
          <t>Plains / Planície</t>
        </is>
      </c>
      <c r="B4007" s="13" t="inlineStr">
        <is>
          <t>Basic Land — Plains / Terreno Básico — Planície</t>
        </is>
      </c>
      <c r="C4007" s="13" t="inlineStr">
        <is>
          <t>Common / Comum</t>
        </is>
      </c>
      <c r="D4007" s="13" t="inlineStr">
        <is>
          <t>({T}: Add {W}.) / W</t>
        </is>
      </c>
      <c r="F4007" s="13" t="inlineStr">
        <is>
          <t>Branco</t>
        </is>
      </c>
      <c r="G4007" s="8" t="n">
        <v>0.48</v>
      </c>
      <c r="H4007" s="13" t="inlineStr">
        <is>
          <t>Fourth Edition</t>
        </is>
      </c>
      <c r="I4007" s="13" t="inlineStr">
        <is>
          <t>Não</t>
        </is>
      </c>
      <c r="J4007" s="13" t="n">
        <v>1995</v>
      </c>
      <c r="L4007" s="13" t="n">
        <v>1</v>
      </c>
      <c r="M4007" s="8">
        <f>L4007*G4007</f>
        <v/>
      </c>
      <c r="P4007" s="9" t="n"/>
    </row>
    <row r="4008">
      <c r="A4008" s="13" t="inlineStr">
        <is>
          <t>Plains / Planície</t>
        </is>
      </c>
      <c r="B4008" s="13" t="inlineStr">
        <is>
          <t>Basic Land — Plains / Terreno Básico — Planície</t>
        </is>
      </c>
      <c r="C4008" s="13" t="inlineStr">
        <is>
          <t>Common / Comum</t>
        </is>
      </c>
      <c r="D4008" s="13" t="inlineStr">
        <is>
          <t>({T}: Add {W}.) / W</t>
        </is>
      </c>
      <c r="F4008" s="13" t="inlineStr">
        <is>
          <t>Branco</t>
        </is>
      </c>
      <c r="G4008" s="8" t="n">
        <v>0.8</v>
      </c>
      <c r="H4008" s="13" t="inlineStr">
        <is>
          <t>Fourth Edition</t>
        </is>
      </c>
      <c r="I4008" s="13" t="inlineStr">
        <is>
          <t>Não</t>
        </is>
      </c>
      <c r="J4008" s="13" t="n">
        <v>1995</v>
      </c>
      <c r="L4008" s="13" t="n">
        <v>2</v>
      </c>
      <c r="M4008" s="8">
        <f>L4008*G4008</f>
        <v/>
      </c>
      <c r="P4008" s="9" t="n"/>
    </row>
    <row r="4009">
      <c r="A4009" s="13" t="inlineStr">
        <is>
          <t>Plains / Planície</t>
        </is>
      </c>
      <c r="B4009" s="13" t="inlineStr">
        <is>
          <t>Basic Land — Plains / Terreno Básico — Planície</t>
        </is>
      </c>
      <c r="C4009" s="13" t="inlineStr">
        <is>
          <t>Common / Comum</t>
        </is>
      </c>
      <c r="D4009" s="13" t="inlineStr">
        <is>
          <t>({T}: Add {W}.) / W</t>
        </is>
      </c>
      <c r="F4009" s="13" t="inlineStr">
        <is>
          <t>Branco</t>
        </is>
      </c>
      <c r="G4009" s="8" t="n">
        <v>0.48</v>
      </c>
      <c r="H4009" s="13" t="inlineStr">
        <is>
          <t>Fourth Edition</t>
        </is>
      </c>
      <c r="I4009" s="13" t="inlineStr">
        <is>
          <t>Não</t>
        </is>
      </c>
      <c r="J4009" s="13" t="n">
        <v>1995</v>
      </c>
      <c r="L4009" s="13" t="n">
        <v>1</v>
      </c>
      <c r="M4009" s="8">
        <f>L4009*G4009</f>
        <v/>
      </c>
      <c r="P4009" s="9" t="n"/>
    </row>
    <row r="4010">
      <c r="A4010" s="13" t="inlineStr">
        <is>
          <t>Plains / Planície</t>
        </is>
      </c>
      <c r="B4010" s="13" t="inlineStr">
        <is>
          <t>Basic Land — Plains / Terreno Básico — Planície</t>
        </is>
      </c>
      <c r="C4010" s="13" t="inlineStr">
        <is>
          <t>Common / Comum</t>
        </is>
      </c>
      <c r="D4010" s="13" t="inlineStr">
        <is>
          <t>({T}: Add {W}.) / W</t>
        </is>
      </c>
      <c r="F4010" s="13" t="inlineStr">
        <is>
          <t>Branco</t>
        </is>
      </c>
      <c r="G4010" s="8" t="n">
        <v>0.4</v>
      </c>
      <c r="H4010" s="13" t="inlineStr">
        <is>
          <t>Invasão</t>
        </is>
      </c>
      <c r="I4010" s="13" t="inlineStr">
        <is>
          <t>Não</t>
        </is>
      </c>
      <c r="J4010" s="13" t="n">
        <v>2000</v>
      </c>
      <c r="L4010" s="13" t="n">
        <v>1</v>
      </c>
      <c r="M4010" s="8">
        <f>L4010*G4010</f>
        <v/>
      </c>
      <c r="P4010" s="9" t="n"/>
    </row>
    <row r="4011">
      <c r="A4011" s="13" t="inlineStr">
        <is>
          <t>Ghirapur Aether Grid / Grade de Éter de Ghirapur</t>
        </is>
      </c>
      <c r="B4011" s="13" t="inlineStr">
        <is>
          <t>Enchantment / Encantamento</t>
        </is>
      </c>
      <c r="C4011" s="13" t="inlineStr">
        <is>
          <t>Uncommon / Incomum</t>
        </is>
      </c>
      <c r="D4011" s="13" t="inlineStr">
        <is>
          <t>Tap two untapped artifacts you control: This enchantment deals 1 damage to any target. / Vire dois artefatos desvirados que você controla: Grade de Éter de Ghirapur causa 1 ponto de dano à criatura ou ao jogador alvo.</t>
        </is>
      </c>
      <c r="E4011" s="13" t="inlineStr">
        <is>
          <t>{2}{R}</t>
        </is>
      </c>
      <c r="F4011" s="13" t="inlineStr">
        <is>
          <t>Vermelho</t>
        </is>
      </c>
      <c r="G4011" s="8" t="n">
        <v>0.1</v>
      </c>
      <c r="H4011" s="13" t="inlineStr">
        <is>
          <t>Magic Origins (ORI)</t>
        </is>
      </c>
      <c r="I4011" s="13" t="inlineStr">
        <is>
          <t>Não</t>
        </is>
      </c>
      <c r="J4011" s="13" t="n">
        <v>2015</v>
      </c>
      <c r="L4011" s="13" t="n">
        <v>1</v>
      </c>
      <c r="M4011" s="8">
        <f>L4011*G4011</f>
        <v/>
      </c>
      <c r="P4011" s="9" t="n"/>
    </row>
    <row r="4012">
      <c r="A4012" s="13" t="inlineStr">
        <is>
          <t>Madcap Skills / Habilidades do Inconsequente</t>
        </is>
      </c>
      <c r="B4012" s="13" t="inlineStr">
        <is>
          <t>Enchantment — Aura / Encantamento — Aura</t>
        </is>
      </c>
      <c r="C4012" s="13" t="inlineStr">
        <is>
          <t>Common / Comum</t>
        </is>
      </c>
      <c r="D4012" s="13" t="inlineStr">
        <is>
          <t>Enchant creature Enchanted creature gets +3/+0 and has menace. / Encantar criaturaA criatura encantada ganha +3/+0 e só pode ser bloqueada por duas ou mais criaturas.</t>
        </is>
      </c>
      <c r="E4012" s="13" t="inlineStr">
        <is>
          <t>{1}{R}</t>
        </is>
      </c>
      <c r="F4012" s="13" t="inlineStr">
        <is>
          <t>Vermelho</t>
        </is>
      </c>
      <c r="G4012" s="8" t="n">
        <v>0.06</v>
      </c>
      <c r="H4012" s="13" t="inlineStr">
        <is>
          <t>Gatecrash (GTC)</t>
        </is>
      </c>
      <c r="I4012" s="13" t="inlineStr">
        <is>
          <t>Não</t>
        </is>
      </c>
      <c r="J4012" s="13" t="n">
        <v>2013</v>
      </c>
      <c r="L4012" s="13" t="n">
        <v>1</v>
      </c>
      <c r="M4012" s="8">
        <f>L4012*G4012</f>
        <v/>
      </c>
      <c r="P4012" s="9" t="n"/>
    </row>
    <row r="4013">
      <c r="A4013" s="13" t="inlineStr">
        <is>
          <t>Iroas's Blessing / Bênção de Iroas</t>
        </is>
      </c>
      <c r="B4013" s="13" t="inlineStr">
        <is>
          <t>Enchantment — Aura / Encantamento — Aura</t>
        </is>
      </c>
      <c r="C4013" s="13" t="inlineStr">
        <is>
          <t>Common / Comum</t>
        </is>
      </c>
      <c r="D4013" s="13" t="inlineStr">
        <is>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is>
      </c>
      <c r="E4013" s="13" t="inlineStr">
        <is>
          <t>{3}{R}</t>
        </is>
      </c>
      <c r="F4013" s="13" t="inlineStr">
        <is>
          <t>Vermelho</t>
        </is>
      </c>
      <c r="G4013" s="8" t="n">
        <v>0.04</v>
      </c>
      <c r="H4013" s="13" t="inlineStr">
        <is>
          <t>Theros Beyond Death (THB)</t>
        </is>
      </c>
      <c r="I4013" s="13" t="inlineStr">
        <is>
          <t>Não</t>
        </is>
      </c>
      <c r="J4013" s="13" t="n">
        <v>2020</v>
      </c>
      <c r="L4013" s="13" t="n">
        <v>1</v>
      </c>
      <c r="M4013" s="8">
        <f>L4013*G4013</f>
        <v/>
      </c>
      <c r="P4013" s="9" t="n"/>
    </row>
    <row r="4014">
      <c r="A4014" s="13" t="inlineStr">
        <is>
          <t>Epiphany Storm / Tempestade de Epifanias</t>
        </is>
      </c>
      <c r="B4014" s="13" t="inlineStr">
        <is>
          <t>Enchantment — Aura / Encantamento — Aura</t>
        </is>
      </c>
      <c r="C4014" s="13" t="inlineStr">
        <is>
          <t>Common / Comum</t>
        </is>
      </c>
      <c r="D4014" s="13" t="inlineStr">
        <is>
          <t>Enchant creature Enchanted creature has "{R}, {T}, Discard a card: Draw a card." / Encantar criatura A criatura encantada tem "{R}, {T}, Descarte um card: Compre um card."</t>
        </is>
      </c>
      <c r="E4014" s="13" t="inlineStr">
        <is>
          <t>{R}</t>
        </is>
      </c>
      <c r="F4014" s="13" t="inlineStr">
        <is>
          <t>Vermelho</t>
        </is>
      </c>
      <c r="G4014" s="8" t="n">
        <v>0.04</v>
      </c>
      <c r="H4014" s="13" t="inlineStr">
        <is>
          <t>Born of the Gods (BNG)</t>
        </is>
      </c>
      <c r="I4014" s="13" t="inlineStr">
        <is>
          <t>Não</t>
        </is>
      </c>
      <c r="J4014" s="13" t="n">
        <v>2014</v>
      </c>
      <c r="L4014" s="13" t="n">
        <v>1</v>
      </c>
      <c r="M4014" s="8">
        <f>L4014*G4014</f>
        <v/>
      </c>
      <c r="P4014" s="9" t="n"/>
    </row>
    <row r="4015">
      <c r="A4015" s="13" t="inlineStr">
        <is>
          <t>Infectious Bloodlust / Sede de Sangue Infecciosa</t>
        </is>
      </c>
      <c r="B4015" s="13" t="inlineStr">
        <is>
          <t>Enchantment — Aura / Encantamento — Aura</t>
        </is>
      </c>
      <c r="C4015" s="13" t="inlineStr">
        <is>
          <t>Common / Comum</t>
        </is>
      </c>
      <c r="D4015" s="13"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4015" s="13" t="inlineStr">
        <is>
          <t>{1}{R}</t>
        </is>
      </c>
      <c r="F4015" s="13" t="inlineStr">
        <is>
          <t>Vermelho</t>
        </is>
      </c>
      <c r="G4015" s="8" t="n">
        <v>0.06</v>
      </c>
      <c r="H4015" s="13" t="inlineStr">
        <is>
          <t>Magic Origins (ORI)</t>
        </is>
      </c>
      <c r="I4015" s="13" t="inlineStr">
        <is>
          <t>Não</t>
        </is>
      </c>
      <c r="J4015" s="13" t="n">
        <v>2015</v>
      </c>
      <c r="L4015" s="13" t="n">
        <v>6</v>
      </c>
      <c r="M4015" s="8">
        <f>L4015*G4015</f>
        <v/>
      </c>
      <c r="P4015" s="9" t="n"/>
    </row>
    <row r="4016">
      <c r="A4016" s="13" t="inlineStr">
        <is>
          <t>Tilonalli's Crown / Coroa de Tilonalli</t>
        </is>
      </c>
      <c r="B4016" s="13" t="inlineStr">
        <is>
          <t>Enchantment — Aura / Encantamento — Aura</t>
        </is>
      </c>
      <c r="C4016" s="13" t="inlineStr">
        <is>
          <t>Common / Comum</t>
        </is>
      </c>
      <c r="D4016" s="13" t="inlineStr">
        <is>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is>
      </c>
      <c r="E4016" s="13" t="inlineStr">
        <is>
          <t>{1}{R}</t>
        </is>
      </c>
      <c r="F4016" s="13" t="inlineStr">
        <is>
          <t>Vermelho</t>
        </is>
      </c>
      <c r="G4016" s="8" t="n">
        <v>0.04</v>
      </c>
      <c r="H4016" s="13" t="inlineStr">
        <is>
          <t>Rivals of Ixalan (RIX)</t>
        </is>
      </c>
      <c r="I4016" s="13" t="inlineStr">
        <is>
          <t>Não</t>
        </is>
      </c>
      <c r="J4016" s="13" t="n">
        <v>2018</v>
      </c>
      <c r="L4016" s="13" t="n">
        <v>2</v>
      </c>
      <c r="M4016" s="8">
        <f>L4016*G4016</f>
        <v/>
      </c>
      <c r="P4016" s="9" t="n"/>
    </row>
    <row r="4017">
      <c r="A4017" s="13" t="inlineStr">
        <is>
          <t>Welding Sparks / Centelhas da Solda</t>
        </is>
      </c>
      <c r="B4017" s="13" t="inlineStr">
        <is>
          <t>Instant / Mágica Instantânea</t>
        </is>
      </c>
      <c r="C4017" s="13" t="inlineStr">
        <is>
          <t>Common / Comum</t>
        </is>
      </c>
      <c r="D4017" s="13" t="inlineStr">
        <is>
          <t>Welding Sparks deals X damage to target creature, where X is 3 plus the number of artifacts you control. / Centelhas da Solda causa X pontos de dano à criatura alvo, sendo X 3 mais o número de artefatos que você controla.</t>
        </is>
      </c>
      <c r="E4017" s="13" t="inlineStr">
        <is>
          <t>{2}{R}</t>
        </is>
      </c>
      <c r="F4017" s="13" t="inlineStr">
        <is>
          <t>Vermelho</t>
        </is>
      </c>
      <c r="G4017" s="8" t="n">
        <v>0.04</v>
      </c>
      <c r="H4017" s="13" t="inlineStr">
        <is>
          <t>Kaladesh (KLD)</t>
        </is>
      </c>
      <c r="I4017" s="13" t="inlineStr">
        <is>
          <t>Não</t>
        </is>
      </c>
      <c r="J4017" s="13" t="n">
        <v>2016</v>
      </c>
      <c r="L4017" s="13" t="n">
        <v>1</v>
      </c>
      <c r="M4017" s="8">
        <f>L4017*G4017</f>
        <v/>
      </c>
      <c r="P4017" s="9" t="n"/>
    </row>
    <row r="4018">
      <c r="A4018" s="13" t="inlineStr">
        <is>
          <t>Kindled Fury / Fúria Inflamada</t>
        </is>
      </c>
      <c r="B4018" s="13" t="inlineStr">
        <is>
          <t>Instant / Mágica Instantânea</t>
        </is>
      </c>
      <c r="C4018" s="13" t="inlineStr">
        <is>
          <t>Common / Comum</t>
        </is>
      </c>
      <c r="D4018" s="13" t="inlineStr">
        <is>
          <t>Target creature gets +1/+0 and gains first strike until end of turn. (It deals combat damage before creatures without first strike.) / A criatura alvo recebe +1/+0 e ganha iniciativa até o final do turno.</t>
        </is>
      </c>
      <c r="E4018" s="13" t="inlineStr">
        <is>
          <t>{R}</t>
        </is>
      </c>
      <c r="F4018" s="13" t="inlineStr">
        <is>
          <t>Vermelho</t>
        </is>
      </c>
      <c r="G4018" s="8" t="n">
        <v>0.05</v>
      </c>
      <c r="H4018" s="13" t="inlineStr">
        <is>
          <t>Magic 2010 (M10)</t>
        </is>
      </c>
      <c r="I4018" s="13" t="inlineStr">
        <is>
          <t>Não</t>
        </is>
      </c>
      <c r="J4018" s="13" t="n">
        <v>2009</v>
      </c>
      <c r="L4018" s="13" t="n">
        <v>1</v>
      </c>
      <c r="M4018" s="8">
        <f>L4018*G4018</f>
        <v/>
      </c>
      <c r="P4018" s="9" t="n"/>
    </row>
    <row r="4019">
      <c r="A4019" s="13" t="inlineStr">
        <is>
          <t>Abandon Reason / Abandonar a Razão</t>
        </is>
      </c>
      <c r="B4019" s="13" t="inlineStr">
        <is>
          <t>Instant / Mágica Instantânea</t>
        </is>
      </c>
      <c r="C4019" s="13" t="inlineStr">
        <is>
          <t>Uncommon / Incomum</t>
        </is>
      </c>
      <c r="D4019" s="13" t="inlineStr">
        <is>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is>
      </c>
      <c r="E4019" s="13" t="inlineStr">
        <is>
          <t>{2}{R}</t>
        </is>
      </c>
      <c r="F4019" s="13" t="inlineStr">
        <is>
          <t>Vermelho</t>
        </is>
      </c>
      <c r="G4019" s="8" t="n">
        <v>0.06</v>
      </c>
      <c r="H4019" s="13" t="inlineStr">
        <is>
          <t>Eldritch Moon (EMN)</t>
        </is>
      </c>
      <c r="I4019" s="13" t="inlineStr">
        <is>
          <t>Não</t>
        </is>
      </c>
      <c r="J4019" s="13" t="n">
        <v>2016</v>
      </c>
      <c r="L4019" s="13" t="n">
        <v>1</v>
      </c>
      <c r="M4019" s="8">
        <f>L4019*G4019</f>
        <v/>
      </c>
      <c r="P4019" s="9" t="n"/>
    </row>
    <row r="4020">
      <c r="A4020" s="13" t="inlineStr">
        <is>
          <t>Storm Strike / Golpe da Tempestade</t>
        </is>
      </c>
      <c r="B4020" s="13" t="inlineStr">
        <is>
          <t>Instant / Mágica Instantânea</t>
        </is>
      </c>
      <c r="C4020" s="13" t="inlineStr">
        <is>
          <t>Common / Comum</t>
        </is>
      </c>
      <c r="D4020" s="13" t="inlineStr">
        <is>
          <t>Target creature gets +1/+0 and gains first strike until end of turn. Scry 1. / A criatura alvo recebe +1/+0 e ganha iniciativa até o final do turno. Vidência 1.</t>
        </is>
      </c>
      <c r="E4020" s="13" t="inlineStr">
        <is>
          <t>{R}</t>
        </is>
      </c>
      <c r="F4020" s="13" t="inlineStr">
        <is>
          <t>Vermelho</t>
        </is>
      </c>
      <c r="G4020" s="8" t="n">
        <v>0.04</v>
      </c>
      <c r="H4020" s="13" t="inlineStr">
        <is>
          <t>Ravnica Allegiance (RNA)</t>
        </is>
      </c>
      <c r="I4020" s="13" t="inlineStr">
        <is>
          <t>Não</t>
        </is>
      </c>
      <c r="J4020" s="13" t="n">
        <v>2019</v>
      </c>
      <c r="L4020" s="13" t="n">
        <v>1</v>
      </c>
      <c r="M4020" s="8">
        <f>L4020*G4020</f>
        <v/>
      </c>
      <c r="P4020" s="9" t="n"/>
    </row>
    <row r="4021">
      <c r="A4021" s="13" t="inlineStr">
        <is>
          <t>Burn Bright / Ira Ardente</t>
        </is>
      </c>
      <c r="B4021" s="13" t="inlineStr">
        <is>
          <t>Instant / Mágica Instantânea</t>
        </is>
      </c>
      <c r="C4021" s="13" t="inlineStr">
        <is>
          <t>Common / Comum</t>
        </is>
      </c>
      <c r="D4021" s="13" t="inlineStr">
        <is>
          <t>Creatures you control get +2/+0 until end of turn. / As criaturas que você controla recebem +2/+0 até o final do turno.</t>
        </is>
      </c>
      <c r="E4021" s="13" t="inlineStr">
        <is>
          <t>{2}{R}</t>
        </is>
      </c>
      <c r="F4021" s="13" t="inlineStr">
        <is>
          <t>Vermelho</t>
        </is>
      </c>
      <c r="G4021" s="8" t="n">
        <v>0.04</v>
      </c>
      <c r="H4021" s="13" t="inlineStr">
        <is>
          <t>Ravnica Allegiance (RNA)</t>
        </is>
      </c>
      <c r="I4021" s="13" t="inlineStr">
        <is>
          <t>Não</t>
        </is>
      </c>
      <c r="J4021" s="13" t="n">
        <v>2019</v>
      </c>
      <c r="L4021" s="13" t="n">
        <v>1</v>
      </c>
      <c r="M4021" s="8">
        <f>L4021*G4021</f>
        <v/>
      </c>
      <c r="P4021" s="9" t="n"/>
    </row>
    <row r="4022">
      <c r="A4022" s="13" t="inlineStr">
        <is>
          <t>Scorchmark / Marca em Brasa</t>
        </is>
      </c>
      <c r="B4022" s="13" t="inlineStr">
        <is>
          <t>Instant / Mágica Instantânea</t>
        </is>
      </c>
      <c r="C4022" s="13" t="inlineStr">
        <is>
          <t>Common / Comum</t>
        </is>
      </c>
      <c r="D4022" s="13" t="inlineStr">
        <is>
          <t>Scorchmark deals 2 damage to target creature. If that creature would die this turn, exile it instead. / Marca em Brasa causa 2 pontos de dano à criatura alvo. Se aquela criatura for morrer neste turno, em vez disso, exile-a.</t>
        </is>
      </c>
      <c r="E4022" s="13" t="inlineStr">
        <is>
          <t>{1}{R}</t>
        </is>
      </c>
      <c r="F4022" s="13" t="inlineStr">
        <is>
          <t>Vermelho</t>
        </is>
      </c>
      <c r="G4022" s="8" t="n">
        <v>0.04</v>
      </c>
      <c r="H4022" s="13" t="inlineStr">
        <is>
          <t>Ravnica Allegiance (RNA)</t>
        </is>
      </c>
      <c r="I4022" s="13" t="inlineStr">
        <is>
          <t>Não</t>
        </is>
      </c>
      <c r="J4022" s="13" t="n">
        <v>2019</v>
      </c>
      <c r="L4022" s="13" t="n">
        <v>1</v>
      </c>
      <c r="M4022" s="8">
        <f>L4022*G4022</f>
        <v/>
      </c>
      <c r="P4022" s="9" t="n"/>
    </row>
    <row r="4023">
      <c r="A4023" s="13" t="inlineStr">
        <is>
          <t>Chandra's Fury / Fúria de Chandra</t>
        </is>
      </c>
      <c r="B4023" s="13" t="inlineStr">
        <is>
          <t>Instant / Mágica Instantânea</t>
        </is>
      </c>
      <c r="C4023" s="13" t="inlineStr">
        <is>
          <t>Common / Comum</t>
        </is>
      </c>
      <c r="D4023" s="13" t="inlineStr">
        <is>
          <t>Chandra's Fury deals 4 damage to target player or planeswalker and 1 damage to each creature that player or that planeswalker's controller controls. / Fúria de Chandra causa 4 pontos de dano ao jogador alvo e 1 ponto de dano a cada criatura que aquele jogador controla.</t>
        </is>
      </c>
      <c r="E4023" s="13" t="inlineStr">
        <is>
          <t>{4}{R}</t>
        </is>
      </c>
      <c r="F4023" s="13" t="inlineStr">
        <is>
          <t>Vermelho</t>
        </is>
      </c>
      <c r="G4023" s="8" t="n">
        <v>0.05</v>
      </c>
      <c r="H4023" s="13" t="inlineStr">
        <is>
          <t>Magic 2013 (M13)</t>
        </is>
      </c>
      <c r="I4023" s="13" t="inlineStr">
        <is>
          <t>Não</t>
        </is>
      </c>
      <c r="J4023" s="13" t="n">
        <v>2012</v>
      </c>
      <c r="L4023" s="13" t="n">
        <v>6</v>
      </c>
      <c r="M4023" s="8">
        <f>L4023*G4023</f>
        <v/>
      </c>
      <c r="P4023" s="9" t="n"/>
    </row>
    <row r="4024">
      <c r="A4024" s="13" t="inlineStr">
        <is>
          <t>Titan's Strength / Força de Titã</t>
        </is>
      </c>
      <c r="B4024" s="13" t="inlineStr">
        <is>
          <t>Instant / Mágica Instantânea</t>
        </is>
      </c>
      <c r="C4024" s="13" t="inlineStr">
        <is>
          <t>Common / Comum</t>
        </is>
      </c>
      <c r="D4024" s="13" t="inlineStr">
        <is>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is>
      </c>
      <c r="E4024" s="13" t="inlineStr">
        <is>
          <t>{R}</t>
        </is>
      </c>
      <c r="F4024" s="13" t="inlineStr">
        <is>
          <t>Vermelho</t>
        </is>
      </c>
      <c r="G4024" s="8" t="n">
        <v>0.05</v>
      </c>
      <c r="H4024" s="13" t="inlineStr">
        <is>
          <t>Magic Origins (ORI)</t>
        </is>
      </c>
      <c r="I4024" s="13" t="inlineStr">
        <is>
          <t>Não</t>
        </is>
      </c>
      <c r="J4024" s="13" t="n">
        <v>2015</v>
      </c>
      <c r="L4024" s="13" t="n">
        <v>4</v>
      </c>
      <c r="M4024" s="8">
        <f>L4024*G4024</f>
        <v/>
      </c>
      <c r="P4024" s="9" t="n"/>
    </row>
    <row r="4025">
      <c r="A4025" s="13" t="inlineStr">
        <is>
          <t>Chandra's Pyrohelix / Piro-hélice de Chandra</t>
        </is>
      </c>
      <c r="B4025" s="13" t="inlineStr">
        <is>
          <t>Instant / Mágica Instantânea</t>
        </is>
      </c>
      <c r="C4025" s="13" t="inlineStr">
        <is>
          <t>Common / Comum</t>
        </is>
      </c>
      <c r="D4025" s="13" t="inlineStr">
        <is>
          <t>Chandra's Pyrohelix deals 2 damage divided as you choose among one or two targets. / Piro-hélice de Chandra causa 2 pontos de dano distribuídos a sua escolha entre uma ou duas criaturas e/ou jogadores alvo.</t>
        </is>
      </c>
      <c r="E4025" s="13" t="inlineStr">
        <is>
          <t>{1}{R}</t>
        </is>
      </c>
      <c r="F4025" s="13" t="inlineStr">
        <is>
          <t>Vermelho</t>
        </is>
      </c>
      <c r="G4025" s="8" t="n">
        <v>0.04</v>
      </c>
      <c r="H4025" s="13" t="inlineStr">
        <is>
          <t>War of the Spark (WAR)</t>
        </is>
      </c>
      <c r="I4025" s="13" t="inlineStr">
        <is>
          <t>Não</t>
        </is>
      </c>
      <c r="J4025" s="13" t="n">
        <v>2019</v>
      </c>
      <c r="L4025" s="13" t="n">
        <v>2</v>
      </c>
      <c r="M4025" s="8">
        <f>L4025*G4025</f>
        <v/>
      </c>
      <c r="P4025" s="9" t="n"/>
    </row>
    <row r="4026">
      <c r="A4026" s="13" t="inlineStr">
        <is>
          <t>Demolish / Demolir</t>
        </is>
      </c>
      <c r="B4026" s="13" t="inlineStr">
        <is>
          <t>Sorcery / Feitiço</t>
        </is>
      </c>
      <c r="C4026" s="13" t="inlineStr">
        <is>
          <t>Common / Comum</t>
        </is>
      </c>
      <c r="D4026" s="13" t="inlineStr">
        <is>
          <t>Destroy target artifact or land. / Destrua o artefato ou terreno alvo.</t>
        </is>
      </c>
      <c r="E4026" s="13" t="inlineStr">
        <is>
          <t>{3}{R}</t>
        </is>
      </c>
      <c r="F4026" s="13" t="inlineStr">
        <is>
          <t>Vermelho</t>
        </is>
      </c>
      <c r="G4026" s="8" t="n">
        <v>0.05</v>
      </c>
      <c r="H4026" s="13" t="inlineStr">
        <is>
          <t>Magic Origins (ORI)</t>
        </is>
      </c>
      <c r="I4026" s="13" t="inlineStr">
        <is>
          <t>Não</t>
        </is>
      </c>
      <c r="J4026" s="13" t="n">
        <v>2015</v>
      </c>
      <c r="L4026" s="13" t="n">
        <v>10</v>
      </c>
      <c r="M4026" s="8">
        <f>L4026*G4026</f>
        <v/>
      </c>
      <c r="P4026" s="9" t="n"/>
    </row>
    <row r="4027">
      <c r="A4027" s="13" t="inlineStr">
        <is>
          <t>Act of Treason / Ato de Traição</t>
        </is>
      </c>
      <c r="B4027" s="13" t="inlineStr">
        <is>
          <t>Sorcery / Feitiço</t>
        </is>
      </c>
      <c r="C4027" s="13" t="inlineStr">
        <is>
          <t>Common / Comum</t>
        </is>
      </c>
      <c r="D4027" s="13"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027" s="13" t="inlineStr">
        <is>
          <t>{2}{R}</t>
        </is>
      </c>
      <c r="F4027" s="13" t="inlineStr">
        <is>
          <t>Vermelho</t>
        </is>
      </c>
      <c r="G4027" s="8" t="n">
        <v>0.05</v>
      </c>
      <c r="H4027" s="13" t="inlineStr">
        <is>
          <t>Magic Origins (ORI)</t>
        </is>
      </c>
      <c r="I4027" s="13" t="inlineStr">
        <is>
          <t>Não</t>
        </is>
      </c>
      <c r="J4027" s="13" t="n">
        <v>2015</v>
      </c>
      <c r="L4027" s="13" t="n">
        <v>11</v>
      </c>
      <c r="M4027" s="8">
        <f>L4027*G4027</f>
        <v/>
      </c>
      <c r="P4027" s="9" t="n"/>
    </row>
    <row r="4028">
      <c r="A4028" s="13" t="inlineStr">
        <is>
          <t>Lightning Javelin / Azagaia de Raio</t>
        </is>
      </c>
      <c r="B4028" s="13" t="inlineStr">
        <is>
          <t>Sorcery / Feitiço</t>
        </is>
      </c>
      <c r="C4028" s="13" t="inlineStr">
        <is>
          <t>Common / Comum</t>
        </is>
      </c>
      <c r="D4028" s="13" t="inlineStr">
        <is>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is>
      </c>
      <c r="E4028" s="13" t="inlineStr">
        <is>
          <t>{3}{R}</t>
        </is>
      </c>
      <c r="F4028" s="13" t="inlineStr">
        <is>
          <t>Vermelho</t>
        </is>
      </c>
      <c r="G4028" s="8" t="n">
        <v>0.06</v>
      </c>
      <c r="H4028" s="13" t="inlineStr">
        <is>
          <t>Magic Origins (ORI)</t>
        </is>
      </c>
      <c r="I4028" s="13" t="inlineStr">
        <is>
          <t>Não</t>
        </is>
      </c>
      <c r="J4028" s="13" t="n">
        <v>2015</v>
      </c>
      <c r="L4028" s="13" t="n">
        <v>6</v>
      </c>
      <c r="M4028" s="8">
        <f>L4028*G4028</f>
        <v/>
      </c>
      <c r="P4028" s="9" t="n"/>
    </row>
    <row r="4029">
      <c r="A4029" s="13" t="inlineStr">
        <is>
          <t>Rolling Thunder / Trovoada Ribombante</t>
        </is>
      </c>
      <c r="B4029" s="13" t="inlineStr">
        <is>
          <t>Sorcery / Feitiço</t>
        </is>
      </c>
      <c r="C4029" s="13" t="inlineStr">
        <is>
          <t>Uncommon / Incomum</t>
        </is>
      </c>
      <c r="D4029" s="13" t="inlineStr">
        <is>
          <t>Rolling Thunder deals X damage divided as you choose among any number of targets. / Trovoada Ribombante causa X pontos de dano distribuídos à sua escolha entre qualquer número de criaturas e/ou jogadores alvo.</t>
        </is>
      </c>
      <c r="E4029" s="13" t="inlineStr">
        <is>
          <t>{X}{R}{R}</t>
        </is>
      </c>
      <c r="F4029" s="13" t="inlineStr">
        <is>
          <t>Vermelho</t>
        </is>
      </c>
      <c r="G4029" s="8" t="n">
        <v>0.09</v>
      </c>
      <c r="H4029" s="13" t="inlineStr">
        <is>
          <t>Battle for Zendikar (BFZ)</t>
        </is>
      </c>
      <c r="I4029" s="13" t="inlineStr">
        <is>
          <t>Não</t>
        </is>
      </c>
      <c r="J4029" s="13" t="n">
        <v>2015</v>
      </c>
      <c r="L4029" s="13" t="n">
        <v>1</v>
      </c>
      <c r="M4029" s="8">
        <f>L4029*G4029</f>
        <v/>
      </c>
      <c r="P4029" s="9" t="n"/>
    </row>
    <row r="4030">
      <c r="A4030" s="13" t="inlineStr">
        <is>
          <t>Devour in Flames / Devorar nas Chamas</t>
        </is>
      </c>
      <c r="B4030" s="13" t="inlineStr">
        <is>
          <t>Sorcery / Feitiço</t>
        </is>
      </c>
      <c r="C4030" s="13" t="inlineStr">
        <is>
          <t>Uncommon / Incomum</t>
        </is>
      </c>
      <c r="D4030" s="13" t="inlineStr">
        <is>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is>
      </c>
      <c r="E4030" s="13" t="inlineStr">
        <is>
          <t>{2}{R}</t>
        </is>
      </c>
      <c r="F4030" s="13" t="inlineStr">
        <is>
          <t>Vermelho</t>
        </is>
      </c>
      <c r="G4030" s="8" t="n">
        <v>0.05</v>
      </c>
      <c r="H4030" s="13" t="inlineStr">
        <is>
          <t>Oath of the Gatewatch (OGW)</t>
        </is>
      </c>
      <c r="I4030" s="13" t="inlineStr">
        <is>
          <t>Não</t>
        </is>
      </c>
      <c r="J4030" s="13" t="n">
        <v>2016</v>
      </c>
      <c r="L4030" s="13" t="n">
        <v>1</v>
      </c>
      <c r="M4030" s="8">
        <f>L4030*G4030</f>
        <v/>
      </c>
      <c r="P4030" s="9" t="n"/>
    </row>
    <row r="4031">
      <c r="A4031" s="13" t="inlineStr">
        <is>
          <t>Cathartic Reunion / Reunião Catártica</t>
        </is>
      </c>
      <c r="B4031" s="13" t="inlineStr">
        <is>
          <t>Sorcery / Feitiço</t>
        </is>
      </c>
      <c r="C4031" s="13" t="inlineStr">
        <is>
          <t>Common / Comum</t>
        </is>
      </c>
      <c r="D4031" s="13" t="inlineStr">
        <is>
          <t>As an additional cost to cast this spell, discard two cards. Draw three cards. / Como custo adicional para conjurar esta mágica, descarte dois cards. Compre três cards.</t>
        </is>
      </c>
      <c r="E4031" s="13" t="inlineStr">
        <is>
          <t>{1}{R}</t>
        </is>
      </c>
      <c r="F4031" s="13" t="inlineStr">
        <is>
          <t>Vermelho</t>
        </is>
      </c>
      <c r="G4031" s="8" t="n">
        <v>0.05</v>
      </c>
      <c r="H4031" s="13" t="inlineStr">
        <is>
          <t>Kaladesh (KLD)</t>
        </is>
      </c>
      <c r="I4031" s="13" t="inlineStr">
        <is>
          <t>Não</t>
        </is>
      </c>
      <c r="J4031" s="13" t="n">
        <v>2016</v>
      </c>
      <c r="L4031" s="13" t="n">
        <v>2</v>
      </c>
      <c r="M4031" s="8">
        <f>L4031*G4031</f>
        <v/>
      </c>
      <c r="P4031" s="9" t="n"/>
    </row>
    <row r="4032">
      <c r="A4032" s="13" t="inlineStr">
        <is>
          <t>Demolish / Demolir</t>
        </is>
      </c>
      <c r="B4032" s="13" t="inlineStr">
        <is>
          <t>Sorcery / Feitiço</t>
        </is>
      </c>
      <c r="C4032" s="13" t="inlineStr">
        <is>
          <t>Common / Comum</t>
        </is>
      </c>
      <c r="D4032" s="13" t="inlineStr">
        <is>
          <t>Destroy target artifact or land. / Destrua o artefato ou terreno alvo.</t>
        </is>
      </c>
      <c r="E4032" s="13" t="inlineStr">
        <is>
          <t>{3}{R}</t>
        </is>
      </c>
      <c r="F4032" s="13" t="inlineStr">
        <is>
          <t>Vermelho</t>
        </is>
      </c>
      <c r="G4032" s="8" t="n">
        <v>0.04</v>
      </c>
      <c r="H4032" s="13" t="inlineStr">
        <is>
          <t>Kaladesh (KLD)</t>
        </is>
      </c>
      <c r="I4032" s="13" t="inlineStr">
        <is>
          <t>Não</t>
        </is>
      </c>
      <c r="J4032" s="13" t="n">
        <v>2016</v>
      </c>
      <c r="L4032" s="13" t="n">
        <v>3</v>
      </c>
      <c r="M4032" s="8">
        <f>L4032*G4032</f>
        <v/>
      </c>
      <c r="P4032" s="9" t="n"/>
    </row>
    <row r="4033">
      <c r="A4033" s="13" t="inlineStr">
        <is>
          <t>Reduce to Ashes / Reduzir a Cinzas</t>
        </is>
      </c>
      <c r="B4033" s="13" t="inlineStr">
        <is>
          <t>Sorcery / Feitiço</t>
        </is>
      </c>
      <c r="C4033" s="13" t="inlineStr">
        <is>
          <t>Common / Comum</t>
        </is>
      </c>
      <c r="D4033" s="13" t="inlineStr">
        <is>
          <t>Reduce to Ashes deals 5 damage to target creature. If that creature would die this turn, exile it instead. / Reduzir a Cinzas causa 5 pontos de dano à criatura alvo. Se aquela criatura for morrer neste turno, em vez disso, exile-a.</t>
        </is>
      </c>
      <c r="E4033" s="13" t="inlineStr">
        <is>
          <t>{4}{R}</t>
        </is>
      </c>
      <c r="F4033" s="13" t="inlineStr">
        <is>
          <t>Vermelho</t>
        </is>
      </c>
      <c r="G4033" s="8" t="n">
        <v>0.04</v>
      </c>
      <c r="H4033" s="13" t="inlineStr">
        <is>
          <t>Shadows over Innistrad (SOI)</t>
        </is>
      </c>
      <c r="I4033" s="13" t="inlineStr">
        <is>
          <t>Não</t>
        </is>
      </c>
      <c r="J4033" s="13" t="n">
        <v>2016</v>
      </c>
      <c r="L4033" s="13" t="n">
        <v>2</v>
      </c>
      <c r="M4033" s="8">
        <f>L4033*G4033</f>
        <v/>
      </c>
      <c r="P4033" s="9" t="n"/>
    </row>
    <row r="4034">
      <c r="A4034" s="13" t="inlineStr">
        <is>
          <t>Rubble Reading / Escombromancia</t>
        </is>
      </c>
      <c r="B4034" s="13" t="inlineStr">
        <is>
          <t>Sorcery / Feitiço</t>
        </is>
      </c>
      <c r="C4034" s="13" t="inlineStr">
        <is>
          <t>Common / Comum</t>
        </is>
      </c>
      <c r="D4034" s="13" t="inlineStr">
        <is>
          <t>Destroy target land. Scry 2. / Destrua o terreno alvo. Vidência 2.</t>
        </is>
      </c>
      <c r="E4034" s="13" t="inlineStr">
        <is>
          <t>{3}{R}</t>
        </is>
      </c>
      <c r="F4034" s="13" t="inlineStr">
        <is>
          <t>Vermelho</t>
        </is>
      </c>
      <c r="G4034" s="8" t="n">
        <v>0.04</v>
      </c>
      <c r="H4034" s="13" t="inlineStr">
        <is>
          <t>Ravnica Allegiance (RNA)</t>
        </is>
      </c>
      <c r="I4034" s="13" t="inlineStr">
        <is>
          <t>Não</t>
        </is>
      </c>
      <c r="J4034" s="13" t="n">
        <v>2019</v>
      </c>
      <c r="L4034" s="13" t="n">
        <v>2</v>
      </c>
      <c r="M4034" s="8">
        <f>L4034*G4034</f>
        <v/>
      </c>
      <c r="P4034" s="9" t="n"/>
    </row>
    <row r="4035">
      <c r="A4035" s="13" t="inlineStr">
        <is>
          <t>Demolish / Demolir</t>
        </is>
      </c>
      <c r="B4035" s="13" t="inlineStr">
        <is>
          <t>Sorcery / Feitiço</t>
        </is>
      </c>
      <c r="C4035" s="13" t="inlineStr">
        <is>
          <t>Common / Comum</t>
        </is>
      </c>
      <c r="D4035" s="13" t="inlineStr">
        <is>
          <t>Destroy target artifact or land. / Destrua o artefato ou terreno alvo.</t>
        </is>
      </c>
      <c r="E4035" s="13" t="inlineStr">
        <is>
          <t>{3}{R}</t>
        </is>
      </c>
      <c r="F4035" s="13" t="inlineStr">
        <is>
          <t>Vermelho</t>
        </is>
      </c>
      <c r="G4035" s="8" t="n">
        <v>0.04</v>
      </c>
      <c r="H4035" s="13" t="inlineStr">
        <is>
          <t>Theros (THS)</t>
        </is>
      </c>
      <c r="I4035" s="13" t="inlineStr">
        <is>
          <t>Não</t>
        </is>
      </c>
      <c r="J4035" s="13" t="n">
        <v>2013</v>
      </c>
      <c r="L4035" s="13" t="n">
        <v>1</v>
      </c>
      <c r="M4035" s="8">
        <f>L4035*G4035</f>
        <v/>
      </c>
      <c r="P4035" s="9" t="n"/>
    </row>
    <row r="4036">
      <c r="A4036" s="13" t="inlineStr">
        <is>
          <t>Rage of Purphoros / Ira de Púrforo</t>
        </is>
      </c>
      <c r="B4036" s="13" t="inlineStr">
        <is>
          <t>Sorcery / Feitiço</t>
        </is>
      </c>
      <c r="C4036" s="13" t="inlineStr">
        <is>
          <t>Common / Comum</t>
        </is>
      </c>
      <c r="D4036" s="13" t="inlineStr">
        <is>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is>
      </c>
      <c r="E4036" s="13" t="inlineStr">
        <is>
          <t>{4}{R}</t>
        </is>
      </c>
      <c r="F4036" s="13" t="inlineStr">
        <is>
          <t>Vermelho</t>
        </is>
      </c>
      <c r="G4036" s="8" t="n">
        <v>0.06</v>
      </c>
      <c r="H4036" s="13" t="inlineStr">
        <is>
          <t>Theros (THS)</t>
        </is>
      </c>
      <c r="I4036" s="13" t="inlineStr">
        <is>
          <t>Não</t>
        </is>
      </c>
      <c r="J4036" s="13" t="n">
        <v>2013</v>
      </c>
      <c r="L4036" s="13" t="n">
        <v>1</v>
      </c>
      <c r="M4036" s="8">
        <f>L4036*G4036</f>
        <v/>
      </c>
      <c r="P4036" s="9" t="n"/>
    </row>
    <row r="4037">
      <c r="A4037" s="13" t="inlineStr">
        <is>
          <t>Structural Distortion / Distorção Estrutural</t>
        </is>
      </c>
      <c r="B4037" s="13" t="inlineStr">
        <is>
          <t>Sorcery / Feitiço</t>
        </is>
      </c>
      <c r="C4037" s="13" t="inlineStr">
        <is>
          <t>Common / Comum</t>
        </is>
      </c>
      <c r="D4037" s="13" t="inlineStr">
        <is>
          <t>Exile target artifact or land. Structural Distortion deals 2 damage to that permanent's controller. / Exile o artefato ou terreno alvo. Distorção Estrutural causa 2 pontos de dano ao controlador daquela permanente.</t>
        </is>
      </c>
      <c r="E4037" s="13" t="inlineStr">
        <is>
          <t>{3}{R}</t>
        </is>
      </c>
      <c r="F4037" s="13" t="inlineStr">
        <is>
          <t>Vermelho</t>
        </is>
      </c>
      <c r="G4037" s="8" t="n">
        <v>0.05</v>
      </c>
      <c r="H4037" s="13" t="inlineStr">
        <is>
          <t>Shadows over Innistrad (SOI)</t>
        </is>
      </c>
      <c r="I4037" s="13" t="inlineStr">
        <is>
          <t>Não</t>
        </is>
      </c>
      <c r="J4037" s="13" t="n">
        <v>2016</v>
      </c>
      <c r="L4037" s="13" t="n">
        <v>1</v>
      </c>
      <c r="M4037" s="8">
        <f>L4037*G4037</f>
        <v/>
      </c>
      <c r="P4037" s="9" t="n"/>
    </row>
    <row r="4038">
      <c r="A4038" s="13" t="inlineStr">
        <is>
          <t>Portent of Betrayal / Presságio de Traição</t>
        </is>
      </c>
      <c r="B4038" s="13" t="inlineStr">
        <is>
          <t>Sorcery / Feitiço</t>
        </is>
      </c>
      <c r="C4038" s="13" t="inlineStr">
        <is>
          <t>Common / Comum</t>
        </is>
      </c>
      <c r="D4038" s="13"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4038" s="13" t="inlineStr">
        <is>
          <t>{3}{R}</t>
        </is>
      </c>
      <c r="F4038" s="13" t="inlineStr">
        <is>
          <t>Vermelho</t>
        </is>
      </c>
      <c r="G4038" s="8" t="n">
        <v>0.04</v>
      </c>
      <c r="H4038" s="13" t="inlineStr">
        <is>
          <t>Theros Beyond Death (THB)</t>
        </is>
      </c>
      <c r="I4038" s="13" t="inlineStr">
        <is>
          <t>Não</t>
        </is>
      </c>
      <c r="J4038" s="13" t="n">
        <v>2020</v>
      </c>
      <c r="L4038" s="13" t="n">
        <v>1</v>
      </c>
      <c r="M4038" s="8">
        <f>L4038*G4038</f>
        <v/>
      </c>
      <c r="P4038" s="9" t="n"/>
    </row>
    <row r="4039">
      <c r="A4039" s="13" t="inlineStr">
        <is>
          <t>Pigment Storm / Tempestade Pigmentar</t>
        </is>
      </c>
      <c r="B4039" s="13" t="inlineStr">
        <is>
          <t>Sorcery / Feitiço</t>
        </is>
      </c>
      <c r="C4039" s="13" t="inlineStr">
        <is>
          <t>Common / Comum</t>
        </is>
      </c>
      <c r="D4039" s="13" t="inlineStr">
        <is>
          <t>Pigment Storm deals 5 damage to target creature. Excess damage is dealt to that creature's controller instead. / Tempestade Pigmentar causa 5 pontos de dano à criatura alvo. O dano excedente será causado, em vez disso, ao controlador daquela criatura.</t>
        </is>
      </c>
      <c r="E4039" s="13" t="inlineStr">
        <is>
          <t>{3}{R}{R}</t>
        </is>
      </c>
      <c r="F4039" s="13" t="inlineStr">
        <is>
          <t>Vermelho</t>
        </is>
      </c>
      <c r="G4039" s="8" t="n">
        <v>0.05</v>
      </c>
      <c r="H4039" s="13" t="inlineStr">
        <is>
          <t>Strixhaven: School of Mages (STX)</t>
        </is>
      </c>
      <c r="I4039" s="13" t="inlineStr">
        <is>
          <t>Não</t>
        </is>
      </c>
      <c r="J4039" s="13" t="n">
        <v>2021</v>
      </c>
      <c r="L4039" s="13" t="n">
        <v>1</v>
      </c>
      <c r="M4039" s="8">
        <f>L4039*G4039</f>
        <v/>
      </c>
      <c r="P4039" s="9" t="n"/>
    </row>
    <row r="4040">
      <c r="A4040" s="13" t="inlineStr">
        <is>
          <t>Renegade Tactics / Tática dos Renegados</t>
        </is>
      </c>
      <c r="B4040" s="13" t="inlineStr">
        <is>
          <t>Sorcery / Feitiço</t>
        </is>
      </c>
      <c r="C4040" s="13" t="inlineStr">
        <is>
          <t>Common / Comum</t>
        </is>
      </c>
      <c r="D4040" s="13" t="inlineStr">
        <is>
          <t>Target creature can't block this turn. Draw a card. / A criatura alvo não pode bloquear neste turno. Compre um card.</t>
        </is>
      </c>
      <c r="E4040" s="13" t="inlineStr">
        <is>
          <t>{R}</t>
        </is>
      </c>
      <c r="F4040" s="13" t="inlineStr">
        <is>
          <t>Vermelho</t>
        </is>
      </c>
      <c r="G4040" s="8" t="n">
        <v>0.07000000000000001</v>
      </c>
      <c r="H4040" s="13" t="inlineStr">
        <is>
          <t>Kaladesh (KLD)</t>
        </is>
      </c>
      <c r="I4040" s="13" t="inlineStr">
        <is>
          <t>Não</t>
        </is>
      </c>
      <c r="J4040" s="13" t="n">
        <v>2016</v>
      </c>
      <c r="L4040" s="13" t="n">
        <v>1</v>
      </c>
      <c r="M4040" s="8">
        <f>L4040*G4040</f>
        <v/>
      </c>
      <c r="P4040" s="9" t="n"/>
    </row>
    <row r="4041">
      <c r="A4041" s="13" t="inlineStr">
        <is>
          <t>Processor Assault / Assalto do Processador</t>
        </is>
      </c>
      <c r="B4041" s="13" t="inlineStr">
        <is>
          <t>Sorcery / Feitiço</t>
        </is>
      </c>
      <c r="C4041" s="13" t="inlineStr">
        <is>
          <t>Uncommon / Incomum</t>
        </is>
      </c>
      <c r="D4041" s="13" t="inlineStr">
        <is>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is>
      </c>
      <c r="E4041" s="13" t="inlineStr">
        <is>
          <t>{1}{R}</t>
        </is>
      </c>
      <c r="F4041" s="13" t="inlineStr">
        <is>
          <t>Vermelho</t>
        </is>
      </c>
      <c r="G4041" s="8" t="n">
        <v>0.06</v>
      </c>
      <c r="H4041" s="13" t="inlineStr">
        <is>
          <t>Battle for Zendikar (BFZ)</t>
        </is>
      </c>
      <c r="I4041" s="13" t="inlineStr">
        <is>
          <t>Não</t>
        </is>
      </c>
      <c r="J4041" s="13" t="n">
        <v>2015</v>
      </c>
      <c r="L4041" s="13" t="n">
        <v>1</v>
      </c>
      <c r="M4041" s="8">
        <f>L4041*G4041</f>
        <v/>
      </c>
      <c r="P4041" s="9" t="n"/>
    </row>
    <row r="4042">
      <c r="A4042" s="13" t="inlineStr">
        <is>
          <t>Act of Treason / Ato de Traição</t>
        </is>
      </c>
      <c r="B4042" s="13" t="inlineStr">
        <is>
          <t>Sorcery / Feitiço</t>
        </is>
      </c>
      <c r="C4042" s="13" t="inlineStr">
        <is>
          <t>Common / Comum</t>
        </is>
      </c>
      <c r="D4042" s="13"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042" s="13" t="inlineStr">
        <is>
          <t>{2}{R}</t>
        </is>
      </c>
      <c r="F4042" s="13" t="inlineStr">
        <is>
          <t>Vermelho</t>
        </is>
      </c>
      <c r="G4042" s="8" t="n">
        <v>0.05</v>
      </c>
      <c r="H4042" s="13" t="inlineStr">
        <is>
          <t>Ravnica Allegiance (RNA)</t>
        </is>
      </c>
      <c r="I4042" s="13" t="inlineStr">
        <is>
          <t>Não</t>
        </is>
      </c>
      <c r="J4042" s="13" t="n">
        <v>2019</v>
      </c>
      <c r="L4042" s="13" t="n">
        <v>1</v>
      </c>
      <c r="M4042" s="8">
        <f>L4042*G4042</f>
        <v/>
      </c>
      <c r="P4042" s="9" t="n"/>
    </row>
    <row r="4043">
      <c r="A4043" s="13" t="inlineStr">
        <is>
          <t>Subterranean Scout / Batedor Subterrâneo</t>
        </is>
      </c>
      <c r="B4043" s="13" t="inlineStr">
        <is>
          <t>Creature — Goblin Scout / Criatura — Goblin Batedor</t>
        </is>
      </c>
      <c r="C4043" s="13" t="inlineStr">
        <is>
          <t>Common / Comum</t>
        </is>
      </c>
      <c r="D4043" s="13" t="inlineStr">
        <is>
          <t>When this creature enters, target creature with power 2 or less can't be blocked this turn. / Quando Batedor Subterrâneo entra no campo de batalha, a criatura alvo com poder igual ou inferior a 2 não pode ser bloqueada neste turno.</t>
        </is>
      </c>
      <c r="E4043" s="13" t="inlineStr">
        <is>
          <t>{1}{R}</t>
        </is>
      </c>
      <c r="F4043" s="13" t="inlineStr">
        <is>
          <t>Vermelho</t>
        </is>
      </c>
      <c r="G4043" s="8" t="n">
        <v>0.05</v>
      </c>
      <c r="H4043" s="13" t="inlineStr">
        <is>
          <t>Magic Origins (ORI)</t>
        </is>
      </c>
      <c r="I4043" s="13" t="inlineStr">
        <is>
          <t>Não</t>
        </is>
      </c>
      <c r="J4043" s="13" t="n">
        <v>2015</v>
      </c>
      <c r="K4043" s="10" t="n">
        <v>46024</v>
      </c>
      <c r="L4043" s="13" t="n">
        <v>5</v>
      </c>
      <c r="M4043" s="8">
        <f>L4043*G4043</f>
        <v/>
      </c>
      <c r="P4043" s="9" t="n"/>
    </row>
    <row r="4044">
      <c r="A4044" s="13" t="inlineStr">
        <is>
          <t>Bellows Lizard / Lagarto de Fole</t>
        </is>
      </c>
      <c r="B4044" s="13" t="inlineStr">
        <is>
          <t>Creature — Lizard / Criatura — Lagarto</t>
        </is>
      </c>
      <c r="C4044" s="13" t="inlineStr">
        <is>
          <t>Common / Comum</t>
        </is>
      </c>
      <c r="D4044" s="13" t="inlineStr">
        <is>
          <t>{1}{R}: This creature gets +1/+0 until end of turn. / {1}{R}: Lagarto de Fole recebe +1/+0 até o final do turno.</t>
        </is>
      </c>
      <c r="E4044" s="13" t="inlineStr">
        <is>
          <t>{R}</t>
        </is>
      </c>
      <c r="F4044" s="13" t="inlineStr">
        <is>
          <t>Vermelho</t>
        </is>
      </c>
      <c r="G4044" s="8" t="n">
        <v>0.05</v>
      </c>
      <c r="H4044" s="13" t="inlineStr">
        <is>
          <t>Magic Origins (ORI)</t>
        </is>
      </c>
      <c r="I4044" s="13" t="inlineStr">
        <is>
          <t>Não</t>
        </is>
      </c>
      <c r="J4044" s="13" t="n">
        <v>2015</v>
      </c>
      <c r="K4044" s="10" t="n">
        <v>46023</v>
      </c>
      <c r="L4044" s="13" t="n">
        <v>6</v>
      </c>
      <c r="M4044" s="8">
        <f>L4044*G4044</f>
        <v/>
      </c>
      <c r="P4044" s="9" t="n"/>
    </row>
    <row r="4045">
      <c r="A4045" s="13" t="inlineStr">
        <is>
          <t>Firefiend Elemental / Elemental Flamidemo</t>
        </is>
      </c>
      <c r="B4045" s="13" t="inlineStr">
        <is>
          <t>Creature — Elemental / Criatura — Elemental</t>
        </is>
      </c>
      <c r="C4045" s="13" t="inlineStr">
        <is>
          <t>Common / Comum</t>
        </is>
      </c>
      <c r="D4045" s="13" t="inlineStr">
        <is>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is>
      </c>
      <c r="E4045" s="13" t="inlineStr">
        <is>
          <t>{3}{R}</t>
        </is>
      </c>
      <c r="F4045" s="13" t="inlineStr">
        <is>
          <t>Vermelho</t>
        </is>
      </c>
      <c r="G4045" s="8" t="n">
        <v>0.06</v>
      </c>
      <c r="H4045" s="13" t="inlineStr">
        <is>
          <t>Magic Origins (ORI)</t>
        </is>
      </c>
      <c r="I4045" s="13" t="inlineStr">
        <is>
          <t>Não</t>
        </is>
      </c>
      <c r="J4045" s="13" t="n">
        <v>2015</v>
      </c>
      <c r="K4045" s="10" t="n">
        <v>46056</v>
      </c>
      <c r="L4045" s="13" t="n">
        <v>12</v>
      </c>
      <c r="M4045" s="8">
        <f>L4045*G4045</f>
        <v/>
      </c>
      <c r="P4045" s="9" t="n"/>
    </row>
    <row r="4046">
      <c r="A4046" s="13" t="inlineStr">
        <is>
          <t>Prickleboar / Javali Espinhento</t>
        </is>
      </c>
      <c r="B4046" s="13" t="inlineStr">
        <is>
          <t>Creature — Boar / Criatura — Javali</t>
        </is>
      </c>
      <c r="C4046" s="13" t="inlineStr">
        <is>
          <t>Common / Comum</t>
        </is>
      </c>
      <c r="D4046" s="13" t="inlineStr">
        <is>
          <t>During your turn, this creature gets +2/+0 and has first strike. (It deals combat damage before creatures without first strike.) / Enquanto for o seu turno, Javali Espinhento receberá +2/+0 e terá iniciativa. (Ele causa dano de combate antes das criaturas sem iniciativa.)</t>
        </is>
      </c>
      <c r="E4046" s="13" t="inlineStr">
        <is>
          <t>{4}{R}</t>
        </is>
      </c>
      <c r="F4046" s="13" t="inlineStr">
        <is>
          <t>Vermelho</t>
        </is>
      </c>
      <c r="G4046" s="8" t="n">
        <v>0.05</v>
      </c>
      <c r="H4046" s="13" t="inlineStr">
        <is>
          <t>Magic Origins (ORI)</t>
        </is>
      </c>
      <c r="I4046" s="13" t="inlineStr">
        <is>
          <t>Não</t>
        </is>
      </c>
      <c r="J4046" s="13" t="n">
        <v>2015</v>
      </c>
      <c r="K4046" s="10" t="n">
        <v>46084</v>
      </c>
      <c r="L4046" s="13" t="n">
        <v>8</v>
      </c>
      <c r="M4046" s="8">
        <f>L4046*G4046</f>
        <v/>
      </c>
      <c r="P4046" s="9" t="n"/>
    </row>
    <row r="4047">
      <c r="A4047" s="13" t="inlineStr">
        <is>
          <t>Cobblebrute / Brutamontes Pedregoso</t>
        </is>
      </c>
      <c r="B4047" s="13" t="inlineStr">
        <is>
          <t>Creature — Elemental / Criatura — Elemental</t>
        </is>
      </c>
      <c r="C4047" s="13" t="inlineStr">
        <is>
          <t>Common / Comum</t>
        </is>
      </c>
      <c r="E4047" s="13" t="inlineStr">
        <is>
          <t>{3}{R}</t>
        </is>
      </c>
      <c r="F4047" s="13" t="inlineStr">
        <is>
          <t>Vermelho</t>
        </is>
      </c>
      <c r="G4047" s="8" t="n">
        <v>0.06</v>
      </c>
      <c r="H4047" s="13" t="inlineStr">
        <is>
          <t>Magic Origins (ORI)</t>
        </is>
      </c>
      <c r="I4047" s="13" t="inlineStr">
        <is>
          <t>Não</t>
        </is>
      </c>
      <c r="J4047" s="13" t="n">
        <v>2015</v>
      </c>
      <c r="K4047" s="10" t="n">
        <v>46058</v>
      </c>
      <c r="L4047" s="13" t="n">
        <v>5</v>
      </c>
      <c r="M4047" s="8">
        <f>L4047*G4047</f>
        <v/>
      </c>
      <c r="P4047" s="9" t="n"/>
    </row>
    <row r="4048">
      <c r="A4048" s="13" t="inlineStr">
        <is>
          <t>Mage-Ring Bully / Rufião do Anel de Mago</t>
        </is>
      </c>
      <c r="B4048" s="13" t="inlineStr">
        <is>
          <t>Creature — Human Warrior / Criatura — Humano Guerreiro</t>
        </is>
      </c>
      <c r="C4048" s="13" t="inlineStr">
        <is>
          <t>Common / Comum</t>
        </is>
      </c>
      <c r="D4048" s="13" t="inlineStr">
        <is>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is>
      </c>
      <c r="E4048" s="13" t="inlineStr">
        <is>
          <t>{1}{R}</t>
        </is>
      </c>
      <c r="F4048" s="13" t="inlineStr">
        <is>
          <t>Vermelho</t>
        </is>
      </c>
      <c r="G4048" s="8" t="n">
        <v>0.09</v>
      </c>
      <c r="H4048" s="13" t="inlineStr">
        <is>
          <t>Magic Origins (ORI)</t>
        </is>
      </c>
      <c r="I4048" s="13" t="inlineStr">
        <is>
          <t>Não</t>
        </is>
      </c>
      <c r="J4048" s="13" t="n">
        <v>2015</v>
      </c>
      <c r="K4048" s="10" t="n">
        <v>46055</v>
      </c>
      <c r="L4048" s="13" t="n">
        <v>7</v>
      </c>
      <c r="M4048" s="8">
        <f>L4048*G4048</f>
        <v/>
      </c>
      <c r="P4048" s="9" t="n"/>
    </row>
    <row r="4049">
      <c r="A4049" s="13" t="inlineStr">
        <is>
          <t>Volcanic Rambler / Caminhante Vulcânico</t>
        </is>
      </c>
      <c r="B4049" s="13" t="inlineStr">
        <is>
          <t>Creature — Elemental / Criatura — Elemental</t>
        </is>
      </c>
      <c r="C4049" s="13" t="inlineStr">
        <is>
          <t>Common / Comum</t>
        </is>
      </c>
      <c r="D4049" s="13" t="inlineStr">
        <is>
          <t>{2}{R}: This creature deals 1 damage to target player or planeswalker. / {2}{R}: Caminhante Vulcânico causa 1 ponto de dano ao jogador alvo.</t>
        </is>
      </c>
      <c r="E4049" s="13" t="inlineStr">
        <is>
          <t>{5}{R}</t>
        </is>
      </c>
      <c r="F4049" s="13" t="inlineStr">
        <is>
          <t>Vermelho</t>
        </is>
      </c>
      <c r="G4049" s="8" t="n">
        <v>0.06</v>
      </c>
      <c r="H4049" s="13" t="inlineStr">
        <is>
          <t>Magic Origins (ORI)</t>
        </is>
      </c>
      <c r="I4049" s="13" t="inlineStr">
        <is>
          <t>Não</t>
        </is>
      </c>
      <c r="J4049" s="13" t="n">
        <v>2015</v>
      </c>
      <c r="K4049" s="10" t="n">
        <v>46118</v>
      </c>
      <c r="L4049" s="13" t="n">
        <v>12</v>
      </c>
      <c r="M4049" s="8">
        <f>L4049*G4049</f>
        <v/>
      </c>
      <c r="P4049" s="9" t="n"/>
    </row>
    <row r="4050">
      <c r="A4050" s="13" t="inlineStr">
        <is>
          <t>Boggart Brute / Papão Brutamontes</t>
        </is>
      </c>
      <c r="B4050" s="13" t="inlineStr">
        <is>
          <t>Creature — Goblin Warrior / Criatura — Goblin Guerreiro</t>
        </is>
      </c>
      <c r="C4050" s="13" t="inlineStr">
        <is>
          <t>Common / Comum</t>
        </is>
      </c>
      <c r="D4050" s="13" t="inlineStr">
        <is>
          <t>Menace (This creature can't be blocked except by two or more creatures.) / Ameaçar (Esta criatura só pode ser bloqueada por duas ou mais criaturas.)</t>
        </is>
      </c>
      <c r="E4050" s="13" t="inlineStr">
        <is>
          <t>{2}{R}</t>
        </is>
      </c>
      <c r="F4050" s="13" t="inlineStr">
        <is>
          <t>Vermelho</t>
        </is>
      </c>
      <c r="G4050" s="8" t="n">
        <v>0.05</v>
      </c>
      <c r="H4050" s="13" t="inlineStr">
        <is>
          <t>Magic Origins (ORI)</t>
        </is>
      </c>
      <c r="I4050" s="13" t="inlineStr">
        <is>
          <t>Não</t>
        </is>
      </c>
      <c r="J4050" s="13" t="n">
        <v>2015</v>
      </c>
      <c r="K4050" s="10" t="n">
        <v>46056</v>
      </c>
      <c r="L4050" s="13" t="n">
        <v>7</v>
      </c>
      <c r="M4050" s="8">
        <f>L4050*G4050</f>
        <v/>
      </c>
      <c r="P4050" s="9" t="n"/>
    </row>
    <row r="4051">
      <c r="A4051" s="13" t="inlineStr">
        <is>
          <t>Terror of the Fairgrounds / Terror da Feira</t>
        </is>
      </c>
      <c r="B4051" s="13" t="inlineStr">
        <is>
          <t>Creature — Gremlin / Criatura — Gremlin</t>
        </is>
      </c>
      <c r="C4051" s="13" t="inlineStr">
        <is>
          <t>Common / Comum</t>
        </is>
      </c>
      <c r="E4051" s="13" t="inlineStr">
        <is>
          <t>{3}{R}</t>
        </is>
      </c>
      <c r="F4051" s="13" t="inlineStr">
        <is>
          <t>Vermelho</t>
        </is>
      </c>
      <c r="G4051" s="8" t="n">
        <v>0.04</v>
      </c>
      <c r="H4051" s="13" t="inlineStr">
        <is>
          <t>Kaladesh (KLD)</t>
        </is>
      </c>
      <c r="I4051" s="13" t="inlineStr">
        <is>
          <t>Não</t>
        </is>
      </c>
      <c r="J4051" s="13" t="n">
        <v>2016</v>
      </c>
      <c r="K4051" s="10" t="n">
        <v>46058</v>
      </c>
      <c r="L4051" s="13" t="n">
        <v>3</v>
      </c>
      <c r="M4051" s="8">
        <f>L4051*G4051</f>
        <v/>
      </c>
      <c r="P4051" s="9" t="n"/>
    </row>
    <row r="4052">
      <c r="A4052" s="13" t="inlineStr">
        <is>
          <t>Reckless Fireweaver / Flamitecelão Temerário</t>
        </is>
      </c>
      <c r="B4052" s="13" t="inlineStr">
        <is>
          <t>Creature — Human Artificer / Criatura — Humano Artesão</t>
        </is>
      </c>
      <c r="C4052" s="13" t="inlineStr">
        <is>
          <t>Common / Comum</t>
        </is>
      </c>
      <c r="D4052" s="13" t="inlineStr">
        <is>
          <t>Whenever an artifact you control enters, this creature deals 1 damage to each opponent. / Toda vez que um artefato entra no campo de batalha sob seu controle, Flamitecelão Temerário causa 1 ponto de dano a cada oponente.</t>
        </is>
      </c>
      <c r="E4052" s="13" t="inlineStr">
        <is>
          <t>{1}{R}</t>
        </is>
      </c>
      <c r="F4052" s="13" t="inlineStr">
        <is>
          <t>Vermelho</t>
        </is>
      </c>
      <c r="G4052" s="8" t="n">
        <v>0.49</v>
      </c>
      <c r="H4052" s="13" t="inlineStr">
        <is>
          <t>Kaladesh (KLD)</t>
        </is>
      </c>
      <c r="I4052" s="13" t="inlineStr">
        <is>
          <t>Não</t>
        </is>
      </c>
      <c r="J4052" s="13" t="n">
        <v>2016</v>
      </c>
      <c r="K4052" s="10" t="n">
        <v>46082</v>
      </c>
      <c r="L4052" s="13" t="n">
        <v>2</v>
      </c>
      <c r="M4052" s="8">
        <f>L4052*G4052</f>
        <v/>
      </c>
      <c r="P4052" s="9" t="n"/>
    </row>
    <row r="4053">
      <c r="A4053" s="13" t="inlineStr">
        <is>
          <t>Wall of Fire / Barreira de Fogo</t>
        </is>
      </c>
      <c r="B4053" s="13" t="inlineStr">
        <is>
          <t>Creature — Wall / Criatura — Barreira</t>
        </is>
      </c>
      <c r="C4053" s="13" t="inlineStr">
        <is>
          <t>Uncommon / Incomum</t>
        </is>
      </c>
      <c r="D4053" s="13" t="inlineStr">
        <is>
          <t>Defender (This creature can't attack.) {R}: This creature gets +1/+0 until end of turn. / Defensor (Esta criatura não pode atacar.) {R}: Barreira de Fogo recebe +1/+0 até o final do turno.</t>
        </is>
      </c>
      <c r="E4053" s="13" t="inlineStr">
        <is>
          <t>{1}{R}{R}</t>
        </is>
      </c>
      <c r="F4053" s="13" t="inlineStr">
        <is>
          <t>Vermelho</t>
        </is>
      </c>
      <c r="G4053" s="8" t="n">
        <v>0.05</v>
      </c>
      <c r="H4053" s="13" t="inlineStr">
        <is>
          <t>Tenth Edition (10E)</t>
        </is>
      </c>
      <c r="I4053" s="13" t="inlineStr">
        <is>
          <t>Não</t>
        </is>
      </c>
      <c r="J4053" s="13" t="n">
        <v>2007</v>
      </c>
      <c r="K4053" s="13" t="inlineStr">
        <is>
          <t>0/5</t>
        </is>
      </c>
      <c r="L4053" s="13" t="n">
        <v>2</v>
      </c>
      <c r="M4053" s="8">
        <f>L4053*G4053</f>
        <v/>
      </c>
      <c r="P4053" s="9" t="n"/>
    </row>
    <row r="4054">
      <c r="A4054" s="13" t="inlineStr">
        <is>
          <t>Fire Elemental / Elemental do Fogo</t>
        </is>
      </c>
      <c r="B4054" s="13" t="inlineStr">
        <is>
          <t>Creature — Elemental / Criatura — Elemental</t>
        </is>
      </c>
      <c r="C4054" s="13" t="inlineStr">
        <is>
          <t>Common / Comum</t>
        </is>
      </c>
      <c r="E4054" s="13" t="inlineStr">
        <is>
          <t>{3}{R}{R}</t>
        </is>
      </c>
      <c r="F4054" s="13" t="inlineStr">
        <is>
          <t>Vermelho</t>
        </is>
      </c>
      <c r="G4054" s="8" t="n">
        <v>0.05</v>
      </c>
      <c r="H4054" s="13" t="inlineStr">
        <is>
          <t>Magic 2013 (M13)</t>
        </is>
      </c>
      <c r="I4054" s="13" t="inlineStr">
        <is>
          <t>Não</t>
        </is>
      </c>
      <c r="J4054" s="13" t="n">
        <v>2012</v>
      </c>
      <c r="K4054" s="10" t="n">
        <v>46117</v>
      </c>
      <c r="L4054" s="13" t="n">
        <v>3</v>
      </c>
      <c r="M4054" s="8">
        <f>L4054*G4054</f>
        <v/>
      </c>
      <c r="P4054" s="9" t="n"/>
    </row>
    <row r="4055">
      <c r="A4055" s="13" t="inlineStr">
        <is>
          <t>Underworld Rage-Hound / Sabujo Raivoso do Submundo</t>
        </is>
      </c>
      <c r="B4055" s="13" t="inlineStr">
        <is>
          <t>Creature — Elemental Dog / Criatura — Elemental Sabujo</t>
        </is>
      </c>
      <c r="C4055" s="13" t="inlineStr">
        <is>
          <t>Common / Comum</t>
        </is>
      </c>
      <c r="D4055" s="13" t="inlineStr">
        <is>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is>
      </c>
      <c r="E4055" s="13" t="inlineStr">
        <is>
          <t>{1}{R}</t>
        </is>
      </c>
      <c r="F4055" s="13" t="inlineStr">
        <is>
          <t>Vermelho</t>
        </is>
      </c>
      <c r="G4055" s="8" t="n">
        <v>0.06</v>
      </c>
      <c r="H4055" s="13" t="inlineStr">
        <is>
          <t>Theros Beyond Death (THB)</t>
        </is>
      </c>
      <c r="I4055" s="13" t="inlineStr">
        <is>
          <t>Não</t>
        </is>
      </c>
      <c r="J4055" s="13" t="n">
        <v>2020</v>
      </c>
      <c r="K4055" s="10" t="n">
        <v>46025</v>
      </c>
      <c r="L4055" s="13" t="n">
        <v>2</v>
      </c>
      <c r="M4055" s="8">
        <f>L4055*G4055</f>
        <v/>
      </c>
      <c r="P4055" s="9" t="n"/>
    </row>
    <row r="4056">
      <c r="A4056" s="13" t="inlineStr">
        <is>
          <t>Borderland Marauder / Saqueador da Fronteira</t>
        </is>
      </c>
      <c r="B4056" s="13" t="inlineStr">
        <is>
          <t>Creature — Human Warrior / Criatura — Humano Guerreiro</t>
        </is>
      </c>
      <c r="C4056" s="13" t="inlineStr">
        <is>
          <t>Common / Comum</t>
        </is>
      </c>
      <c r="D4056" s="13" t="inlineStr">
        <is>
          <t>Whenever this creature attacks, it gets +2/+0 until end of turn. / Toda vez que Saqueador da Fronteira ataca, ele recebe +2/+0 até o final do turno.</t>
        </is>
      </c>
      <c r="E4056" s="13" t="inlineStr">
        <is>
          <t>{1}{R}</t>
        </is>
      </c>
      <c r="F4056" s="13" t="inlineStr">
        <is>
          <t>Vermelho</t>
        </is>
      </c>
      <c r="G4056" s="8" t="n">
        <v>0.05</v>
      </c>
      <c r="H4056" s="13" t="inlineStr">
        <is>
          <t>Magic 2015 (M15)</t>
        </is>
      </c>
      <c r="I4056" s="13" t="inlineStr">
        <is>
          <t>Não</t>
        </is>
      </c>
      <c r="J4056" s="13" t="n">
        <v>2014</v>
      </c>
      <c r="K4056" s="10" t="n">
        <v>46054</v>
      </c>
      <c r="L4056" s="13" t="n">
        <v>2</v>
      </c>
      <c r="M4056" s="8">
        <f>L4056*G4056</f>
        <v/>
      </c>
      <c r="P4056" s="9" t="n"/>
    </row>
    <row r="4057">
      <c r="A4057" s="13" t="inlineStr">
        <is>
          <t>Canyon Minotaur / Minotauro do Desfiladeiro</t>
        </is>
      </c>
      <c r="B4057" s="13" t="inlineStr">
        <is>
          <t>Creature — Minotaur Warrior / Criatura — Minotauro Guerreiro</t>
        </is>
      </c>
      <c r="C4057" s="13" t="inlineStr">
        <is>
          <t>Common / Comum</t>
        </is>
      </c>
      <c r="E4057" s="13" t="inlineStr">
        <is>
          <t>{3}{R}</t>
        </is>
      </c>
      <c r="F4057" s="13" t="inlineStr">
        <is>
          <t>Vermelho</t>
        </is>
      </c>
      <c r="G4057" s="8" t="n">
        <v>0.05</v>
      </c>
      <c r="H4057" s="13" t="inlineStr">
        <is>
          <t>Magic 2013 (M13)</t>
        </is>
      </c>
      <c r="I4057" s="13" t="inlineStr">
        <is>
          <t>Não</t>
        </is>
      </c>
      <c r="J4057" s="13" t="n">
        <v>2009</v>
      </c>
      <c r="K4057" s="10" t="n">
        <v>46084</v>
      </c>
      <c r="L4057" s="13" t="n">
        <v>2</v>
      </c>
      <c r="M4057" s="8">
        <f>L4057*G4057</f>
        <v/>
      </c>
      <c r="P4057" s="9" t="n"/>
    </row>
    <row r="4058">
      <c r="A4058" s="13" t="inlineStr">
        <is>
          <t>Bladetusk Boar / Javali Presa de Navalha</t>
        </is>
      </c>
      <c r="B4058" s="13" t="inlineStr">
        <is>
          <t>Creature — Boar / Criatura — Javali</t>
        </is>
      </c>
      <c r="C4058" s="13" t="inlineStr">
        <is>
          <t>Common / Comum</t>
        </is>
      </c>
      <c r="D4058" s="13" t="inlineStr">
        <is>
          <t>Intimidate (This creature can't be blocked except by artifact creatures and/or creatures that share a color with it.) / Intimidar (Esta criatura só pode ser bloqueada por criaturas artefato e/ou criaturas que compartilhem uma cor com ela.)</t>
        </is>
      </c>
      <c r="E4058" s="13" t="inlineStr">
        <is>
          <t>{3}{R}</t>
        </is>
      </c>
      <c r="F4058" s="13" t="inlineStr">
        <is>
          <t>Vermelho</t>
        </is>
      </c>
      <c r="G4058" s="8" t="n">
        <v>0.05</v>
      </c>
      <c r="H4058" s="13" t="inlineStr">
        <is>
          <t>Zendikar (ZEN)</t>
        </is>
      </c>
      <c r="I4058" s="13" t="inlineStr">
        <is>
          <t>Não</t>
        </is>
      </c>
      <c r="J4058" s="13" t="n">
        <v>2009</v>
      </c>
      <c r="K4058" s="10" t="n">
        <v>46056</v>
      </c>
      <c r="L4058" s="13" t="n">
        <v>2</v>
      </c>
      <c r="M4058" s="8">
        <f>L4058*G4058</f>
        <v/>
      </c>
      <c r="P4058" s="9" t="n"/>
    </row>
    <row r="4059">
      <c r="A4059" s="13" t="inlineStr">
        <is>
          <t>Ghirapur Gearcrafter / Artesão Mecânico de Ghirapur</t>
        </is>
      </c>
      <c r="B4059" s="13" t="inlineStr">
        <is>
          <t>Creature — Human Artificer / Criatura — Humano Artesão</t>
        </is>
      </c>
      <c r="C4059" s="13" t="inlineStr">
        <is>
          <t>Common / Comum</t>
        </is>
      </c>
      <c r="D4059" s="13" t="inlineStr">
        <is>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is>
      </c>
      <c r="E4059" s="13" t="inlineStr">
        <is>
          <t>{2}{R}</t>
        </is>
      </c>
      <c r="F4059" s="13" t="inlineStr">
        <is>
          <t>Vermelho</t>
        </is>
      </c>
      <c r="G4059" s="8" t="n">
        <v>0.04</v>
      </c>
      <c r="H4059" s="13" t="inlineStr">
        <is>
          <t>Magic Origins (ORI)</t>
        </is>
      </c>
      <c r="I4059" s="13" t="inlineStr">
        <is>
          <t>Não</t>
        </is>
      </c>
      <c r="J4059" s="13" t="n">
        <v>2015</v>
      </c>
      <c r="K4059" s="10" t="n">
        <v>46024</v>
      </c>
      <c r="L4059" s="13" t="n">
        <v>3</v>
      </c>
      <c r="M4059" s="8">
        <f>L4059*G4059</f>
        <v/>
      </c>
      <c r="P4059" s="9" t="n"/>
    </row>
    <row r="4060">
      <c r="A4060" s="13" t="inlineStr">
        <is>
          <t>Satyr Rambler / Sátiro Errante</t>
        </is>
      </c>
      <c r="B4060" s="13" t="inlineStr">
        <is>
          <t>Creature — Satyr / Criatura — Sátiro</t>
        </is>
      </c>
      <c r="C4060" s="13" t="inlineStr">
        <is>
          <t>Common / Comum</t>
        </is>
      </c>
      <c r="D4060" s="13" t="inlineStr">
        <is>
          <t>Trample / Atropelar</t>
        </is>
      </c>
      <c r="E4060" s="13" t="inlineStr">
        <is>
          <t>{1}{R}</t>
        </is>
      </c>
      <c r="F4060" s="13" t="inlineStr">
        <is>
          <t>Vermelho</t>
        </is>
      </c>
      <c r="G4060" s="8" t="n">
        <v>0.05</v>
      </c>
      <c r="H4060" s="13" t="inlineStr">
        <is>
          <t>Theros (THS)</t>
        </is>
      </c>
      <c r="I4060" s="13" t="inlineStr">
        <is>
          <t>Não</t>
        </is>
      </c>
      <c r="J4060" s="13" t="n">
        <v>2013</v>
      </c>
      <c r="K4060" s="10" t="n">
        <v>46024</v>
      </c>
      <c r="L4060" s="13" t="n">
        <v>1</v>
      </c>
      <c r="M4060" s="8">
        <f>L4060*G4060</f>
        <v/>
      </c>
      <c r="P4060" s="9" t="n"/>
    </row>
    <row r="4061">
      <c r="A4061" s="13" t="inlineStr">
        <is>
          <t>Ripchain Razorkin</t>
        </is>
      </c>
      <c r="B4061" s="13" t="inlineStr">
        <is>
          <t>Creature — Human Berserker</t>
        </is>
      </c>
      <c r="C4061" s="13" t="inlineStr">
        <is>
          <t>Common / Comum</t>
        </is>
      </c>
      <c r="D4061" s="13" t="inlineStr">
        <is>
          <t>Reach {2}{R}, Sacrifice a land: Draw a card.</t>
        </is>
      </c>
      <c r="E4061" s="13" t="inlineStr">
        <is>
          <t>{3}{R}</t>
        </is>
      </c>
      <c r="F4061" s="13" t="inlineStr">
        <is>
          <t>Vermelho</t>
        </is>
      </c>
      <c r="G4061" s="8" t="n">
        <v>0.15</v>
      </c>
      <c r="H4061" s="13" t="inlineStr">
        <is>
          <t>Duskmourn: House of Horror (DSK)</t>
        </is>
      </c>
      <c r="I4061" s="13" t="inlineStr">
        <is>
          <t>Sim</t>
        </is>
      </c>
      <c r="J4061" s="13" t="n">
        <v>2024</v>
      </c>
      <c r="K4061" s="10" t="n">
        <v>46086</v>
      </c>
      <c r="L4061" s="13" t="n">
        <v>1</v>
      </c>
      <c r="M4061" s="8">
        <f>L4061*G4061</f>
        <v/>
      </c>
      <c r="P4061" s="9" t="n"/>
    </row>
    <row r="4062">
      <c r="A4062" s="13" t="inlineStr">
        <is>
          <t>Stampeding Horncrest / Cristocórneo Desembestado</t>
        </is>
      </c>
      <c r="B4062" s="13" t="inlineStr">
        <is>
          <t>Creature — Dinosaur / Criatura — Dinossauro</t>
        </is>
      </c>
      <c r="C4062" s="13" t="inlineStr">
        <is>
          <t>Common / Comum</t>
        </is>
      </c>
      <c r="D4062" s="13" t="inlineStr">
        <is>
          <t>This creature has haste as long as you control another Dinosaur. / Cristocórneo Desembestado terá ímpeto enquanto você controlar outro Dinossauro.</t>
        </is>
      </c>
      <c r="E4062" s="13" t="inlineStr">
        <is>
          <t>{4}{R}</t>
        </is>
      </c>
      <c r="F4062" s="13" t="inlineStr">
        <is>
          <t>Vermelho</t>
        </is>
      </c>
      <c r="G4062" s="8" t="n">
        <v>0.04</v>
      </c>
      <c r="H4062" s="13" t="inlineStr">
        <is>
          <t>Rivals of Ixalan (RIX)</t>
        </is>
      </c>
      <c r="I4062" s="13" t="inlineStr">
        <is>
          <t>Não</t>
        </is>
      </c>
      <c r="J4062" s="13" t="n">
        <v>2018</v>
      </c>
      <c r="K4062" s="10" t="n">
        <v>46116</v>
      </c>
      <c r="L4062" s="13" t="n">
        <v>1</v>
      </c>
      <c r="M4062" s="8">
        <f>L4062*G4062</f>
        <v/>
      </c>
      <c r="P4062" s="9" t="n"/>
    </row>
    <row r="4063">
      <c r="A4063" s="13" t="inlineStr">
        <is>
          <t>Wayward Giant / Gigante Errático</t>
        </is>
      </c>
      <c r="B4063" s="13" t="inlineStr">
        <is>
          <t>Creature — Giant / Criatura — Gigante</t>
        </is>
      </c>
      <c r="C4063" s="13" t="inlineStr">
        <is>
          <t>Common / Comum</t>
        </is>
      </c>
      <c r="D4063" s="13" t="inlineStr">
        <is>
          <t>Menace / Ameaçar</t>
        </is>
      </c>
      <c r="E4063" s="13" t="inlineStr">
        <is>
          <t>{4}{R}</t>
        </is>
      </c>
      <c r="F4063" s="13" t="inlineStr">
        <is>
          <t>Vermelho</t>
        </is>
      </c>
      <c r="G4063" s="8" t="n">
        <v>0.04</v>
      </c>
      <c r="H4063" s="13" t="inlineStr">
        <is>
          <t>Kaladesh (KLD)</t>
        </is>
      </c>
      <c r="I4063" s="13" t="inlineStr">
        <is>
          <t>Não</t>
        </is>
      </c>
      <c r="J4063" s="13" t="n">
        <v>2016</v>
      </c>
      <c r="K4063" s="10" t="n">
        <v>46146</v>
      </c>
      <c r="L4063" s="13" t="n">
        <v>3</v>
      </c>
      <c r="M4063" s="8">
        <f>L4063*G4063</f>
        <v/>
      </c>
      <c r="P4063" s="9" t="n"/>
    </row>
    <row r="4064">
      <c r="A4064" s="13" t="inlineStr">
        <is>
          <t>Akroan Crusader / Cruzado Acrosano</t>
        </is>
      </c>
      <c r="B4064" s="13" t="inlineStr">
        <is>
          <t>Creature — Human Soldier / Criatura — Humano Soldado</t>
        </is>
      </c>
      <c r="C4064" s="13" t="inlineStr">
        <is>
          <t>Common / Comum</t>
        </is>
      </c>
      <c r="D4064" s="13" t="inlineStr">
        <is>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is>
      </c>
      <c r="E4064" s="13" t="inlineStr">
        <is>
          <t>{R}</t>
        </is>
      </c>
      <c r="F4064" s="13" t="inlineStr">
        <is>
          <t>Vermelho</t>
        </is>
      </c>
      <c r="G4064" s="8" t="n">
        <v>0.09</v>
      </c>
      <c r="H4064" s="13" t="inlineStr">
        <is>
          <t>Ultimate Masters (UMA)</t>
        </is>
      </c>
      <c r="I4064" s="13" t="inlineStr">
        <is>
          <t>Não</t>
        </is>
      </c>
      <c r="J4064" s="13" t="n">
        <v>2018</v>
      </c>
      <c r="K4064" s="10" t="n">
        <v>46023</v>
      </c>
      <c r="L4064" s="13" t="n">
        <v>1</v>
      </c>
      <c r="M4064" s="8">
        <f>L4064*G4064</f>
        <v/>
      </c>
      <c r="P4064" s="9" t="n"/>
    </row>
    <row r="4065">
      <c r="A4065" s="13" t="inlineStr">
        <is>
          <t>Wild Celebrants / Celebrantes Selvagens</t>
        </is>
      </c>
      <c r="B4065" s="13" t="inlineStr">
        <is>
          <t>Creature — Satyr / Criatura — Sátiro</t>
        </is>
      </c>
      <c r="C4065" s="13" t="inlineStr">
        <is>
          <t>Common / Comum</t>
        </is>
      </c>
      <c r="D4065" s="13" t="inlineStr">
        <is>
          <t>When this creature enters, you may destroy target artifact. / Quando Celebrantes Selvagens entra no campo de batalha, você pode destruir o artefato alvo.</t>
        </is>
      </c>
      <c r="E4065" s="13" t="inlineStr">
        <is>
          <t>{3}{R}{R}</t>
        </is>
      </c>
      <c r="F4065" s="13" t="inlineStr">
        <is>
          <t>Vermelho</t>
        </is>
      </c>
      <c r="G4065" s="8" t="n">
        <v>0.04</v>
      </c>
      <c r="H4065" s="13" t="inlineStr">
        <is>
          <t>Theros (THS)</t>
        </is>
      </c>
      <c r="I4065" s="13" t="inlineStr">
        <is>
          <t>Não</t>
        </is>
      </c>
      <c r="J4065" s="13" t="n">
        <v>2013</v>
      </c>
      <c r="K4065" s="10" t="n">
        <v>46086</v>
      </c>
      <c r="L4065" s="13" t="n">
        <v>1</v>
      </c>
      <c r="M4065" s="8">
        <f>L4065*G4065</f>
        <v/>
      </c>
      <c r="P4065" s="9" t="n"/>
    </row>
    <row r="4066">
      <c r="A4066" s="13" t="inlineStr">
        <is>
          <t>Akroan Sergeant / Sargento Acrosano</t>
        </is>
      </c>
      <c r="B4066" s="13" t="inlineStr">
        <is>
          <t>Creature — Human Soldier / Criatura — Humano Soldado</t>
        </is>
      </c>
      <c r="C4066" s="13" t="inlineStr">
        <is>
          <t>Common / Comum</t>
        </is>
      </c>
      <c r="D4066" s="13" t="inlineStr">
        <is>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is>
      </c>
      <c r="E4066" s="13" t="inlineStr">
        <is>
          <t>{2}{R}</t>
        </is>
      </c>
      <c r="F4066" s="13" t="inlineStr">
        <is>
          <t>Vermelho</t>
        </is>
      </c>
      <c r="G4066" s="8" t="n">
        <v>0.04</v>
      </c>
      <c r="H4066" s="13" t="inlineStr">
        <is>
          <t>Magic Origins (ORI)</t>
        </is>
      </c>
      <c r="I4066" s="13" t="inlineStr">
        <is>
          <t>Não</t>
        </is>
      </c>
      <c r="J4066" s="13" t="n">
        <v>2015</v>
      </c>
      <c r="K4066" s="10" t="n">
        <v>46055</v>
      </c>
      <c r="L4066" s="13" t="n">
        <v>2</v>
      </c>
      <c r="M4066" s="8">
        <f>L4066*G4066</f>
        <v/>
      </c>
      <c r="P4066" s="9" t="n"/>
    </row>
    <row r="4067">
      <c r="A4067" s="13" t="inlineStr">
        <is>
          <t>Salivating Gremlins / Gremlins Salivantes</t>
        </is>
      </c>
      <c r="B4067" s="13" t="inlineStr">
        <is>
          <t>Creature — Gremlin / Criatura — Gremlin</t>
        </is>
      </c>
      <c r="C4067" s="13" t="inlineStr">
        <is>
          <t>Common / Comum</t>
        </is>
      </c>
      <c r="D4067" s="13" t="inlineStr">
        <is>
          <t>Whenever an artifact you control enters, this creature gets +2/+0 and gains trample until end of turn. / Toda vez que um artefato entra no campo de batalha sob seu controle, Gremlins Salivantes recebe +2/+0 e ganha atropelar até o final do turno.</t>
        </is>
      </c>
      <c r="E4067" s="13" t="inlineStr">
        <is>
          <t>{2}{R}</t>
        </is>
      </c>
      <c r="F4067" s="13" t="inlineStr">
        <is>
          <t>Vermelho</t>
        </is>
      </c>
      <c r="G4067" s="8" t="n">
        <v>0.04</v>
      </c>
      <c r="H4067" s="13" t="inlineStr">
        <is>
          <t>Kaladesh (KLD)</t>
        </is>
      </c>
      <c r="I4067" s="13" t="inlineStr">
        <is>
          <t>Não</t>
        </is>
      </c>
      <c r="J4067" s="13" t="n">
        <v>2016</v>
      </c>
      <c r="K4067" s="10" t="n">
        <v>46083</v>
      </c>
      <c r="L4067" s="13" t="n">
        <v>2</v>
      </c>
      <c r="M4067" s="8">
        <f>L4067*G4067</f>
        <v/>
      </c>
      <c r="P4067" s="9" t="n"/>
    </row>
    <row r="4068">
      <c r="A4068" s="13" t="inlineStr">
        <is>
          <t>Bloodmad Vampire / Vampira Sanguinsana</t>
        </is>
      </c>
      <c r="B4068" s="13" t="inlineStr">
        <is>
          <t>Creature — Vampire Berserker / Criatura — Vampiro Amoque</t>
        </is>
      </c>
      <c r="C4068" s="13" t="inlineStr">
        <is>
          <t>Common / Comum</t>
        </is>
      </c>
      <c r="D4068" s="13" t="inlineStr">
        <is>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is>
      </c>
      <c r="E4068" s="13" t="inlineStr">
        <is>
          <t>{2}{R}</t>
        </is>
      </c>
      <c r="F4068" s="13" t="inlineStr">
        <is>
          <t>Vermelho</t>
        </is>
      </c>
      <c r="G4068" s="8" t="n">
        <v>0.1</v>
      </c>
      <c r="H4068" s="13" t="inlineStr">
        <is>
          <t>Shadows over Innistrad (SOI)</t>
        </is>
      </c>
      <c r="I4068" s="13" t="inlineStr">
        <is>
          <t>Não</t>
        </is>
      </c>
      <c r="J4068" s="13" t="n">
        <v>2016</v>
      </c>
      <c r="K4068" s="10" t="n">
        <v>46026</v>
      </c>
      <c r="L4068" s="13" t="n">
        <v>1</v>
      </c>
      <c r="M4068" s="8">
        <f>L4068*G4068</f>
        <v/>
      </c>
      <c r="P4068" s="9" t="n"/>
    </row>
    <row r="4069">
      <c r="A4069" s="13" t="inlineStr">
        <is>
          <t>Voldaren Duelist / Duelista Voldaren</t>
        </is>
      </c>
      <c r="B4069" s="13" t="inlineStr">
        <is>
          <t>Creature — Vampire Warrior / Criatura — Vampiro Guerreiro</t>
        </is>
      </c>
      <c r="C4069" s="13" t="inlineStr">
        <is>
          <t>Common / Comum</t>
        </is>
      </c>
      <c r="D4069" s="13" t="inlineStr">
        <is>
          <t>Haste When this creature enters, target creature can't block this turn. / Ímpeto Quando Duelista Voldaren entra no campo de batalha, a criatura alvo não pode bloquear neste turno.</t>
        </is>
      </c>
      <c r="E4069" s="13" t="inlineStr">
        <is>
          <t>{3}{R}</t>
        </is>
      </c>
      <c r="F4069" s="13" t="inlineStr">
        <is>
          <t>Vermelho</t>
        </is>
      </c>
      <c r="G4069" s="8" t="n">
        <v>0.1</v>
      </c>
      <c r="H4069" s="13" t="inlineStr">
        <is>
          <t>Shadows over Innistrad (SOI)</t>
        </is>
      </c>
      <c r="I4069" s="13" t="inlineStr">
        <is>
          <t>Não</t>
        </is>
      </c>
      <c r="J4069" s="13" t="n">
        <v>2016</v>
      </c>
      <c r="K4069" s="10" t="n">
        <v>46056</v>
      </c>
      <c r="L4069" s="13" t="n">
        <v>1</v>
      </c>
      <c r="M4069" s="8">
        <f>L4069*G4069</f>
        <v/>
      </c>
      <c r="P4069" s="9" t="n"/>
    </row>
    <row r="4070">
      <c r="A4070" s="13" t="inlineStr">
        <is>
          <t>Goblin Trailblazer / Desbravador Goblin</t>
        </is>
      </c>
      <c r="B4070" s="13" t="inlineStr">
        <is>
          <t>Creature — Goblin Pirate / Criatura — Goblin Pirata</t>
        </is>
      </c>
      <c r="C4070" s="13" t="inlineStr">
        <is>
          <t>Common / Comum</t>
        </is>
      </c>
      <c r="D4070" s="13" t="inlineStr">
        <is>
          <t>Menace (This creature can't be blocked except by two or more creatures.) / Ameaçar</t>
        </is>
      </c>
      <c r="E4070" s="13" t="inlineStr">
        <is>
          <t>{1}{R}</t>
        </is>
      </c>
      <c r="F4070" s="13" t="inlineStr">
        <is>
          <t>Vermelho</t>
        </is>
      </c>
      <c r="G4070" s="8" t="n">
        <v>0.04</v>
      </c>
      <c r="H4070" s="13" t="inlineStr">
        <is>
          <t>Rivals of Ixalan (RIX)</t>
        </is>
      </c>
      <c r="I4070" s="13" t="inlineStr">
        <is>
          <t>Não</t>
        </is>
      </c>
      <c r="J4070" s="13" t="n">
        <v>2018</v>
      </c>
      <c r="K4070" s="10" t="n">
        <v>46024</v>
      </c>
      <c r="L4070" s="13" t="n">
        <v>1</v>
      </c>
      <c r="M4070" s="8">
        <f>L4070*G4070</f>
        <v/>
      </c>
      <c r="P4070" s="9" t="n"/>
    </row>
    <row r="4071">
      <c r="A4071" s="13" t="inlineStr">
        <is>
          <t>Oread of Mountain's Blaze / Oréade da Labareda Montanhesca</t>
        </is>
      </c>
      <c r="B4071" s="13" t="inlineStr">
        <is>
          <t>Enchantment Creature — Nymph / Criatura Encantamento — Ninfa</t>
        </is>
      </c>
      <c r="C4071" s="13" t="inlineStr">
        <is>
          <t>Common / Comum</t>
        </is>
      </c>
      <c r="D4071" s="13" t="inlineStr">
        <is>
          <t>{2}{R}, Discard a card: Draw a card. / {2}{R}, descarte um card: Compre um card.</t>
        </is>
      </c>
      <c r="E4071" s="13" t="inlineStr">
        <is>
          <t>{1}{R}</t>
        </is>
      </c>
      <c r="F4071" s="13" t="inlineStr">
        <is>
          <t>Vermelho</t>
        </is>
      </c>
      <c r="G4071" s="8" t="n">
        <v>0.04</v>
      </c>
      <c r="H4071" s="13" t="inlineStr">
        <is>
          <t>Theros Beyond Death (THB)</t>
        </is>
      </c>
      <c r="I4071" s="13" t="inlineStr">
        <is>
          <t>Não</t>
        </is>
      </c>
      <c r="J4071" s="13" t="n">
        <v>2020</v>
      </c>
      <c r="K4071" s="10" t="n">
        <v>46082</v>
      </c>
      <c r="L4071" s="13" t="n">
        <v>1</v>
      </c>
      <c r="M4071" s="8">
        <f>L4071*G4071</f>
        <v/>
      </c>
      <c r="P4071" s="9" t="n"/>
    </row>
    <row r="4072">
      <c r="A4072" s="13" t="inlineStr">
        <is>
          <t>Rummaging Goblin / Goblin Escarafunchador</t>
        </is>
      </c>
      <c r="B4072" s="13" t="inlineStr">
        <is>
          <t>Creature — Goblin Rogue / Criatura — Goblin Ladino</t>
        </is>
      </c>
      <c r="C4072" s="13" t="inlineStr">
        <is>
          <t>Common / Comum</t>
        </is>
      </c>
      <c r="D4072" s="13" t="inlineStr">
        <is>
          <t>{T}, Discard a card: Draw a card. / {T}, descarte um card: Compre um card.</t>
        </is>
      </c>
      <c r="E4072" s="13" t="inlineStr">
        <is>
          <t>{2}{R}</t>
        </is>
      </c>
      <c r="F4072" s="13" t="inlineStr">
        <is>
          <t>Vermelho</t>
        </is>
      </c>
      <c r="G4072" s="8" t="n">
        <v>0.06</v>
      </c>
      <c r="H4072" s="13" t="inlineStr">
        <is>
          <t>Ixalan (XLN)</t>
        </is>
      </c>
      <c r="I4072" s="13" t="inlineStr">
        <is>
          <t>Não</t>
        </is>
      </c>
      <c r="J4072" s="13" t="n">
        <v>2017</v>
      </c>
      <c r="K4072" s="10" t="n">
        <v>46023</v>
      </c>
      <c r="L4072" s="13" t="n">
        <v>1</v>
      </c>
      <c r="M4072" s="8">
        <f>L4072*G4072</f>
        <v/>
      </c>
      <c r="P4072" s="9" t="n"/>
    </row>
    <row r="4073">
      <c r="A4073" s="13" t="inlineStr">
        <is>
          <t>Reckless Brute / Brutamontes Inconsequente</t>
        </is>
      </c>
      <c r="B4073" s="13" t="inlineStr">
        <is>
          <t>Creature — Ogre Warrior / Criatura — Ogre Guerreiro</t>
        </is>
      </c>
      <c r="C4073" s="13" t="inlineStr">
        <is>
          <t>Common / Comum</t>
        </is>
      </c>
      <c r="D4073" s="13" t="inlineStr">
        <is>
          <t>Haste (This creature can attack and {T} as soon as it comes under your control.) This creature attacks each combat if able. / Ímpeto (Esta criatura pode atacar e {T} assim que entra sob seu controle.) Brutamontes Inconsequente ataca a cada turno se estiver apto.</t>
        </is>
      </c>
      <c r="E4073" s="13" t="inlineStr">
        <is>
          <t>{2}{R}</t>
        </is>
      </c>
      <c r="F4073" s="13" t="inlineStr">
        <is>
          <t>Vermelho</t>
        </is>
      </c>
      <c r="G4073" s="8" t="n">
        <v>0.05</v>
      </c>
      <c r="H4073" s="13" t="inlineStr">
        <is>
          <t>Magic 2013 (M13)</t>
        </is>
      </c>
      <c r="I4073" s="13" t="inlineStr">
        <is>
          <t>Não</t>
        </is>
      </c>
      <c r="J4073" s="13" t="n">
        <v>2012</v>
      </c>
      <c r="K4073" s="10" t="n">
        <v>46025</v>
      </c>
      <c r="L4073" s="13" t="n">
        <v>1</v>
      </c>
      <c r="M4073" s="8">
        <f>L4073*G4073</f>
        <v/>
      </c>
      <c r="P4073" s="9" t="n"/>
    </row>
    <row r="4074">
      <c r="A4074" s="13" t="inlineStr">
        <is>
          <t>Blisterspit Gremlin / Gremlin do Cuspe Corrosivo</t>
        </is>
      </c>
      <c r="B4074" s="13" t="inlineStr">
        <is>
          <t>Creature — Gremlin / Criatura — Gremlin</t>
        </is>
      </c>
      <c r="C4074" s="13" t="inlineStr">
        <is>
          <t>Common / Comum</t>
        </is>
      </c>
      <c r="D4074" s="13" t="inlineStr">
        <is>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is>
      </c>
      <c r="E4074" s="13" t="inlineStr">
        <is>
          <t>{R}</t>
        </is>
      </c>
      <c r="F4074" s="13" t="inlineStr">
        <is>
          <t>Vermelho</t>
        </is>
      </c>
      <c r="G4074" s="8" t="n">
        <v>0.05</v>
      </c>
      <c r="H4074" s="13" t="inlineStr">
        <is>
          <t>Ikoria: Lair of Behemoths (IKO)</t>
        </is>
      </c>
      <c r="I4074" s="13" t="inlineStr">
        <is>
          <t>Não</t>
        </is>
      </c>
      <c r="J4074" s="13" t="n">
        <v>2020</v>
      </c>
      <c r="K4074" s="10" t="n">
        <v>46023</v>
      </c>
      <c r="L4074" s="13" t="n">
        <v>1</v>
      </c>
      <c r="M4074" s="8">
        <f>L4074*G4074</f>
        <v/>
      </c>
      <c r="P4074" s="9" t="n"/>
    </row>
    <row r="4075">
      <c r="A4075" s="13" t="inlineStr">
        <is>
          <t>Spireside Infiltrator / Infiltrador das Torres</t>
        </is>
      </c>
      <c r="B4075" s="13" t="inlineStr">
        <is>
          <t>Creature — Human Rogue / Criatura — Humano Ladino</t>
        </is>
      </c>
      <c r="C4075" s="13" t="inlineStr">
        <is>
          <t>Common / Comum</t>
        </is>
      </c>
      <c r="D4075" s="13" t="inlineStr">
        <is>
          <t>Whenever this creature becomes tapped, it deals 1 damage to each opponent. / Toda vez que Infiltrador das Torres é virado, ele causa 1 ponto de dano a cada oponente.</t>
        </is>
      </c>
      <c r="E4075" s="13" t="inlineStr">
        <is>
          <t>{2}{R}</t>
        </is>
      </c>
      <c r="F4075" s="13" t="inlineStr">
        <is>
          <t>Vermelho</t>
        </is>
      </c>
      <c r="G4075" s="8" t="n">
        <v>0.04</v>
      </c>
      <c r="H4075" s="13" t="inlineStr">
        <is>
          <t>Kaladesh (KLD)</t>
        </is>
      </c>
      <c r="I4075" s="13" t="inlineStr">
        <is>
          <t>Não</t>
        </is>
      </c>
      <c r="J4075" s="13" t="n">
        <v>2016</v>
      </c>
      <c r="K4075" s="10" t="n">
        <v>46056</v>
      </c>
      <c r="L4075" s="13" t="n">
        <v>1</v>
      </c>
      <c r="M4075" s="8">
        <f>L4075*G4075</f>
        <v/>
      </c>
      <c r="P4075" s="9" t="n"/>
    </row>
    <row r="4076">
      <c r="A4076" s="13" t="inlineStr">
        <is>
          <t>Ruinous Gremlin / Gremlin Ruinoso</t>
        </is>
      </c>
      <c r="B4076" s="13" t="inlineStr">
        <is>
          <t>Creature — Gremlin / Criatura — Gremlin</t>
        </is>
      </c>
      <c r="C4076" s="13" t="inlineStr">
        <is>
          <t>Common / Comum</t>
        </is>
      </c>
      <c r="D4076" s="13" t="inlineStr">
        <is>
          <t>{2}{R}, Sacrifice this creature: Destroy target artifact. / {2}{R}, Sacrifique Gremlin Ruinoso: Destrua o artefato alvo.</t>
        </is>
      </c>
      <c r="E4076" s="13" t="inlineStr">
        <is>
          <t>{R}</t>
        </is>
      </c>
      <c r="F4076" s="13" t="inlineStr">
        <is>
          <t>Vermelho</t>
        </is>
      </c>
      <c r="G4076" s="8" t="n">
        <v>0.04</v>
      </c>
      <c r="H4076" s="13" t="inlineStr">
        <is>
          <t>Kaladesh (KLD)</t>
        </is>
      </c>
      <c r="I4076" s="13" t="inlineStr">
        <is>
          <t>Não</t>
        </is>
      </c>
      <c r="J4076" s="13" t="n">
        <v>2016</v>
      </c>
      <c r="K4076" s="10" t="n">
        <v>46023</v>
      </c>
      <c r="L4076" s="13" t="n">
        <v>1</v>
      </c>
      <c r="M4076" s="8">
        <f>L4076*G4076</f>
        <v/>
      </c>
      <c r="P4076" s="9" t="n"/>
    </row>
    <row r="4077">
      <c r="A4077" s="13" t="inlineStr">
        <is>
          <t>Hulking Devil / Diabo Brutamontes</t>
        </is>
      </c>
      <c r="B4077" s="13" t="inlineStr">
        <is>
          <t>Creature — Devil / Criatura — Diabo</t>
        </is>
      </c>
      <c r="C4077" s="13" t="inlineStr">
        <is>
          <t>Common / Comum</t>
        </is>
      </c>
      <c r="E4077" s="13" t="inlineStr">
        <is>
          <t>{3}{R}</t>
        </is>
      </c>
      <c r="F4077" s="13" t="inlineStr">
        <is>
          <t>Vermelho</t>
        </is>
      </c>
      <c r="G4077" s="8" t="n">
        <v>0.05</v>
      </c>
      <c r="H4077" s="13" t="inlineStr">
        <is>
          <t>Shadows over Innistrad (SOI)</t>
        </is>
      </c>
      <c r="I4077" s="13" t="inlineStr">
        <is>
          <t>Não</t>
        </is>
      </c>
      <c r="J4077" s="13" t="n">
        <v>2016</v>
      </c>
      <c r="K4077" s="10" t="n">
        <v>46058</v>
      </c>
      <c r="L4077" s="13" t="n">
        <v>1</v>
      </c>
      <c r="M4077" s="8">
        <f>L4077*G4077</f>
        <v/>
      </c>
      <c r="P4077" s="9" t="n"/>
    </row>
    <row r="4078">
      <c r="A4078" s="13" t="inlineStr">
        <is>
          <t>Inferno Titan / Titã do Inferno</t>
        </is>
      </c>
      <c r="B4078" s="13" t="inlineStr">
        <is>
          <t>Creature — Giant / Criatura — Gigante</t>
        </is>
      </c>
      <c r="C4078" s="13" t="inlineStr">
        <is>
          <t>Mythic / Mítica</t>
        </is>
      </c>
      <c r="D4078" s="13" t="inlineStr">
        <is>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is>
      </c>
      <c r="E4078" s="13" t="inlineStr">
        <is>
          <t>{4}{R}{R}</t>
        </is>
      </c>
      <c r="F4078" s="13" t="inlineStr">
        <is>
          <t>Vermelho</t>
        </is>
      </c>
      <c r="G4078" s="8" t="n">
        <v>1.05</v>
      </c>
      <c r="H4078" s="13" t="inlineStr">
        <is>
          <t>Tales of Middle-earth Commander (LTC)</t>
        </is>
      </c>
      <c r="I4078" s="13" t="inlineStr">
        <is>
          <t>Não</t>
        </is>
      </c>
      <c r="J4078" s="13" t="n">
        <v>2023</v>
      </c>
      <c r="K4078" s="10" t="n">
        <v>46179</v>
      </c>
      <c r="L4078" s="13" t="n">
        <v>1</v>
      </c>
      <c r="M4078" s="8">
        <f>L4078*G4078</f>
        <v/>
      </c>
      <c r="N4078" s="13" t="inlineStr">
        <is>
          <t>Pasta</t>
        </is>
      </c>
      <c r="P4078" s="9" t="n"/>
    </row>
    <row r="4079">
      <c r="A4079" s="13" t="inlineStr">
        <is>
          <t>Village Messenger / Mensageira da Aldeia</t>
        </is>
      </c>
      <c r="B4079" s="13" t="inlineStr">
        <is>
          <t>Creature — Human Werewolf / Criatura — Humano Lobisomem</t>
        </is>
      </c>
      <c r="C4079" s="13" t="inlineStr">
        <is>
          <t>Uncommon / Incomum</t>
        </is>
      </c>
      <c r="D4079" s="13" t="inlineStr">
        <is>
          <t>Haste At the beginning of each upkeep, if no spells were cast last turn, transform this creature. / Ímpeto No início de cada manutenção, se nenhuma mágica tiver sido conjurada no último turno, transforme Mensageira da Aldeia.</t>
        </is>
      </c>
      <c r="E4079" s="13" t="inlineStr">
        <is>
          <t>{R}</t>
        </is>
      </c>
      <c r="F4079" s="13" t="inlineStr">
        <is>
          <t>Vermelho</t>
        </is>
      </c>
      <c r="G4079" s="8" t="n">
        <v>0.2</v>
      </c>
      <c r="H4079" s="13" t="inlineStr">
        <is>
          <t>Shadows over Innistrad (SOI)</t>
        </is>
      </c>
      <c r="I4079" s="13" t="inlineStr">
        <is>
          <t>Não</t>
        </is>
      </c>
      <c r="J4079" s="13" t="n">
        <v>2016</v>
      </c>
      <c r="K4079" s="10" t="n">
        <v>46023</v>
      </c>
      <c r="L4079" s="13" t="n">
        <v>1</v>
      </c>
      <c r="M4079" s="8">
        <f>L4079*G4079</f>
        <v/>
      </c>
      <c r="P4079" s="9" t="n"/>
    </row>
    <row r="4080">
      <c r="A4080" s="13" t="inlineStr">
        <is>
          <t>Weaver of Lightning / Tecelão de Raios</t>
        </is>
      </c>
      <c r="B4080" s="13" t="inlineStr">
        <is>
          <t>Creature — Human Shaman / Criatura — Humano Xamã</t>
        </is>
      </c>
      <c r="C4080" s="13" t="inlineStr">
        <is>
          <t>Uncommon / Incomum</t>
        </is>
      </c>
      <c r="D4080" s="13" t="inlineStr">
        <is>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is>
      </c>
      <c r="E4080" s="13" t="inlineStr">
        <is>
          <t>{2}{R}</t>
        </is>
      </c>
      <c r="F4080" s="13" t="inlineStr">
        <is>
          <t>Vermelho</t>
        </is>
      </c>
      <c r="G4080" s="8" t="n">
        <v>0.05</v>
      </c>
      <c r="H4080" s="13" t="inlineStr">
        <is>
          <t>Eldritch Moon (EMN)</t>
        </is>
      </c>
      <c r="I4080" s="13" t="inlineStr">
        <is>
          <t>Não</t>
        </is>
      </c>
      <c r="J4080" s="13" t="n">
        <v>2016</v>
      </c>
      <c r="K4080" s="10" t="n">
        <v>46113</v>
      </c>
      <c r="L4080" s="13" t="n">
        <v>1</v>
      </c>
      <c r="M4080" s="8">
        <f>L4080*G4080</f>
        <v/>
      </c>
      <c r="P4080" s="9" t="n"/>
    </row>
    <row r="4081">
      <c r="A4081" s="13" t="inlineStr">
        <is>
          <t>Rubblebelt Recluse / Recluso da Faixa de Escombros</t>
        </is>
      </c>
      <c r="B4081" s="13" t="inlineStr">
        <is>
          <t>Creature — Ogre Berserker / Criatura — Ogro Amoque</t>
        </is>
      </c>
      <c r="C4081" s="13" t="inlineStr">
        <is>
          <t>Common / Comum</t>
        </is>
      </c>
      <c r="D4081" s="13" t="inlineStr">
        <is>
          <t>This creature attacks each combat if able. / Recluso da Faixa de Escombros ataca a cada combate se estiver apto.</t>
        </is>
      </c>
      <c r="E4081" s="13" t="inlineStr">
        <is>
          <t>{4}{R}</t>
        </is>
      </c>
      <c r="F4081" s="13" t="inlineStr">
        <is>
          <t>Vermelho</t>
        </is>
      </c>
      <c r="G4081" s="8" t="n">
        <v>0.04</v>
      </c>
      <c r="H4081" s="13" t="inlineStr">
        <is>
          <t>Ravnica Allegiance (RNA)</t>
        </is>
      </c>
      <c r="I4081" s="13" t="inlineStr">
        <is>
          <t>Não</t>
        </is>
      </c>
      <c r="J4081" s="13" t="n">
        <v>2019</v>
      </c>
      <c r="K4081" s="10" t="n">
        <v>46148</v>
      </c>
      <c r="L4081" s="13" t="n">
        <v>1</v>
      </c>
      <c r="M4081" s="8">
        <f>L4081*G4081</f>
        <v/>
      </c>
      <c r="P4081" s="9" t="n"/>
    </row>
    <row r="4082">
      <c r="A4082" s="13" t="inlineStr">
        <is>
          <t>Spikewheel Acrobat / Acrobata da Roda Espinhosa</t>
        </is>
      </c>
      <c r="B4082" s="13" t="inlineStr">
        <is>
          <t>Creature — Human Rogue / Criatura — Humano Ladino</t>
        </is>
      </c>
      <c r="C4082" s="13" t="inlineStr">
        <is>
          <t>Common / Comum</t>
        </is>
      </c>
      <c r="D4082" s="13" t="inlineStr">
        <is>
          <t>Spectacle {2}{R} (You may cast this spell for its spectacle cost rather than its mana cost if an opponent lost life this turn.) / Espetáculo {2}{R} (Você pode conjurar esta mágica por seu custo de espetáculo, em vez de seu custo de mana, se um oponente perdeu pontos de vida neste turno.)</t>
        </is>
      </c>
      <c r="E4082" s="13" t="inlineStr">
        <is>
          <t>{3}{R}</t>
        </is>
      </c>
      <c r="F4082" s="13" t="inlineStr">
        <is>
          <t>Vermelho</t>
        </is>
      </c>
      <c r="G4082" s="8" t="n">
        <v>0.04</v>
      </c>
      <c r="H4082" s="13" t="inlineStr">
        <is>
          <t>Ravnica Allegiance (RNA)</t>
        </is>
      </c>
      <c r="I4082" s="13" t="inlineStr">
        <is>
          <t>Não</t>
        </is>
      </c>
      <c r="J4082" s="13" t="n">
        <v>2019</v>
      </c>
      <c r="K4082" s="10" t="n">
        <v>46058</v>
      </c>
      <c r="L4082" s="13" t="n">
        <v>1</v>
      </c>
      <c r="M4082" s="8">
        <f>L4082*G4082</f>
        <v/>
      </c>
      <c r="P4082" s="9" t="n"/>
    </row>
    <row r="4083">
      <c r="A4083" s="13" t="inlineStr">
        <is>
          <t>Feral Maaka / Maaka Feroz</t>
        </is>
      </c>
      <c r="B4083" s="13" t="inlineStr">
        <is>
          <t>Creature — Cat / Criatura — Felino</t>
        </is>
      </c>
      <c r="C4083" s="13" t="inlineStr">
        <is>
          <t>Common / Comum</t>
        </is>
      </c>
      <c r="E4083" s="13" t="inlineStr">
        <is>
          <t>{1}{R}</t>
        </is>
      </c>
      <c r="F4083" s="13" t="inlineStr">
        <is>
          <t>Vermelho</t>
        </is>
      </c>
      <c r="G4083" s="8" t="n">
        <v>0.04</v>
      </c>
      <c r="H4083" s="13" t="inlineStr">
        <is>
          <t>Ravnica Allegiance (RNA)</t>
        </is>
      </c>
      <c r="I4083" s="13" t="inlineStr">
        <is>
          <t>Não</t>
        </is>
      </c>
      <c r="J4083" s="13" t="n">
        <v>2019</v>
      </c>
      <c r="K4083" s="10" t="n">
        <v>46055</v>
      </c>
      <c r="L4083" s="13" t="n">
        <v>1</v>
      </c>
      <c r="M4083" s="8">
        <f>L4083*G4083</f>
        <v/>
      </c>
      <c r="P4083" s="9" t="n"/>
    </row>
    <row r="4084">
      <c r="A4084" s="13" t="inlineStr">
        <is>
          <t>Impetuous Sunchaser / Perseguidor do Sol Impetuoso</t>
        </is>
      </c>
      <c r="B4084" s="13" t="inlineStr">
        <is>
          <t>Creature — Human Soldier / Criatura — Humano Soldado</t>
        </is>
      </c>
      <c r="C4084" s="13" t="inlineStr">
        <is>
          <t>Common / Comum</t>
        </is>
      </c>
      <c r="D4084" s="13" t="inlineStr">
        <is>
          <t>Flying, haste This creature attacks each combat if able. / Voar, ímpeto Perseguidor do Sol Impetuoso ataca a cada turno se estiver apto.</t>
        </is>
      </c>
      <c r="E4084" s="13" t="inlineStr">
        <is>
          <t>{1}{R}</t>
        </is>
      </c>
      <c r="F4084" s="13" t="inlineStr">
        <is>
          <t>Vermelho</t>
        </is>
      </c>
      <c r="G4084" s="8" t="n">
        <v>0.04</v>
      </c>
      <c r="H4084" s="13" t="inlineStr">
        <is>
          <t>Born of the Gods (BNG)</t>
        </is>
      </c>
      <c r="I4084" s="13" t="inlineStr">
        <is>
          <t>Não</t>
        </is>
      </c>
      <c r="J4084" s="13" t="n">
        <v>2014</v>
      </c>
      <c r="K4084" s="10" t="n">
        <v>46023</v>
      </c>
      <c r="L4084" s="13" t="n">
        <v>1</v>
      </c>
      <c r="M4084" s="8">
        <f>L4084*G4084</f>
        <v/>
      </c>
      <c r="P4084" s="9" t="n"/>
    </row>
    <row r="4085">
      <c r="A4085" s="13" t="inlineStr">
        <is>
          <t>Reckless Reveler / Orgíaco Imprudente</t>
        </is>
      </c>
      <c r="B4085" s="13" t="inlineStr">
        <is>
          <t>Creature — Satyr / Criatura — Sátiro</t>
        </is>
      </c>
      <c r="C4085" s="13" t="inlineStr">
        <is>
          <t>Common / Comum</t>
        </is>
      </c>
      <c r="D4085" s="13" t="inlineStr">
        <is>
          <t>{R}, Sacrifice this creature: Destroy target artifact. / {R}, Sacrifique Orgíaco Imprudente: Destrua o artefato alvo.</t>
        </is>
      </c>
      <c r="E4085" s="13" t="inlineStr">
        <is>
          <t>{1}{R}</t>
        </is>
      </c>
      <c r="F4085" s="13" t="inlineStr">
        <is>
          <t>Vermelho</t>
        </is>
      </c>
      <c r="G4085" s="8" t="n">
        <v>0.04</v>
      </c>
      <c r="H4085" s="13" t="inlineStr">
        <is>
          <t>Born of the Gods (BNG)</t>
        </is>
      </c>
      <c r="I4085" s="13" t="inlineStr">
        <is>
          <t>Não</t>
        </is>
      </c>
      <c r="J4085" s="13" t="n">
        <v>2014</v>
      </c>
      <c r="K4085" s="10" t="n">
        <v>46024</v>
      </c>
      <c r="L4085" s="13" t="n">
        <v>1</v>
      </c>
      <c r="M4085" s="8">
        <f>L4085*G4085</f>
        <v/>
      </c>
      <c r="P4085" s="9" t="n"/>
    </row>
    <row r="4086">
      <c r="A4086" s="13" t="inlineStr">
        <is>
          <t>Splatter Thug / Rufião Esguichador</t>
        </is>
      </c>
      <c r="B4086" s="13" t="inlineStr">
        <is>
          <t>Creature — Human Warrior / Criatura — Humano Guerreiro</t>
        </is>
      </c>
      <c r="C4086" s="13" t="inlineStr">
        <is>
          <t>Common / Comum</t>
        </is>
      </c>
      <c r="D4086" s="13" t="inlineStr">
        <is>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is>
      </c>
      <c r="E4086" s="13" t="inlineStr">
        <is>
          <t>{2}{R}</t>
        </is>
      </c>
      <c r="F4086" s="13" t="inlineStr">
        <is>
          <t>Vermelho</t>
        </is>
      </c>
      <c r="G4086" s="8" t="n">
        <v>0.03</v>
      </c>
      <c r="H4086" s="13" t="inlineStr">
        <is>
          <t>Return to Ravnica (RTR)</t>
        </is>
      </c>
      <c r="I4086" s="13" t="inlineStr">
        <is>
          <t>Não</t>
        </is>
      </c>
      <c r="J4086" s="13" t="n">
        <v>2012</v>
      </c>
      <c r="K4086" s="10" t="n">
        <v>46055</v>
      </c>
      <c r="L4086" s="13" t="n">
        <v>1</v>
      </c>
      <c r="M4086" s="8">
        <f>L4086*G4086</f>
        <v/>
      </c>
      <c r="P4086" s="9" t="n"/>
    </row>
    <row r="4087">
      <c r="A4087" s="13" t="inlineStr">
        <is>
          <t>Viashino Racketeer / Extorsionário Viashino</t>
        </is>
      </c>
      <c r="B4087" s="13" t="inlineStr">
        <is>
          <t>Creature — Lizard Rogue / Criatura — Viashino Ladino</t>
        </is>
      </c>
      <c r="C4087" s="13" t="inlineStr">
        <is>
          <t>Common / Comum</t>
        </is>
      </c>
      <c r="D4087" s="13" t="inlineStr">
        <is>
          <t>When this creature enters, you may discard a card. If you do, draw a card. / Quando Extorsionário Viashino entra no campo de batalha, você pode descartar um card. Se fizer isso, compre um card.</t>
        </is>
      </c>
      <c r="E4087" s="13" t="inlineStr">
        <is>
          <t>{2}{R}</t>
        </is>
      </c>
      <c r="F4087" s="13" t="inlineStr">
        <is>
          <t>Vermelho</t>
        </is>
      </c>
      <c r="G4087" s="8" t="n">
        <v>0.06</v>
      </c>
      <c r="H4087" s="13" t="inlineStr">
        <is>
          <t>Return to Ravnica (RTR)</t>
        </is>
      </c>
      <c r="I4087" s="13" t="inlineStr">
        <is>
          <t>Não</t>
        </is>
      </c>
      <c r="J4087" s="13" t="n">
        <v>2012</v>
      </c>
      <c r="K4087" s="10" t="n">
        <v>46024</v>
      </c>
      <c r="L4087" s="13" t="n">
        <v>1</v>
      </c>
      <c r="M4087" s="8">
        <f>L4087*G4087</f>
        <v/>
      </c>
      <c r="P4087" s="9" t="n"/>
    </row>
    <row r="4088">
      <c r="A4088" s="13" t="inlineStr">
        <is>
          <t>Deathbellow Raider / Salteador do Urro Mortal</t>
        </is>
      </c>
      <c r="B4088" s="13" t="inlineStr">
        <is>
          <t>Creature — Minotaur Berserker / Criatura — Minotauro Amoque</t>
        </is>
      </c>
      <c r="C4088" s="13" t="inlineStr">
        <is>
          <t>Common / Comum</t>
        </is>
      </c>
      <c r="D4088" s="13" t="inlineStr">
        <is>
          <t>This creature attacks each combat if able. {2}{B}: Regenerate this creature. / Salteador do Urro Mortal ataca a cada turno se estiver apto. {2}{B}: Regenere Salteador do Urro Mortal.</t>
        </is>
      </c>
      <c r="E4088" s="13" t="inlineStr">
        <is>
          <t>{1}{R}</t>
        </is>
      </c>
      <c r="F4088" s="13" t="inlineStr">
        <is>
          <t>Vermelho</t>
        </is>
      </c>
      <c r="G4088" s="8" t="n">
        <v>0.06</v>
      </c>
      <c r="H4088" s="13" t="inlineStr">
        <is>
          <t>Theros (THS)</t>
        </is>
      </c>
      <c r="I4088" s="13" t="inlineStr">
        <is>
          <t>Não</t>
        </is>
      </c>
      <c r="J4088" s="13" t="n">
        <v>2013</v>
      </c>
      <c r="K4088" s="10" t="n">
        <v>46083</v>
      </c>
      <c r="L4088" s="13" t="n">
        <v>1</v>
      </c>
      <c r="M4088" s="8">
        <f>L4088*G4088</f>
        <v/>
      </c>
      <c r="P4088" s="9" t="n"/>
    </row>
    <row r="4089">
      <c r="A4089" s="13" t="inlineStr">
        <is>
          <t>Lobber Crew / Equipe de Arremesso</t>
        </is>
      </c>
      <c r="B4089" s="13" t="inlineStr">
        <is>
          <t>Creature — Goblin Warrior / Criatura — Goblin Guerreiro</t>
        </is>
      </c>
      <c r="C4089" s="13" t="inlineStr">
        <is>
          <t>Common / Comum</t>
        </is>
      </c>
      <c r="D4089" s="13" t="inlineStr">
        <is>
          <t>Defender {T}: This creature deals 1 damage to each opponent. Whenever you cast a multicolored spell, untap this creature. / Defensor {T}: Equipe de Arremesso causa 1 ponto de dano a cada oponente. Toda vez que você conjurar uma mágica multicolorida, desvire Equipe de Arremesso.</t>
        </is>
      </c>
      <c r="E4089" s="13" t="inlineStr">
        <is>
          <t>{2}{R}</t>
        </is>
      </c>
      <c r="F4089" s="13" t="inlineStr">
        <is>
          <t>Vermelho</t>
        </is>
      </c>
      <c r="G4089" s="8" t="n">
        <v>0.06</v>
      </c>
      <c r="H4089" s="13" t="inlineStr">
        <is>
          <t>Return to Ravnica (RTR)</t>
        </is>
      </c>
      <c r="I4089" s="13" t="inlineStr">
        <is>
          <t>Não</t>
        </is>
      </c>
      <c r="J4089" s="13" t="n">
        <v>2012</v>
      </c>
      <c r="K4089" s="13" t="inlineStr">
        <is>
          <t>0/4</t>
        </is>
      </c>
      <c r="L4089" s="13" t="n">
        <v>1</v>
      </c>
      <c r="M4089" s="8">
        <f>L4089*G4089</f>
        <v/>
      </c>
      <c r="P4089" s="9" t="n"/>
    </row>
    <row r="4090">
      <c r="A4090" s="13" t="inlineStr">
        <is>
          <t>Tenement Crasher / Invasor de Habitação</t>
        </is>
      </c>
      <c r="B4090" s="13" t="inlineStr">
        <is>
          <t>Creature — Beast / Criatura — Besta</t>
        </is>
      </c>
      <c r="C4090" s="13" t="inlineStr">
        <is>
          <t>Common / Comum</t>
        </is>
      </c>
      <c r="D4090" s="13" t="inlineStr">
        <is>
          <t>Haste / Ímpeto</t>
        </is>
      </c>
      <c r="E4090" s="13" t="inlineStr">
        <is>
          <t>{5}{R}</t>
        </is>
      </c>
      <c r="F4090" s="13" t="inlineStr">
        <is>
          <t>Vermelho</t>
        </is>
      </c>
      <c r="G4090" s="8" t="n">
        <v>0.05</v>
      </c>
      <c r="H4090" s="13" t="inlineStr">
        <is>
          <t>Return to Ravnica (RTR)</t>
        </is>
      </c>
      <c r="I4090" s="13" t="inlineStr">
        <is>
          <t>Não</t>
        </is>
      </c>
      <c r="J4090" s="13" t="n">
        <v>2012</v>
      </c>
      <c r="K4090" s="10" t="n">
        <v>46117</v>
      </c>
      <c r="L4090" s="13" t="n">
        <v>1</v>
      </c>
      <c r="M4090" s="8">
        <f>L4090*G4090</f>
        <v/>
      </c>
      <c r="P4090" s="9" t="n"/>
    </row>
    <row r="4091">
      <c r="A4091" s="13" t="inlineStr">
        <is>
          <t>Three Tree Scribe</t>
        </is>
      </c>
      <c r="B4091" s="13" t="inlineStr">
        <is>
          <t>Creature — Frog Druid</t>
        </is>
      </c>
      <c r="C4091" s="13" t="inlineStr">
        <is>
          <t>Uncommon / Incomum</t>
        </is>
      </c>
      <c r="D4091" s="13" t="inlineStr">
        <is>
          <t>Whenever this creature or another creature you control leaves the battlefield without dying, put a +1/+1 counter on target creature you control.</t>
        </is>
      </c>
      <c r="E4091" s="13" t="inlineStr">
        <is>
          <t>{1}{G}</t>
        </is>
      </c>
      <c r="F4091" s="13" t="inlineStr">
        <is>
          <t>Verde</t>
        </is>
      </c>
      <c r="G4091" s="8" t="n">
        <v>0.15</v>
      </c>
      <c r="H4091" s="13" t="inlineStr">
        <is>
          <t>Bloomburrow (BLB)</t>
        </is>
      </c>
      <c r="I4091" s="13" t="inlineStr">
        <is>
          <t>Não</t>
        </is>
      </c>
      <c r="J4091" s="13" t="n">
        <v>2024</v>
      </c>
      <c r="K4091" s="10" t="n">
        <v>46083</v>
      </c>
      <c r="L4091" s="13" t="n">
        <v>1</v>
      </c>
      <c r="M4091" s="8">
        <f>L4091*G4091</f>
        <v/>
      </c>
      <c r="P4091" s="9" t="n"/>
    </row>
    <row r="4092">
      <c r="A4092" s="13" t="inlineStr">
        <is>
          <t>Great Teacher's Decree / Decreto do Grande Mestre</t>
        </is>
      </c>
      <c r="B4092" s="13" t="inlineStr">
        <is>
          <t>Sorcery / Feitiço</t>
        </is>
      </c>
      <c r="C4092" s="13" t="inlineStr">
        <is>
          <t>Uncommon / Incomum</t>
        </is>
      </c>
      <c r="D4092" s="13" t="inlineStr">
        <is>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is>
      </c>
      <c r="E4092" s="13" t="inlineStr">
        <is>
          <t>{3}{W}</t>
        </is>
      </c>
      <c r="F4092" s="13" t="inlineStr">
        <is>
          <t>Branco</t>
        </is>
      </c>
      <c r="G4092" s="8" t="n">
        <v>0.08</v>
      </c>
      <c r="H4092" s="13" t="inlineStr">
        <is>
          <t>Dragons of Tarkir (DTK)</t>
        </is>
      </c>
      <c r="I4092" s="13" t="inlineStr">
        <is>
          <t>Não</t>
        </is>
      </c>
      <c r="J4092" s="13" t="n">
        <v>2015</v>
      </c>
      <c r="L4092" s="13" t="n">
        <v>1</v>
      </c>
      <c r="M4092" s="8">
        <f>L4092*G4092</f>
        <v/>
      </c>
      <c r="P4092" s="9" t="n"/>
    </row>
    <row r="4093">
      <c r="A4093" s="13" t="inlineStr">
        <is>
          <t>Unconventional Tactics / Táticas Não Convencionais</t>
        </is>
      </c>
      <c r="B4093" s="13" t="inlineStr">
        <is>
          <t>Sorcery / Feitiço</t>
        </is>
      </c>
      <c r="C4093" s="13" t="inlineStr">
        <is>
          <t>Uncommon / Incomum</t>
        </is>
      </c>
      <c r="D4093" s="13" t="inlineStr">
        <is>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is>
      </c>
      <c r="E4093" s="13" t="inlineStr">
        <is>
          <t>{2}{W}</t>
        </is>
      </c>
      <c r="F4093" s="13" t="inlineStr">
        <is>
          <t>Branco</t>
        </is>
      </c>
      <c r="G4093" s="8" t="n">
        <v>0.04</v>
      </c>
      <c r="H4093" s="13" t="inlineStr">
        <is>
          <t>Hour of Devastation (HOU)</t>
        </is>
      </c>
      <c r="I4093" s="13" t="inlineStr">
        <is>
          <t>Não</t>
        </is>
      </c>
      <c r="J4093" s="13" t="n">
        <v>2017</v>
      </c>
      <c r="L4093" s="13" t="n">
        <v>1</v>
      </c>
      <c r="M4093" s="8">
        <f>L4093*G4093</f>
        <v/>
      </c>
      <c r="P4093" s="9" t="n"/>
    </row>
    <row r="4094">
      <c r="A4094" s="13" t="inlineStr">
        <is>
          <t>Excommunicate / Excomungar</t>
        </is>
      </c>
      <c r="B4094" s="13" t="inlineStr">
        <is>
          <t>Sorcery / Feitiço</t>
        </is>
      </c>
      <c r="C4094" s="13" t="inlineStr">
        <is>
          <t>Common / Comum</t>
        </is>
      </c>
      <c r="D4094" s="13" t="inlineStr">
        <is>
          <t>Put target creature on top of its owner's library. / Coloque a criatura alvo no topo do grimório de seu dono.</t>
        </is>
      </c>
      <c r="E4094" s="13" t="inlineStr">
        <is>
          <t>{2}{W}</t>
        </is>
      </c>
      <c r="F4094" s="13" t="inlineStr">
        <is>
          <t>Branco</t>
        </is>
      </c>
      <c r="G4094" s="8" t="n">
        <v>0.06</v>
      </c>
      <c r="H4094" s="13" t="inlineStr">
        <is>
          <t>Shards of Alara (ALA)</t>
        </is>
      </c>
      <c r="I4094" s="13" t="inlineStr">
        <is>
          <t>Não</t>
        </is>
      </c>
      <c r="J4094" s="13" t="n">
        <v>2008</v>
      </c>
      <c r="L4094" s="13" t="n">
        <v>1</v>
      </c>
      <c r="M4094" s="8">
        <f>L4094*G4094</f>
        <v/>
      </c>
      <c r="P4094" s="9" t="n"/>
    </row>
    <row r="4095">
      <c r="A4095" s="13" t="inlineStr">
        <is>
          <t>Sunlance / Lança Solar</t>
        </is>
      </c>
      <c r="B4095" s="13" t="inlineStr">
        <is>
          <t>Sorcery / Feitiço</t>
        </is>
      </c>
      <c r="C4095" s="13" t="inlineStr">
        <is>
          <t>Common / Comum</t>
        </is>
      </c>
      <c r="D4095" s="13" t="inlineStr">
        <is>
          <t>Sunlance deals 3 damage to target nonwhite creature. / Lança Solar causa 3 pontos de dano à criatura alvo que não seja branca.</t>
        </is>
      </c>
      <c r="E4095" s="13" t="inlineStr">
        <is>
          <t>{W}</t>
        </is>
      </c>
      <c r="F4095" s="13" t="inlineStr">
        <is>
          <t>Branco</t>
        </is>
      </c>
      <c r="G4095" s="8" t="n">
        <v>0.1</v>
      </c>
      <c r="H4095" s="13" t="inlineStr">
        <is>
          <t>Modern Masters 2015 (MM2)</t>
        </is>
      </c>
      <c r="I4095" s="13" t="inlineStr">
        <is>
          <t>Não</t>
        </is>
      </c>
      <c r="J4095" s="13" t="n">
        <v>2015</v>
      </c>
      <c r="L4095" s="13" t="n">
        <v>1</v>
      </c>
      <c r="M4095" s="8">
        <f>L4095*G4095</f>
        <v/>
      </c>
      <c r="P4095" s="9" t="n"/>
    </row>
    <row r="4096">
      <c r="A4096" s="13" t="inlineStr">
        <is>
          <t>Sworn Companions / Companheiros Jurados</t>
        </is>
      </c>
      <c r="B4096" s="13" t="inlineStr">
        <is>
          <t>Sorcery / Feitiço</t>
        </is>
      </c>
      <c r="C4096" s="13" t="inlineStr">
        <is>
          <t>Common / Comum</t>
        </is>
      </c>
      <c r="D4096" s="13" t="inlineStr">
        <is>
          <t>Create two 1/1 white Soldier creature tokens with lifelink. / Crie duas fichas de criatura branca 1/1 do tipo Soldado com vínculo com a vida.</t>
        </is>
      </c>
      <c r="E4096" s="13" t="inlineStr">
        <is>
          <t>{2}{W}</t>
        </is>
      </c>
      <c r="F4096" s="13" t="inlineStr">
        <is>
          <t>Branco</t>
        </is>
      </c>
      <c r="G4096" s="8" t="n">
        <v>0.04</v>
      </c>
      <c r="H4096" s="13" t="inlineStr">
        <is>
          <t>Guilds of Ravnica (GRN)</t>
        </is>
      </c>
      <c r="I4096" s="13" t="inlineStr">
        <is>
          <t>Não</t>
        </is>
      </c>
      <c r="J4096" s="13" t="n">
        <v>2018</v>
      </c>
      <c r="L4096" s="13" t="n">
        <v>1</v>
      </c>
      <c r="M4096" s="8">
        <f>L4096*G4096</f>
        <v/>
      </c>
      <c r="P4096" s="9" t="n"/>
    </row>
    <row r="4097">
      <c r="A4097" s="13" t="inlineStr">
        <is>
          <t>Single Combat / Combate Isolado</t>
        </is>
      </c>
      <c r="B4097" s="13" t="inlineStr">
        <is>
          <t>Sorcery / Feitiço</t>
        </is>
      </c>
      <c r="C4097" s="13" t="inlineStr">
        <is>
          <t>Rare / Rara</t>
        </is>
      </c>
      <c r="D4097" s="13" t="inlineStr">
        <is>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is>
      </c>
      <c r="E4097" s="13" t="inlineStr">
        <is>
          <t>{3}{W}{W}</t>
        </is>
      </c>
      <c r="F4097" s="13" t="inlineStr">
        <is>
          <t>Branco</t>
        </is>
      </c>
      <c r="G4097" s="8" t="n">
        <v>0.79</v>
      </c>
      <c r="H4097" s="13" t="inlineStr">
        <is>
          <t>War of the Spark (WAR)</t>
        </is>
      </c>
      <c r="I4097" s="13" t="inlineStr">
        <is>
          <t>Não</t>
        </is>
      </c>
      <c r="J4097" s="13" t="n">
        <v>2019</v>
      </c>
      <c r="L4097" s="13" t="n">
        <v>1</v>
      </c>
      <c r="M4097" s="8">
        <f>L4097*G4097</f>
        <v/>
      </c>
      <c r="P4097" s="9" t="n"/>
    </row>
    <row r="4098">
      <c r="A4098" s="13" t="inlineStr">
        <is>
          <t>Shoulder to Shoulder / Ombro a Ombro</t>
        </is>
      </c>
      <c r="B4098" s="13" t="inlineStr">
        <is>
          <t>Sorcery / Feitiço</t>
        </is>
      </c>
      <c r="C4098" s="13" t="inlineStr">
        <is>
          <t>Common / Comum</t>
        </is>
      </c>
      <c r="D4098" s="13" t="inlineStr">
        <is>
          <t>Support 2. (Put a +1/+1 counter on each of up to two target creatures.) Draw a card. / Suporte 2. (Coloque um marcador +1/+1 em cada uma de até duas criaturas alvo.) Compre um card.</t>
        </is>
      </c>
      <c r="E4098" s="13" t="inlineStr">
        <is>
          <t>{2}{W}</t>
        </is>
      </c>
      <c r="F4098" s="13" t="inlineStr">
        <is>
          <t>Branco</t>
        </is>
      </c>
      <c r="G4098" s="8" t="n">
        <v>0.04</v>
      </c>
      <c r="H4098" s="13" t="inlineStr">
        <is>
          <t>Oath of the Gatewatch (OGW)</t>
        </is>
      </c>
      <c r="I4098" s="13" t="inlineStr">
        <is>
          <t>Não</t>
        </is>
      </c>
      <c r="J4098" s="13" t="n">
        <v>2016</v>
      </c>
      <c r="L4098" s="13" t="n">
        <v>1</v>
      </c>
      <c r="M4098" s="8">
        <f>L4098*G4098</f>
        <v/>
      </c>
      <c r="P4098" s="9" t="n"/>
    </row>
    <row r="4099">
      <c r="A4099" s="13" t="inlineStr">
        <is>
          <t>Cleansing Ray / Fúlmen Purificador</t>
        </is>
      </c>
      <c r="B4099" s="13" t="inlineStr">
        <is>
          <t>Sorcery / Feitiço</t>
        </is>
      </c>
      <c r="C4099" s="13" t="inlineStr">
        <is>
          <t>Common / Comum</t>
        </is>
      </c>
      <c r="D4099" s="13" t="inlineStr">
        <is>
          <t>Choose one — • Destroy target Vampire. • Destroy target enchantment. / Escolha um — • Destrua o Vampiro alvo. • Destrua o encantamento alvo.</t>
        </is>
      </c>
      <c r="E4099" s="13" t="inlineStr">
        <is>
          <t>{1}{W}</t>
        </is>
      </c>
      <c r="F4099" s="13" t="inlineStr">
        <is>
          <t>Branco</t>
        </is>
      </c>
      <c r="G4099" s="8" t="n">
        <v>0.04</v>
      </c>
      <c r="H4099" s="13" t="inlineStr">
        <is>
          <t>Rivals of Ixalan (RIX)</t>
        </is>
      </c>
      <c r="I4099" s="13" t="inlineStr">
        <is>
          <t>Não</t>
        </is>
      </c>
      <c r="J4099" s="13" t="n">
        <v>2018</v>
      </c>
      <c r="L4099" s="13" t="n">
        <v>3</v>
      </c>
      <c r="M4099" s="8">
        <f>L4099*G4099</f>
        <v/>
      </c>
      <c r="P4099" s="9" t="n"/>
    </row>
    <row r="4100">
      <c r="A4100" s="13" t="inlineStr">
        <is>
          <t>Healing Hands / Mãos Curativas</t>
        </is>
      </c>
      <c r="B4100" s="13" t="inlineStr">
        <is>
          <t>Sorcery / Feitiço</t>
        </is>
      </c>
      <c r="C4100" s="13" t="inlineStr">
        <is>
          <t>Common / Comum</t>
        </is>
      </c>
      <c r="D4100" s="13" t="inlineStr">
        <is>
          <t>Target player gains 4 life. Draw a card. / O jogador alvo ganha 4 pontos de vida.Compre um card.</t>
        </is>
      </c>
      <c r="E4100" s="13" t="inlineStr">
        <is>
          <t>{2}{W}</t>
        </is>
      </c>
      <c r="F4100" s="13" t="inlineStr">
        <is>
          <t>Branco</t>
        </is>
      </c>
      <c r="G4100" s="8" t="n">
        <v>0.06</v>
      </c>
      <c r="H4100" s="13" t="inlineStr">
        <is>
          <t>Magic Origins (ORI)</t>
        </is>
      </c>
      <c r="I4100" s="13" t="inlineStr">
        <is>
          <t>Não</t>
        </is>
      </c>
      <c r="J4100" s="13" t="n">
        <v>2015</v>
      </c>
      <c r="L4100" s="13" t="n">
        <v>6</v>
      </c>
      <c r="M4100" s="8">
        <f>L4100*G4100</f>
        <v/>
      </c>
      <c r="P4100" s="9" t="n"/>
    </row>
    <row r="4101">
      <c r="A4101" s="13" t="inlineStr">
        <is>
          <t>Kytheon's Tactics / Táticas de Quiteon</t>
        </is>
      </c>
      <c r="B4101" s="13" t="inlineStr">
        <is>
          <t>Sorcery / Feitiço</t>
        </is>
      </c>
      <c r="C4101" s="13" t="inlineStr">
        <is>
          <t>Common / Comum</t>
        </is>
      </c>
      <c r="D4101" s="13" t="inlineStr">
        <is>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is>
      </c>
      <c r="E4101" s="13" t="inlineStr">
        <is>
          <t>{1}{W}{W}</t>
        </is>
      </c>
      <c r="F4101" s="13" t="inlineStr">
        <is>
          <t>Branco</t>
        </is>
      </c>
      <c r="G4101" s="8" t="n">
        <v>0.06</v>
      </c>
      <c r="H4101" s="13" t="inlineStr">
        <is>
          <t>Magic Origins (ORI)</t>
        </is>
      </c>
      <c r="I4101" s="13" t="inlineStr">
        <is>
          <t>Não</t>
        </is>
      </c>
      <c r="J4101" s="13" t="n">
        <v>2015</v>
      </c>
      <c r="L4101" s="13" t="n">
        <v>6</v>
      </c>
      <c r="M4101" s="8">
        <f>L4101*G4101</f>
        <v/>
      </c>
      <c r="P4101" s="9" t="n"/>
    </row>
    <row r="4102">
      <c r="A4102" s="13" t="inlineStr">
        <is>
          <t>Immolating Glare / Fulgor Imolante</t>
        </is>
      </c>
      <c r="B4102" s="13" t="inlineStr">
        <is>
          <t>Instant / Mágica Instantânea</t>
        </is>
      </c>
      <c r="C4102" s="13" t="inlineStr">
        <is>
          <t>Uncommon / Incomum</t>
        </is>
      </c>
      <c r="D4102" s="13" t="inlineStr">
        <is>
          <t>Destroy target attacking creature. / Destrua a criatura atacante alvo.</t>
        </is>
      </c>
      <c r="E4102" s="13" t="inlineStr">
        <is>
          <t>{1}{W}</t>
        </is>
      </c>
      <c r="F4102" s="13" t="inlineStr">
        <is>
          <t>Branco</t>
        </is>
      </c>
      <c r="G4102" s="8" t="n">
        <v>0.06</v>
      </c>
      <c r="H4102" s="13" t="inlineStr">
        <is>
          <t>Oath of the Gatewatch (OGW)</t>
        </is>
      </c>
      <c r="I4102" s="13" t="inlineStr">
        <is>
          <t>Não</t>
        </is>
      </c>
      <c r="J4102" s="13" t="n">
        <v>2016</v>
      </c>
      <c r="L4102" s="13" t="n">
        <v>1</v>
      </c>
      <c r="M4102" s="8">
        <f>L4102*G4102</f>
        <v/>
      </c>
      <c r="P4102" s="9" t="n"/>
    </row>
    <row r="4103">
      <c r="A4103" s="13" t="inlineStr">
        <is>
          <t>Justiciar's Portal / Portal do Justiciar</t>
        </is>
      </c>
      <c r="B4103" s="13" t="inlineStr">
        <is>
          <t>Instant / Mágica Instantânea</t>
        </is>
      </c>
      <c r="C4103" s="13" t="inlineStr">
        <is>
          <t>Common / Comum</t>
        </is>
      </c>
      <c r="D4103" s="13" t="inlineStr">
        <is>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is>
      </c>
      <c r="E4103" s="13" t="inlineStr">
        <is>
          <t>{1}{W}</t>
        </is>
      </c>
      <c r="F4103" s="13" t="inlineStr">
        <is>
          <t>Branco</t>
        </is>
      </c>
      <c r="G4103" s="8" t="n">
        <v>0.04</v>
      </c>
      <c r="H4103" s="13" t="inlineStr">
        <is>
          <t>Ravnica Allegiance (RNA)</t>
        </is>
      </c>
      <c r="I4103" s="13" t="inlineStr">
        <is>
          <t>Não</t>
        </is>
      </c>
      <c r="J4103" s="13" t="n">
        <v>2019</v>
      </c>
      <c r="L4103" s="13" t="n">
        <v>1</v>
      </c>
      <c r="M4103" s="8">
        <f>L4103*G4103</f>
        <v/>
      </c>
      <c r="P4103" s="9" t="n"/>
    </row>
    <row r="4104">
      <c r="A4104" s="13" t="inlineStr">
        <is>
          <t>Arrester's Zeal / Zelo do Encarcerador</t>
        </is>
      </c>
      <c r="B4104" s="13" t="inlineStr">
        <is>
          <t>Instant / Mágica Instantânea</t>
        </is>
      </c>
      <c r="C4104" s="13" t="inlineStr">
        <is>
          <t>Common / Comum</t>
        </is>
      </c>
      <c r="D4104" s="13"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4104" s="13" t="inlineStr">
        <is>
          <t>{W}</t>
        </is>
      </c>
      <c r="F4104" s="13" t="inlineStr">
        <is>
          <t>Branco</t>
        </is>
      </c>
      <c r="G4104" s="8" t="n">
        <v>0.04</v>
      </c>
      <c r="H4104" s="13" t="inlineStr">
        <is>
          <t>Ravnica Allegiance (RNA)</t>
        </is>
      </c>
      <c r="I4104" s="13" t="inlineStr">
        <is>
          <t>Não</t>
        </is>
      </c>
      <c r="J4104" s="13" t="n">
        <v>2019</v>
      </c>
      <c r="L4104" s="13" t="n">
        <v>1</v>
      </c>
      <c r="M4104" s="8">
        <f>L4104*G4104</f>
        <v/>
      </c>
      <c r="P4104" s="9" t="n"/>
    </row>
    <row r="4105">
      <c r="A4105" s="13" t="inlineStr">
        <is>
          <t>Feat of Resistance / Demonstração de Resistência</t>
        </is>
      </c>
      <c r="B4105" s="13" t="inlineStr">
        <is>
          <t>Instant / Mágica Instantânea</t>
        </is>
      </c>
      <c r="C4105" s="13" t="inlineStr">
        <is>
          <t>Common / Comum</t>
        </is>
      </c>
      <c r="D4105" s="13" t="inlineStr">
        <is>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is>
      </c>
      <c r="E4105" s="13" t="inlineStr">
        <is>
          <t>{1}{W}</t>
        </is>
      </c>
      <c r="F4105" s="13" t="inlineStr">
        <is>
          <t>Branco</t>
        </is>
      </c>
      <c r="G4105" s="8" t="n">
        <v>0.06</v>
      </c>
      <c r="H4105" s="13" t="inlineStr">
        <is>
          <t>Khans of Tarkir (KTK)</t>
        </is>
      </c>
      <c r="I4105" s="13" t="inlineStr">
        <is>
          <t>Não</t>
        </is>
      </c>
      <c r="J4105" s="13" t="n">
        <v>2014</v>
      </c>
      <c r="L4105" s="13" t="n">
        <v>2</v>
      </c>
      <c r="M4105" s="8">
        <f>L4105*G4105</f>
        <v/>
      </c>
      <c r="P4105" s="9" t="n"/>
    </row>
    <row r="4106">
      <c r="A4106" s="13" t="inlineStr">
        <is>
          <t>Surge of Righteousness / Surto de Retidão</t>
        </is>
      </c>
      <c r="B4106" s="13" t="inlineStr">
        <is>
          <t>Instant / Mágica Instantânea</t>
        </is>
      </c>
      <c r="C4106" s="13" t="inlineStr">
        <is>
          <t>Uncommon / Incomum</t>
        </is>
      </c>
      <c r="D4106" s="13" t="inlineStr">
        <is>
          <t>Destroy target black or red creature that's attacking or blocking. You gain 2 life. / Destrua a criatura alvo preta ou vermelha que estiver atacando ou bloqueando. Você ganha 2 pontos de vida.</t>
        </is>
      </c>
      <c r="E4106" s="13" t="inlineStr">
        <is>
          <t>{1}{W}</t>
        </is>
      </c>
      <c r="F4106" s="13" t="inlineStr">
        <is>
          <t>Branco</t>
        </is>
      </c>
      <c r="G4106" s="8" t="n">
        <v>0.07000000000000001</v>
      </c>
      <c r="H4106" s="13" t="inlineStr">
        <is>
          <t>Dragons of Tarkir (DTK)</t>
        </is>
      </c>
      <c r="I4106" s="13" t="inlineStr">
        <is>
          <t>Não</t>
        </is>
      </c>
      <c r="J4106" s="13" t="n">
        <v>2015</v>
      </c>
      <c r="L4106" s="13" t="n">
        <v>1</v>
      </c>
      <c r="M4106" s="8">
        <f>L4106*G4106</f>
        <v/>
      </c>
      <c r="P4106" s="9" t="n"/>
    </row>
    <row r="4107">
      <c r="A4107" s="13" t="inlineStr">
        <is>
          <t>Repel the Abominable / Repelir o Abominável</t>
        </is>
      </c>
      <c r="B4107" s="13" t="inlineStr">
        <is>
          <t>Instant / Mágica Instantânea</t>
        </is>
      </c>
      <c r="C4107" s="13" t="inlineStr">
        <is>
          <t>Uncommon / Incomum</t>
        </is>
      </c>
      <c r="D4107" s="13" t="inlineStr">
        <is>
          <t>Prevent all damage that would be dealt this turn by non-Human sources. / Previna todo o dano que seria causado neste turno por fontes que não sejam Humanos.</t>
        </is>
      </c>
      <c r="E4107" s="13" t="inlineStr">
        <is>
          <t>{1}{W}</t>
        </is>
      </c>
      <c r="F4107" s="13" t="inlineStr">
        <is>
          <t>Branco</t>
        </is>
      </c>
      <c r="G4107" s="8" t="n">
        <v>0.15</v>
      </c>
      <c r="H4107" s="13" t="inlineStr">
        <is>
          <t>Eldritch Moon (EMN)</t>
        </is>
      </c>
      <c r="I4107" s="13" t="inlineStr">
        <is>
          <t>Não</t>
        </is>
      </c>
      <c r="J4107" s="13" t="n">
        <v>2016</v>
      </c>
      <c r="L4107" s="13" t="n">
        <v>2</v>
      </c>
      <c r="M4107" s="8">
        <f>L4107*G4107</f>
        <v/>
      </c>
      <c r="P4107" s="9" t="n"/>
    </row>
    <row r="4108">
      <c r="A4108" s="13" t="inlineStr">
        <is>
          <t>Give No Ground / Não Ceder Terreno</t>
        </is>
      </c>
      <c r="B4108" s="13" t="inlineStr">
        <is>
          <t>Instant / Mágica Instantânea</t>
        </is>
      </c>
      <c r="C4108" s="13" t="inlineStr">
        <is>
          <t>Uncommon / Incomum</t>
        </is>
      </c>
      <c r="D4108" s="13" t="inlineStr">
        <is>
          <t>Target creature gets +2/+6 until end of turn and can block any number of creatures this turn. / A criatura alvo recebe +2/+6 até o final do turno e pode bloquear qualquer número de criaturas neste turno.</t>
        </is>
      </c>
      <c r="E4108" s="13" t="inlineStr">
        <is>
          <t>{3}{W}</t>
        </is>
      </c>
      <c r="F4108" s="13" t="inlineStr">
        <is>
          <t>Branco</t>
        </is>
      </c>
      <c r="G4108" s="8" t="n">
        <v>0.08</v>
      </c>
      <c r="H4108" s="13" t="inlineStr">
        <is>
          <t>Eldritch Moon (EMN)</t>
        </is>
      </c>
      <c r="I4108" s="13" t="inlineStr">
        <is>
          <t>Não</t>
        </is>
      </c>
      <c r="J4108" s="13" t="n">
        <v>2016</v>
      </c>
      <c r="L4108" s="13" t="n">
        <v>2</v>
      </c>
      <c r="M4108" s="8">
        <f>L4108*G4108</f>
        <v/>
      </c>
      <c r="P4108" s="9" t="n"/>
    </row>
    <row r="4109">
      <c r="A4109" s="13" t="inlineStr">
        <is>
          <t>Mighty Leap / Salto Poderoso</t>
        </is>
      </c>
      <c r="B4109" s="13" t="inlineStr">
        <is>
          <t>Instant / Mágica Instantânea</t>
        </is>
      </c>
      <c r="C4109" s="13" t="inlineStr">
        <is>
          <t>Common / Comum</t>
        </is>
      </c>
      <c r="D4109" s="13" t="inlineStr">
        <is>
          <t>Target creature gets +2/+2 and gains flying until end of turn. / A criatura alvo recebe +2/+2 e ganha voar até o final do turno. (Ela só pode ser bloqueada por criaturas com voar ou alcance.)</t>
        </is>
      </c>
      <c r="E4109" s="13" t="inlineStr">
        <is>
          <t>{1}{W}</t>
        </is>
      </c>
      <c r="F4109" s="13" t="inlineStr">
        <is>
          <t>Branco</t>
        </is>
      </c>
      <c r="G4109" s="8" t="n">
        <v>0.04</v>
      </c>
      <c r="H4109" s="13" t="inlineStr">
        <is>
          <t>Magic Origins (ORI)</t>
        </is>
      </c>
      <c r="I4109" s="13" t="inlineStr">
        <is>
          <t>Não</t>
        </is>
      </c>
      <c r="J4109" s="13" t="n">
        <v>2015</v>
      </c>
      <c r="L4109" s="13" t="n">
        <v>9</v>
      </c>
      <c r="M4109" s="8">
        <f>L4109*G4109</f>
        <v/>
      </c>
      <c r="P4109" s="9" t="n"/>
    </row>
    <row r="4110">
      <c r="A4110" s="13" t="inlineStr">
        <is>
          <t>Enshrouding Mist / Névoa Envolvente</t>
        </is>
      </c>
      <c r="B4110" s="13" t="inlineStr">
        <is>
          <t>Instant / Mágica Instantânea</t>
        </is>
      </c>
      <c r="C4110" s="13" t="inlineStr">
        <is>
          <t>Common / Comum</t>
        </is>
      </c>
      <c r="D4110" s="13" t="inlineStr">
        <is>
          <t>Target creature gets +1/+1 until end of turn. Prevent all damage that would be dealt to it this turn. If it's renowned, untap it. / A criatura alvo recebe +1/+1 até o final do turno. Previna todo o dano que seria causado a ela neste turno. Se ela for renomada, desvire-a.</t>
        </is>
      </c>
      <c r="E4110" s="13" t="inlineStr">
        <is>
          <t>{W}</t>
        </is>
      </c>
      <c r="F4110" s="13" t="inlineStr">
        <is>
          <t>Branco</t>
        </is>
      </c>
      <c r="G4110" s="8" t="n">
        <v>0.06</v>
      </c>
      <c r="H4110" s="13" t="inlineStr">
        <is>
          <t>Magic Origins (ORI)</t>
        </is>
      </c>
      <c r="I4110" s="13" t="inlineStr">
        <is>
          <t>Não</t>
        </is>
      </c>
      <c r="J4110" s="13" t="n">
        <v>2015</v>
      </c>
      <c r="L4110" s="13" t="n">
        <v>3</v>
      </c>
      <c r="M4110" s="8">
        <f>L4110*G4110</f>
        <v/>
      </c>
      <c r="P4110" s="9" t="n"/>
    </row>
    <row r="4111">
      <c r="A4111" s="13" t="inlineStr">
        <is>
          <t>Slash of Talons / Ceifada de Garras</t>
        </is>
      </c>
      <c r="B4111" s="13" t="inlineStr">
        <is>
          <t>Instant / Mágica Instantânea</t>
        </is>
      </c>
      <c r="C4111" s="13" t="inlineStr">
        <is>
          <t>Common / Comum</t>
        </is>
      </c>
      <c r="D4111" s="13" t="inlineStr">
        <is>
          <t>Slash of Talons deals 2 damage to target attacking or blocking creature. / Ceifada de Garras causa 2 pontos de dano à criatura atacante ou bloqueadora alvo.</t>
        </is>
      </c>
      <c r="E4111" s="13" t="inlineStr">
        <is>
          <t>{W}</t>
        </is>
      </c>
      <c r="F4111" s="13" t="inlineStr">
        <is>
          <t>Branco</t>
        </is>
      </c>
      <c r="G4111" s="8" t="n">
        <v>0.04</v>
      </c>
      <c r="H4111" s="13" t="inlineStr">
        <is>
          <t>Ixalan (XLN)</t>
        </is>
      </c>
      <c r="I4111" s="13" t="inlineStr">
        <is>
          <t>Não</t>
        </is>
      </c>
      <c r="J4111" s="13" t="n">
        <v>2017</v>
      </c>
      <c r="L4111" s="13" t="n">
        <v>1</v>
      </c>
      <c r="M4111" s="8">
        <f>L4111*G4111</f>
        <v/>
      </c>
      <c r="P4111" s="9" t="n"/>
    </row>
    <row r="4112">
      <c r="A4112" s="13" t="inlineStr">
        <is>
          <t>Searing Light / Luz Cauterizante</t>
        </is>
      </c>
      <c r="B4112" s="13" t="inlineStr">
        <is>
          <t>Instant / Mágica Instantânea</t>
        </is>
      </c>
      <c r="C4112" s="13" t="inlineStr">
        <is>
          <t>Common / Comum</t>
        </is>
      </c>
      <c r="D4112" s="13" t="inlineStr">
        <is>
          <t>Destroy target attacking or blocking creature with power 2 or less. / Destrua a criatura atacante ou bloqueadora alvo com poder menor ou igual a 2.</t>
        </is>
      </c>
      <c r="E4112" s="13" t="inlineStr">
        <is>
          <t>{W}</t>
        </is>
      </c>
      <c r="F4112" s="13" t="inlineStr">
        <is>
          <t>Branco</t>
        </is>
      </c>
      <c r="G4112" s="8" t="n">
        <v>0.04</v>
      </c>
      <c r="H4112" s="13" t="inlineStr">
        <is>
          <t>Oath of the Gatewatch (OGW)</t>
        </is>
      </c>
      <c r="I4112" s="13" t="inlineStr">
        <is>
          <t>Não</t>
        </is>
      </c>
      <c r="J4112" s="13" t="n">
        <v>2016</v>
      </c>
      <c r="L4112" s="13" t="n">
        <v>1</v>
      </c>
      <c r="M4112" s="8">
        <f>L4112*G4112</f>
        <v/>
      </c>
      <c r="P4112" s="9" t="n"/>
    </row>
    <row r="4113">
      <c r="A4113" s="13" t="inlineStr">
        <is>
          <t>Mighty Leap / Salto Poderoso</t>
        </is>
      </c>
      <c r="B4113" s="13" t="inlineStr">
        <is>
          <t>Instant / Mágica Instantânea</t>
        </is>
      </c>
      <c r="C4113" s="13" t="inlineStr">
        <is>
          <t>Common / Comum</t>
        </is>
      </c>
      <c r="D4113" s="13" t="inlineStr">
        <is>
          <t>Target creature gets +2/+2 and gains flying until end of turn. / A criatura alvo recebe +2/+2 e ganha voar até o final do turno. (Ela só pode ser bloqueada por criaturas com voar ou alcance.)</t>
        </is>
      </c>
      <c r="E4113" s="13" t="inlineStr">
        <is>
          <t>{1}{W}</t>
        </is>
      </c>
      <c r="F4113" s="13" t="inlineStr">
        <is>
          <t>Branco</t>
        </is>
      </c>
      <c r="G4113" s="8" t="n">
        <v>0.04</v>
      </c>
      <c r="H4113" s="13" t="inlineStr">
        <is>
          <t>Oath of the Gatewatch (OGW)</t>
        </is>
      </c>
      <c r="I4113" s="13" t="inlineStr">
        <is>
          <t>Não</t>
        </is>
      </c>
      <c r="J4113" s="13" t="n">
        <v>2016</v>
      </c>
      <c r="L4113" s="13" t="n">
        <v>1</v>
      </c>
      <c r="M4113" s="8">
        <f>L4113*G4113</f>
        <v/>
      </c>
      <c r="P4113" s="9" t="n"/>
    </row>
    <row r="4114">
      <c r="A4114" s="13" t="inlineStr">
        <is>
          <t>Take Heart / Tomar Coragem</t>
        </is>
      </c>
      <c r="B4114" s="13" t="inlineStr">
        <is>
          <t>Instant / Mágica Instantânea</t>
        </is>
      </c>
      <c r="C4114" s="13" t="inlineStr">
        <is>
          <t>Common / Comum</t>
        </is>
      </c>
      <c r="D4114" s="13" t="inlineStr">
        <is>
          <t>Target creature gets +2/+2 until end of turn. You gain 1 life for each attacking creature you control. / A criatura alvo recebe +2/+2 até o final do turno. Você ganha 1 ponto de vida para cada criatura atacante que você controla.</t>
        </is>
      </c>
      <c r="E4114" s="13" t="inlineStr">
        <is>
          <t>{W}</t>
        </is>
      </c>
      <c r="F4114" s="13" t="inlineStr">
        <is>
          <t>Branco</t>
        </is>
      </c>
      <c r="G4114" s="8" t="n">
        <v>0.04</v>
      </c>
      <c r="H4114" s="13" t="inlineStr">
        <is>
          <t>Guilds of Ravnica (GRN)</t>
        </is>
      </c>
      <c r="I4114" s="13" t="inlineStr">
        <is>
          <t>Não</t>
        </is>
      </c>
      <c r="J4114" s="13" t="n">
        <v>2018</v>
      </c>
      <c r="L4114" s="13" t="n">
        <v>1</v>
      </c>
      <c r="M4114" s="8">
        <f>L4114*G4114</f>
        <v/>
      </c>
      <c r="P4114" s="9" t="n"/>
    </row>
    <row r="4115">
      <c r="A4115" s="13" t="inlineStr">
        <is>
          <t>Deicide / Deicídio</t>
        </is>
      </c>
      <c r="B4115" s="13" t="inlineStr">
        <is>
          <t>Instant / Mágica Instantânea</t>
        </is>
      </c>
      <c r="C4115" s="13" t="inlineStr">
        <is>
          <t>Rare / Rara</t>
        </is>
      </c>
      <c r="D4115" s="13" t="inlineStr">
        <is>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is>
      </c>
      <c r="E4115" s="13" t="inlineStr">
        <is>
          <t>{1}{W}</t>
        </is>
      </c>
      <c r="F4115" s="13" t="inlineStr">
        <is>
          <t>Branco</t>
        </is>
      </c>
      <c r="G4115" s="8" t="n">
        <v>0.19</v>
      </c>
      <c r="H4115" s="13" t="inlineStr">
        <is>
          <t>Journey into Nyx (JOU)</t>
        </is>
      </c>
      <c r="I4115" s="13" t="inlineStr">
        <is>
          <t>Não</t>
        </is>
      </c>
      <c r="J4115" s="13" t="n">
        <v>2014</v>
      </c>
      <c r="L4115" s="13" t="n">
        <v>1</v>
      </c>
      <c r="M4115" s="8">
        <f>L4115*G4115</f>
        <v/>
      </c>
      <c r="P4115" s="9" t="n"/>
    </row>
    <row r="4116">
      <c r="A4116" s="13" t="inlineStr">
        <is>
          <t>Humble the Brute / Humildade ao Bruto</t>
        </is>
      </c>
      <c r="B4116" s="13" t="inlineStr">
        <is>
          <t>Instant / Mágica Instantânea</t>
        </is>
      </c>
      <c r="C4116" s="13" t="inlineStr">
        <is>
          <t>Uncommon / Incomum</t>
        </is>
      </c>
      <c r="D4116" s="13" t="inlineStr">
        <is>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is>
      </c>
      <c r="E4116" s="13" t="inlineStr">
        <is>
          <t>{4}{W}</t>
        </is>
      </c>
      <c r="F4116" s="13" t="inlineStr">
        <is>
          <t>Branco</t>
        </is>
      </c>
      <c r="G4116" s="8" t="n">
        <v>0.06</v>
      </c>
      <c r="H4116" s="13" t="inlineStr">
        <is>
          <t>Shadows over Innistrad (SOI)</t>
        </is>
      </c>
      <c r="I4116" s="13" t="inlineStr">
        <is>
          <t>Não</t>
        </is>
      </c>
      <c r="J4116" s="13" t="n">
        <v>2016</v>
      </c>
      <c r="L4116" s="13" t="n">
        <v>1</v>
      </c>
      <c r="M4116" s="8">
        <f>L4116*G4116</f>
        <v/>
      </c>
      <c r="P4116" s="9" t="n"/>
    </row>
    <row r="4117">
      <c r="A4117" s="13" t="inlineStr">
        <is>
          <t>Long Road Home / Longo Caminho para Casa</t>
        </is>
      </c>
      <c r="B4117" s="13" t="inlineStr">
        <is>
          <t>Instant / Mágica Instantânea</t>
        </is>
      </c>
      <c r="C4117" s="13" t="inlineStr">
        <is>
          <t>Uncommon / Incomum</t>
        </is>
      </c>
      <c r="D4117" s="13" t="inlineStr">
        <is>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is>
      </c>
      <c r="E4117" s="13" t="inlineStr">
        <is>
          <t>{1}{W}</t>
        </is>
      </c>
      <c r="F4117" s="13" t="inlineStr">
        <is>
          <t>Branco</t>
        </is>
      </c>
      <c r="G4117" s="8" t="n">
        <v>0.09</v>
      </c>
      <c r="H4117" s="13" t="inlineStr">
        <is>
          <t>Eldritch Moon (EMN)</t>
        </is>
      </c>
      <c r="I4117" s="13" t="inlineStr">
        <is>
          <t>Não</t>
        </is>
      </c>
      <c r="J4117" s="13" t="n">
        <v>2016</v>
      </c>
      <c r="L4117" s="13" t="n">
        <v>1</v>
      </c>
      <c r="M4117" s="8">
        <f>L4117*G4117</f>
        <v/>
      </c>
      <c r="P4117" s="9" t="n"/>
    </row>
    <row r="4118">
      <c r="A4118" s="13" t="inlineStr">
        <is>
          <t>Alley Evasion / Evasão pelas Vielas</t>
        </is>
      </c>
      <c r="B4118" s="13" t="inlineStr">
        <is>
          <t>Instant / Mágica Instantânea</t>
        </is>
      </c>
      <c r="C4118" s="13" t="inlineStr">
        <is>
          <t>Common / Comum</t>
        </is>
      </c>
      <c r="D4118" s="13" t="inlineStr">
        <is>
          <t>Choose one — • Target creature you control gets +1/+2 until end of turn. • Return target creature you control to its owner's hand. / Escolha um — • A criatura alvo que você controla recebe +1/+2 até o final do turno. • Devolva a criatura alvo que você controla para a mão de seu dono.</t>
        </is>
      </c>
      <c r="E4118" s="13" t="inlineStr">
        <is>
          <t>{W}</t>
        </is>
      </c>
      <c r="F4118" s="13" t="inlineStr">
        <is>
          <t>Branco</t>
        </is>
      </c>
      <c r="G4118" s="8" t="n">
        <v>0.04</v>
      </c>
      <c r="H4118" s="13" t="inlineStr">
        <is>
          <t>Aether Revolt (AER)</t>
        </is>
      </c>
      <c r="I4118" s="13" t="inlineStr">
        <is>
          <t>Não</t>
        </is>
      </c>
      <c r="J4118" s="13" t="n">
        <v>2017</v>
      </c>
      <c r="L4118" s="13" t="n">
        <v>1</v>
      </c>
      <c r="M4118" s="8">
        <f>L4118*G4118</f>
        <v/>
      </c>
      <c r="P4118" s="9" t="n"/>
    </row>
    <row r="4119">
      <c r="A4119" s="13" t="inlineStr">
        <is>
          <t>Decommission / Descomissionar</t>
        </is>
      </c>
      <c r="B4119" s="13" t="inlineStr">
        <is>
          <t>Instant / Mágica Instantânea</t>
        </is>
      </c>
      <c r="C4119" s="13" t="inlineStr">
        <is>
          <t>Common / Comum</t>
        </is>
      </c>
      <c r="D4119" s="13" t="inlineStr">
        <is>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is>
      </c>
      <c r="E4119" s="13" t="inlineStr">
        <is>
          <t>{2}{W}</t>
        </is>
      </c>
      <c r="F4119" s="13" t="inlineStr">
        <is>
          <t>Branco</t>
        </is>
      </c>
      <c r="G4119" s="8" t="n">
        <v>0.04</v>
      </c>
      <c r="H4119" s="13" t="inlineStr">
        <is>
          <t>Aether Revolt (AER)</t>
        </is>
      </c>
      <c r="I4119" s="13" t="inlineStr">
        <is>
          <t>Não</t>
        </is>
      </c>
      <c r="J4119" s="13" t="n">
        <v>2017</v>
      </c>
      <c r="L4119" s="13" t="n">
        <v>1</v>
      </c>
      <c r="M4119" s="8">
        <f>L4119*G4119</f>
        <v/>
      </c>
      <c r="P4119" s="9" t="n"/>
    </row>
    <row r="4120">
      <c r="A4120" s="13" t="inlineStr">
        <is>
          <t>Defiant Strike / Golpe Desafiador</t>
        </is>
      </c>
      <c r="B4120" s="13" t="inlineStr">
        <is>
          <t>Instant / Mágica Instantânea</t>
        </is>
      </c>
      <c r="C4120" s="13" t="inlineStr">
        <is>
          <t>Common / Comum</t>
        </is>
      </c>
      <c r="D4120" s="13" t="inlineStr">
        <is>
          <t>Target creature gets +1/+0 until end of turn. Draw a card. / A criatura alvo recebe +1/+0 até o final do turno. Compre um card.</t>
        </is>
      </c>
      <c r="E4120" s="13" t="inlineStr">
        <is>
          <t>{W}</t>
        </is>
      </c>
      <c r="F4120" s="13" t="inlineStr">
        <is>
          <t>Branco</t>
        </is>
      </c>
      <c r="G4120" s="8" t="n">
        <v>0.08</v>
      </c>
      <c r="H4120" s="13" t="inlineStr">
        <is>
          <t>Khans of Tarkir (KTK)</t>
        </is>
      </c>
      <c r="I4120" s="13" t="inlineStr">
        <is>
          <t>Não</t>
        </is>
      </c>
      <c r="J4120" s="13" t="n">
        <v>2014</v>
      </c>
      <c r="L4120" s="13" t="n">
        <v>1</v>
      </c>
      <c r="M4120" s="8">
        <f>L4120*G4120</f>
        <v/>
      </c>
      <c r="P4120" s="9" t="n"/>
    </row>
    <row r="4121">
      <c r="A4121" s="13" t="inlineStr">
        <is>
          <t>Pressure Point / Ponto de Pressão</t>
        </is>
      </c>
      <c r="B4121" s="13" t="inlineStr">
        <is>
          <t>Instant / Mágica Instantânea</t>
        </is>
      </c>
      <c r="C4121" s="13" t="inlineStr">
        <is>
          <t>Common / Comum</t>
        </is>
      </c>
      <c r="D4121" s="13" t="inlineStr">
        <is>
          <t>Tap target creature. Draw a card. / Vire a criatura alvo. Compre um card.</t>
        </is>
      </c>
      <c r="E4121" s="13" t="inlineStr">
        <is>
          <t>{1}{W}</t>
        </is>
      </c>
      <c r="F4121" s="13" t="inlineStr">
        <is>
          <t>Branco</t>
        </is>
      </c>
      <c r="G4121" s="8" t="n">
        <v>0.04</v>
      </c>
      <c r="H4121" s="13" t="inlineStr">
        <is>
          <t>Kaladesh (KLD)</t>
        </is>
      </c>
      <c r="I4121" s="13" t="inlineStr">
        <is>
          <t>Não</t>
        </is>
      </c>
      <c r="J4121" s="13" t="n">
        <v>2016</v>
      </c>
      <c r="L4121" s="13" t="n">
        <v>1</v>
      </c>
      <c r="M4121" s="8">
        <f>L4121*G4121</f>
        <v/>
      </c>
      <c r="P4121" s="9" t="n"/>
    </row>
    <row r="4122">
      <c r="A4122" s="13" t="inlineStr">
        <is>
          <t>Divine Verdict / Veredito Divino</t>
        </is>
      </c>
      <c r="B4122" s="13" t="inlineStr">
        <is>
          <t>Instant / Mágica Instantânea</t>
        </is>
      </c>
      <c r="C4122" s="13" t="inlineStr">
        <is>
          <t>Common / Comum</t>
        </is>
      </c>
      <c r="D4122" s="13" t="inlineStr">
        <is>
          <t>Destroy target attacking or blocking creature. / Destrua a criatura atacante ou bloqueadora alvo.</t>
        </is>
      </c>
      <c r="E4122" s="13" t="inlineStr">
        <is>
          <t>{3}{W}</t>
        </is>
      </c>
      <c r="F4122" s="13" t="inlineStr">
        <is>
          <t>Branco</t>
        </is>
      </c>
      <c r="G4122" s="8" t="n">
        <v>0.04</v>
      </c>
      <c r="H4122" s="13" t="inlineStr">
        <is>
          <t>Rivals of Ixalan (RIX)</t>
        </is>
      </c>
      <c r="I4122" s="13" t="inlineStr">
        <is>
          <t>Não</t>
        </is>
      </c>
      <c r="J4122" s="13" t="n">
        <v>2018</v>
      </c>
      <c r="L4122" s="13" t="n">
        <v>1</v>
      </c>
      <c r="M4122" s="8">
        <f>L4122*G4122</f>
        <v/>
      </c>
      <c r="P4122" s="9" t="n"/>
    </row>
    <row r="4123">
      <c r="A4123" s="13" t="inlineStr">
        <is>
          <t>Grasp of the Hieromancer / Garra do Hieromante</t>
        </is>
      </c>
      <c r="B4123" s="13" t="inlineStr">
        <is>
          <t>Enchantment — Aura / Encantamento — Aura</t>
        </is>
      </c>
      <c r="C4123" s="13" t="inlineStr">
        <is>
          <t>Common / Comum</t>
        </is>
      </c>
      <c r="D4123" s="13" t="inlineStr">
        <is>
          <t>Enchant creature Enchanted creature gets +1/+1 and has "Whenever this creature attacks, tap target creature defending player controls." / Encantar criaturaA criatura encantada recebe +1/+1 e tem "Toda vez que esta criatura atacar, vire a criatura alvo que o jogador defensor controla."</t>
        </is>
      </c>
      <c r="E4123" s="13" t="inlineStr">
        <is>
          <t>{1}{W}</t>
        </is>
      </c>
      <c r="F4123" s="13" t="inlineStr">
        <is>
          <t>Branco</t>
        </is>
      </c>
      <c r="G4123" s="8" t="n">
        <v>0.05</v>
      </c>
      <c r="H4123" s="13" t="inlineStr">
        <is>
          <t>Magic Origins (ORI)</t>
        </is>
      </c>
      <c r="I4123" s="13" t="inlineStr">
        <is>
          <t>Não</t>
        </is>
      </c>
      <c r="J4123" s="13" t="n">
        <v>2015</v>
      </c>
      <c r="L4123" s="13" t="n">
        <v>6</v>
      </c>
      <c r="M4123" s="8">
        <f>L4123*G4123</f>
        <v/>
      </c>
      <c r="P4123" s="9" t="n"/>
    </row>
    <row r="4124">
      <c r="A4124" s="13" t="inlineStr">
        <is>
          <t>Faith Unbroken / Fé Intacta</t>
        </is>
      </c>
      <c r="B4124" s="13" t="inlineStr">
        <is>
          <t>Enchantment — Aura / Encantamento — Aura</t>
        </is>
      </c>
      <c r="C4124" s="13" t="inlineStr">
        <is>
          <t>Uncommon / Incomum</t>
        </is>
      </c>
      <c r="D4124" s="13" t="inlineStr">
        <is>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is>
      </c>
      <c r="E4124" s="13" t="inlineStr">
        <is>
          <t>{3}{W}</t>
        </is>
      </c>
      <c r="F4124" s="13" t="inlineStr">
        <is>
          <t>Branco</t>
        </is>
      </c>
      <c r="G4124" s="8" t="n">
        <v>0.1</v>
      </c>
      <c r="H4124" s="13" t="inlineStr">
        <is>
          <t>Eldritch Moon (EMN)</t>
        </is>
      </c>
      <c r="I4124" s="13" t="inlineStr">
        <is>
          <t>Não</t>
        </is>
      </c>
      <c r="J4124" s="13" t="n">
        <v>2016</v>
      </c>
      <c r="L4124" s="13" t="n">
        <v>4</v>
      </c>
      <c r="M4124" s="8">
        <f>L4124*G4124</f>
        <v/>
      </c>
      <c r="P4124" s="9" t="n"/>
    </row>
    <row r="4125">
      <c r="A4125" s="13" t="inlineStr">
        <is>
          <t>Echoes of the Kin Tree / Ecos da Árvore de Família</t>
        </is>
      </c>
      <c r="B4125" s="13" t="inlineStr">
        <is>
          <t>Enchantment / Encantamento</t>
        </is>
      </c>
      <c r="C4125" s="13" t="inlineStr">
        <is>
          <t>Uncommon / Incomum</t>
        </is>
      </c>
      <c r="D4125" s="13" t="inlineStr">
        <is>
          <t>{2}{W}: Bolster 1. (Choose a creature with the least toughness among creatures you control and put a +1/+1 counter on it.) / {2}{W}: Revigorar 1. (Escolha uma criatura com a menor resistência entre as que você controla e coloque um marcador +1/+1 nela.)</t>
        </is>
      </c>
      <c r="E4125" s="13" t="inlineStr">
        <is>
          <t>{1}{W}</t>
        </is>
      </c>
      <c r="F4125" s="13" t="inlineStr">
        <is>
          <t>Branco</t>
        </is>
      </c>
      <c r="G4125" s="8" t="n">
        <v>0.06</v>
      </c>
      <c r="H4125" s="13" t="inlineStr">
        <is>
          <t>Dragons of Tarkir (DTK)</t>
        </is>
      </c>
      <c r="I4125" s="13" t="inlineStr">
        <is>
          <t>Não</t>
        </is>
      </c>
      <c r="J4125" s="13" t="n">
        <v>2015</v>
      </c>
      <c r="L4125" s="13" t="n">
        <v>1</v>
      </c>
      <c r="M4125" s="8">
        <f>L4125*G4125</f>
        <v/>
      </c>
      <c r="P4125" s="9" t="n"/>
    </row>
    <row r="4126">
      <c r="A4126" s="13" t="inlineStr">
        <is>
          <t>Brave the Sands / Resistir às Areias</t>
        </is>
      </c>
      <c r="B4126" s="13" t="inlineStr">
        <is>
          <t>Enchantment / Encantamento</t>
        </is>
      </c>
      <c r="C4126" s="13" t="inlineStr">
        <is>
          <t>Uncommon / Incomum</t>
        </is>
      </c>
      <c r="D4126" s="13" t="inlineStr">
        <is>
          <t>Creatures you control have vigilance. Each creature you control can block an additional creature each combat. / As criaturas que você controla têm vigilância. Cada criatura que você controla pode bloquear uma criatura adicional.</t>
        </is>
      </c>
      <c r="E4126" s="13" t="inlineStr">
        <is>
          <t>{1}{W}</t>
        </is>
      </c>
      <c r="F4126" s="13" t="inlineStr">
        <is>
          <t>Branco</t>
        </is>
      </c>
      <c r="G4126" s="8" t="n">
        <v>0.98</v>
      </c>
      <c r="H4126" s="13" t="inlineStr">
        <is>
          <t>Khans of Tarkir (KTK)</t>
        </is>
      </c>
      <c r="I4126" s="13" t="inlineStr">
        <is>
          <t>Não</t>
        </is>
      </c>
      <c r="J4126" s="13" t="n">
        <v>2014</v>
      </c>
      <c r="L4126" s="13" t="n">
        <v>1</v>
      </c>
      <c r="M4126" s="8">
        <f>L4126*G4126</f>
        <v/>
      </c>
      <c r="N4126" s="13" t="inlineStr">
        <is>
          <t>Pasta</t>
        </is>
      </c>
      <c r="P4126" s="9" t="n"/>
    </row>
    <row r="4127">
      <c r="A4127" s="13" t="inlineStr">
        <is>
          <t>Siegecraft / Montar Cerco</t>
        </is>
      </c>
      <c r="B4127" s="13" t="inlineStr">
        <is>
          <t>Enchantment — Aura / Encantamento — Aura</t>
        </is>
      </c>
      <c r="C4127" s="13" t="inlineStr">
        <is>
          <t>Common / Comum</t>
        </is>
      </c>
      <c r="D4127" s="13" t="inlineStr">
        <is>
          <t>Enchant creature Enchanted creature gets +2/+4. / Encantar criatura A criatura encantada recebe +2/+4.</t>
        </is>
      </c>
      <c r="E4127" s="13" t="inlineStr">
        <is>
          <t>{3}{W}</t>
        </is>
      </c>
      <c r="F4127" s="13" t="inlineStr">
        <is>
          <t>Branco</t>
        </is>
      </c>
      <c r="G4127" s="8" t="n">
        <v>0.06</v>
      </c>
      <c r="H4127" s="13" t="inlineStr">
        <is>
          <t>Khans of Tarkir (KTK)</t>
        </is>
      </c>
      <c r="I4127" s="13" t="inlineStr">
        <is>
          <t>Não</t>
        </is>
      </c>
      <c r="J4127" s="13" t="n">
        <v>2014</v>
      </c>
      <c r="L4127" s="13" t="n">
        <v>1</v>
      </c>
      <c r="M4127" s="8">
        <f>L4127*G4127</f>
        <v/>
      </c>
      <c r="P4127" s="9" t="n"/>
    </row>
    <row r="4128">
      <c r="A4128" s="13" t="inlineStr">
        <is>
          <t>Candlelight Vigil / Vigília à Luz de Velas</t>
        </is>
      </c>
      <c r="B4128" s="13" t="inlineStr">
        <is>
          <t>Enchantment — Aura / Encantamento — Aura</t>
        </is>
      </c>
      <c r="C4128" s="13" t="inlineStr">
        <is>
          <t>Common / Comum</t>
        </is>
      </c>
      <c r="D4128" s="13" t="inlineStr">
        <is>
          <t>Enchant creature Enchanted creature gets +3/+2 and has vigilance. / Encantar criatura A criatura encantada recebe +3/+2 e tem vigilância.</t>
        </is>
      </c>
      <c r="E4128" s="13" t="inlineStr">
        <is>
          <t>{3}{W}</t>
        </is>
      </c>
      <c r="F4128" s="13" t="inlineStr">
        <is>
          <t>Branco</t>
        </is>
      </c>
      <c r="G4128" s="8" t="n">
        <v>0.03</v>
      </c>
      <c r="H4128" s="13" t="inlineStr">
        <is>
          <t>Guilds of Ravnica (GRN)</t>
        </is>
      </c>
      <c r="I4128" s="13" t="inlineStr">
        <is>
          <t>Não</t>
        </is>
      </c>
      <c r="J4128" s="13" t="n">
        <v>2018</v>
      </c>
      <c r="L4128" s="13" t="n">
        <v>1</v>
      </c>
      <c r="M4128" s="8">
        <f>L4128*G4128</f>
        <v/>
      </c>
      <c r="P4128" s="9" t="n"/>
    </row>
    <row r="4129">
      <c r="A4129" s="13" t="inlineStr">
        <is>
          <t>Chained to the Rocks / Acorrentado às Rochas</t>
        </is>
      </c>
      <c r="B4129" s="13" t="inlineStr">
        <is>
          <t>Enchantment — Aura / Encantamento — Aura</t>
        </is>
      </c>
      <c r="C4129" s="13" t="inlineStr">
        <is>
          <t>Rare / Rara</t>
        </is>
      </c>
      <c r="D4129" s="13" t="inlineStr">
        <is>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is>
      </c>
      <c r="E4129" s="13" t="inlineStr">
        <is>
          <t>{W}</t>
        </is>
      </c>
      <c r="F4129" s="13" t="inlineStr">
        <is>
          <t>Branco</t>
        </is>
      </c>
      <c r="G4129" s="8" t="n">
        <v>0.65</v>
      </c>
      <c r="H4129" s="13" t="inlineStr">
        <is>
          <t>Theros (THS)</t>
        </is>
      </c>
      <c r="I4129" s="13" t="inlineStr">
        <is>
          <t>Não</t>
        </is>
      </c>
      <c r="J4129" s="13" t="n">
        <v>2013</v>
      </c>
      <c r="L4129" s="13" t="n">
        <v>1</v>
      </c>
      <c r="M4129" s="8">
        <f>L4129*G4129</f>
        <v/>
      </c>
      <c r="P4129" s="9" t="n"/>
    </row>
    <row r="4130">
      <c r="A4130" s="13" t="inlineStr">
        <is>
          <t>Peace of Mind / Paz de Espírito</t>
        </is>
      </c>
      <c r="B4130" s="13" t="inlineStr">
        <is>
          <t>Enchantment / Encantamento</t>
        </is>
      </c>
      <c r="C4130" s="13" t="inlineStr">
        <is>
          <t>Uncommon / Incomum</t>
        </is>
      </c>
      <c r="D4130" s="13" t="inlineStr">
        <is>
          <t>{W}, Discard a card: You gain 3 life. / {W}, Descarte um card: Você ganha 3 pontos de vida.</t>
        </is>
      </c>
      <c r="E4130" s="13" t="inlineStr">
        <is>
          <t>{1}{W}</t>
        </is>
      </c>
      <c r="F4130" s="13" t="inlineStr">
        <is>
          <t>Branco</t>
        </is>
      </c>
      <c r="G4130" s="8" t="n">
        <v>0.07000000000000001</v>
      </c>
      <c r="H4130" s="13" t="inlineStr">
        <is>
          <t>Eldritch Moon (EMN)</t>
        </is>
      </c>
      <c r="I4130" s="13" t="inlineStr">
        <is>
          <t>Não</t>
        </is>
      </c>
      <c r="J4130" s="13" t="n">
        <v>2016</v>
      </c>
      <c r="L4130" s="13" t="n">
        <v>3</v>
      </c>
      <c r="M4130" s="8">
        <f>L4130*G4130</f>
        <v/>
      </c>
      <c r="P4130" s="9" t="n"/>
    </row>
    <row r="4131">
      <c r="A4131" s="13" t="inlineStr">
        <is>
          <t>Caught in the Brights / Pego pelos Holofotes</t>
        </is>
      </c>
      <c r="B4131" s="13" t="inlineStr">
        <is>
          <t>Enchantment — Aura / Encantamento — Aura</t>
        </is>
      </c>
      <c r="C4131" s="13" t="inlineStr">
        <is>
          <t>Common / Comum</t>
        </is>
      </c>
      <c r="D4131" s="13" t="inlineStr">
        <is>
          <t>Enchant creature Enchanted creature can't attack or block. When a Vehicle you control attacks, exile enchanted creature. / Encantar criatura A criatura encantada não pode atacar nem bloquear. Quando um Veículo que você controla atacar, exile a criatura encantada.</t>
        </is>
      </c>
      <c r="E4131" s="13" t="inlineStr">
        <is>
          <t>{2}{W}</t>
        </is>
      </c>
      <c r="F4131" s="13" t="inlineStr">
        <is>
          <t>Branco</t>
        </is>
      </c>
      <c r="G4131" s="8" t="n">
        <v>0.03</v>
      </c>
      <c r="H4131" s="13" t="inlineStr">
        <is>
          <t>Aether Revolt (AER)</t>
        </is>
      </c>
      <c r="I4131" s="13" t="inlineStr">
        <is>
          <t>Não</t>
        </is>
      </c>
      <c r="J4131" s="13" t="n">
        <v>2017</v>
      </c>
      <c r="L4131" s="13" t="n">
        <v>1</v>
      </c>
      <c r="M4131" s="8">
        <f>L4131*G4131</f>
        <v/>
      </c>
      <c r="P4131" s="9" t="n"/>
    </row>
    <row r="4132">
      <c r="A4132" s="13" t="inlineStr">
        <is>
          <t>Divine Favor / Proteção Divina</t>
        </is>
      </c>
      <c r="B4132" s="13" t="inlineStr">
        <is>
          <t>Enchantment — Aura / Encantamento — Aura</t>
        </is>
      </c>
      <c r="C4132" s="13" t="inlineStr">
        <is>
          <t>Common / Comum</t>
        </is>
      </c>
      <c r="D4132" s="13" t="inlineStr">
        <is>
          <t>Enchant creature When this Aura enters, you gain 3 life. Enchanted creature gets +1/+3. / Encantar criatura Quando Proteção Divina entra no campo de batalha, você ganha 3 pontos de vida. A criatura encantada recebe +1/+3.</t>
        </is>
      </c>
      <c r="E4132" s="13" t="inlineStr">
        <is>
          <t>{1}{W}</t>
        </is>
      </c>
      <c r="F4132" s="13" t="inlineStr">
        <is>
          <t>Branco</t>
        </is>
      </c>
      <c r="G4132" s="8" t="n">
        <v>0.05</v>
      </c>
      <c r="H4132" s="13" t="inlineStr">
        <is>
          <t>Magic 2015 (M15)</t>
        </is>
      </c>
      <c r="I4132" s="13" t="inlineStr">
        <is>
          <t>Não</t>
        </is>
      </c>
      <c r="J4132" s="13" t="n">
        <v>2014</v>
      </c>
      <c r="L4132" s="13" t="n">
        <v>1</v>
      </c>
      <c r="M4132" s="8">
        <f>L4132*G4132</f>
        <v/>
      </c>
      <c r="P4132" s="9" t="n"/>
    </row>
    <row r="4133">
      <c r="A4133" s="13" t="inlineStr">
        <is>
          <t>Ninth Bridge Patrol / Patrulheiro da Nona Ponte</t>
        </is>
      </c>
      <c r="B4133" s="13" t="inlineStr">
        <is>
          <t>Creature — Dwarf Soldier / Criatura — Anão Soldado</t>
        </is>
      </c>
      <c r="C4133" s="13" t="inlineStr">
        <is>
          <t>Common / Comum</t>
        </is>
      </c>
      <c r="D4133" s="13" t="inlineStr">
        <is>
          <t>Whenever another creature you control leaves the battlefield, put a +1/+1 counter on this creature. / Toda vez que outra criatura que você controla deixar o campo de batalha, coloque um marcador +1/+1 em Patrulheiro da Nona Ponte.</t>
        </is>
      </c>
      <c r="E4133" s="13" t="inlineStr">
        <is>
          <t>{1}{W}</t>
        </is>
      </c>
      <c r="F4133" s="13" t="inlineStr">
        <is>
          <t>Branco</t>
        </is>
      </c>
      <c r="G4133" s="8" t="n">
        <v>0.04</v>
      </c>
      <c r="H4133" s="13" t="inlineStr">
        <is>
          <t>Kaladesh (KLD)</t>
        </is>
      </c>
      <c r="I4133" s="13" t="inlineStr">
        <is>
          <t>Não</t>
        </is>
      </c>
      <c r="J4133" s="13" t="n">
        <v>2016</v>
      </c>
      <c r="K4133" s="10" t="n">
        <v>46023</v>
      </c>
      <c r="L4133" s="13" t="n">
        <v>1</v>
      </c>
      <c r="M4133" s="8">
        <f>L4133*G4133</f>
        <v/>
      </c>
      <c r="P4133" s="9" t="n"/>
    </row>
    <row r="4134">
      <c r="A4134" s="13" t="inlineStr">
        <is>
          <t>Eddytrail Hawk / Falcão Turbilhonante</t>
        </is>
      </c>
      <c r="B4134" s="13" t="inlineStr">
        <is>
          <t>Creature — Bird / Criatura — Ave</t>
        </is>
      </c>
      <c r="C4134" s="13" t="inlineStr">
        <is>
          <t>Common / Comum</t>
        </is>
      </c>
      <c r="D4134" s="13" t="inlineStr">
        <is>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is>
      </c>
      <c r="E4134" s="13" t="inlineStr">
        <is>
          <t>{1}{W}</t>
        </is>
      </c>
      <c r="F4134" s="13" t="inlineStr">
        <is>
          <t>Branco</t>
        </is>
      </c>
      <c r="G4134" s="8" t="n">
        <v>0.03</v>
      </c>
      <c r="H4134" s="13" t="inlineStr">
        <is>
          <t>Kaladesh (KLD)</t>
        </is>
      </c>
      <c r="I4134" s="13" t="inlineStr">
        <is>
          <t>Não</t>
        </is>
      </c>
      <c r="J4134" s="13" t="n">
        <v>2016</v>
      </c>
      <c r="K4134" s="10" t="n">
        <v>46054</v>
      </c>
      <c r="L4134" s="13" t="n">
        <v>2</v>
      </c>
      <c r="M4134" s="8">
        <f>L4134*G4134</f>
        <v/>
      </c>
      <c r="P4134" s="9" t="n"/>
    </row>
    <row r="4135">
      <c r="A4135" s="13" t="inlineStr">
        <is>
          <t>Cartouche of Solidarity / Cártula da Solidariedade</t>
        </is>
      </c>
      <c r="B4135" s="13" t="inlineStr">
        <is>
          <t>Enchantment — Aura Cartouche / Encantamento — Aura Cártula</t>
        </is>
      </c>
      <c r="C4135" s="13" t="inlineStr">
        <is>
          <t>Common / Comum</t>
        </is>
      </c>
      <c r="D4135" s="13" t="inlineStr">
        <is>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is>
      </c>
      <c r="E4135" s="13" t="inlineStr">
        <is>
          <t>{W}</t>
        </is>
      </c>
      <c r="F4135" s="13" t="inlineStr">
        <is>
          <t>Branco</t>
        </is>
      </c>
      <c r="G4135" s="8" t="n">
        <v>0.3</v>
      </c>
      <c r="H4135" s="13" t="inlineStr">
        <is>
          <t>Amonkhet (AKH)</t>
        </is>
      </c>
      <c r="I4135" s="13" t="inlineStr">
        <is>
          <t>Não</t>
        </is>
      </c>
      <c r="J4135" s="13" t="n">
        <v>2017</v>
      </c>
      <c r="L4135" s="13" t="n">
        <v>1</v>
      </c>
      <c r="M4135" s="8">
        <f>L4135*G4135</f>
        <v/>
      </c>
      <c r="P4135" s="9" t="n"/>
    </row>
    <row r="4136">
      <c r="A4136" s="13" t="inlineStr">
        <is>
          <t>Dreadful Apathy / Apatia Pavorosa</t>
        </is>
      </c>
      <c r="B4136" s="13" t="inlineStr">
        <is>
          <t>Enchantment — Aura / Encantamento — Aura</t>
        </is>
      </c>
      <c r="C4136" s="13" t="inlineStr">
        <is>
          <t>Common / Comum</t>
        </is>
      </c>
      <c r="D4136" s="13" t="inlineStr">
        <is>
          <t>Enchant creature Enchanted creature can't attack or block. {2}{W}: Exile enchanted creature. / Encantar criatura A criatura encantada não pode atacar nem bloquear. {2}{W}: Exile a criatura encantada.</t>
        </is>
      </c>
      <c r="E4136" s="13" t="inlineStr">
        <is>
          <t>{2}{W}</t>
        </is>
      </c>
      <c r="F4136" s="13" t="inlineStr">
        <is>
          <t>Branco</t>
        </is>
      </c>
      <c r="G4136" s="8" t="n">
        <v>0.03</v>
      </c>
      <c r="H4136" s="13" t="inlineStr">
        <is>
          <t>Theros Beyond Death (THB)</t>
        </is>
      </c>
      <c r="I4136" s="13" t="inlineStr">
        <is>
          <t>Não</t>
        </is>
      </c>
      <c r="J4136" s="13" t="n">
        <v>2020</v>
      </c>
      <c r="L4136" s="13" t="n">
        <v>1</v>
      </c>
      <c r="M4136" s="8">
        <f>L4136*G4136</f>
        <v/>
      </c>
      <c r="P4136" s="9" t="n"/>
    </row>
    <row r="4137">
      <c r="A4137" s="13" t="inlineStr">
        <is>
          <t>Isolation Zone / Zona de Isolamento</t>
        </is>
      </c>
      <c r="B4137" s="13" t="inlineStr">
        <is>
          <t>Enchantment / Encantamento</t>
        </is>
      </c>
      <c r="C4137" s="13" t="inlineStr">
        <is>
          <t>Common / Comum</t>
        </is>
      </c>
      <c r="D4137" s="13" t="inlineStr">
        <is>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is>
      </c>
      <c r="E4137" s="13" t="inlineStr">
        <is>
          <t>{2}{W}{W}</t>
        </is>
      </c>
      <c r="F4137" s="13" t="inlineStr">
        <is>
          <t>Branco</t>
        </is>
      </c>
      <c r="G4137" s="8" t="n">
        <v>0.06</v>
      </c>
      <c r="H4137" s="13" t="inlineStr">
        <is>
          <t>Oath of the Gatewatch (OGW)</t>
        </is>
      </c>
      <c r="I4137" s="13" t="inlineStr">
        <is>
          <t>Não</t>
        </is>
      </c>
      <c r="J4137" s="13" t="n">
        <v>2016</v>
      </c>
      <c r="L4137" s="13" t="n">
        <v>4</v>
      </c>
      <c r="M4137" s="8">
        <f>L4137*G4137</f>
        <v/>
      </c>
      <c r="P4137" s="9" t="n"/>
    </row>
    <row r="4138">
      <c r="A4138" s="13" t="inlineStr">
        <is>
          <t>Suppression Bonds / Correntes de Supressão</t>
        </is>
      </c>
      <c r="B4138" s="13" t="inlineStr">
        <is>
          <t>Enchantment — Aura / Encantamento — Aura</t>
        </is>
      </c>
      <c r="C4138" s="13" t="inlineStr">
        <is>
          <t>Common / Comum</t>
        </is>
      </c>
      <c r="D4138" s="13" t="inlineStr">
        <is>
          <t>Enchant nonland permanent Enchanted permanent can't attack or block, and its activated abilities can't be activated. / Encantar permanente que não seja terrenoA permanente encantada não pode atacar nem bloquear e suas habilidades ativadas não podem ser ativadas.</t>
        </is>
      </c>
      <c r="E4138" s="13" t="inlineStr">
        <is>
          <t>{3}{W}</t>
        </is>
      </c>
      <c r="F4138" s="13" t="inlineStr">
        <is>
          <t>Branco</t>
        </is>
      </c>
      <c r="G4138" s="8" t="n">
        <v>0.06</v>
      </c>
      <c r="H4138" s="13" t="inlineStr">
        <is>
          <t>Magic Origins (ORI)</t>
        </is>
      </c>
      <c r="I4138" s="13" t="inlineStr">
        <is>
          <t>Não</t>
        </is>
      </c>
      <c r="J4138" s="13" t="n">
        <v>2015</v>
      </c>
      <c r="L4138" s="13" t="n">
        <v>4</v>
      </c>
      <c r="M4138" s="8">
        <f>L4138*G4138</f>
        <v/>
      </c>
      <c r="P4138" s="9" t="n"/>
    </row>
    <row r="4139">
      <c r="A4139" s="13" t="inlineStr">
        <is>
          <t>Compulsory Rest / Descanso Compulsório</t>
        </is>
      </c>
      <c r="B4139" s="13" t="inlineStr">
        <is>
          <t>Enchantment — Aura / Encantamento — Aura</t>
        </is>
      </c>
      <c r="C4139" s="13" t="inlineStr">
        <is>
          <t>Common / Comum</t>
        </is>
      </c>
      <c r="D4139" s="13" t="inlineStr">
        <is>
          <t>Enchant creature Enchanted creature can't attack or block. Enchanted creature has "{2}, Sacrifice this creature: You gain 2 life." / Encantar criatura A criatura encantada não pode atacar nem bloquear. A criatura encantada tem "{2}, Sacrifique esta criatura: Você ganha 2 pontos de vida."</t>
        </is>
      </c>
      <c r="E4139" s="13" t="inlineStr">
        <is>
          <t>{1}{W}</t>
        </is>
      </c>
      <c r="F4139" s="13" t="inlineStr">
        <is>
          <t>Branco</t>
        </is>
      </c>
      <c r="G4139" s="8" t="n">
        <v>0.03</v>
      </c>
      <c r="H4139" s="13" t="inlineStr">
        <is>
          <t>Amonkhet (AKH)</t>
        </is>
      </c>
      <c r="I4139" s="13" t="inlineStr">
        <is>
          <t>Não</t>
        </is>
      </c>
      <c r="J4139" s="13" t="n">
        <v>2017</v>
      </c>
      <c r="L4139" s="13" t="n">
        <v>1</v>
      </c>
      <c r="M4139" s="8">
        <f>L4139*G4139</f>
        <v/>
      </c>
      <c r="P4139" s="9" t="n"/>
    </row>
    <row r="4140">
      <c r="A4140" s="13" t="inlineStr">
        <is>
          <t>Squire's Devotion / Devoção da Escudeira</t>
        </is>
      </c>
      <c r="B4140" s="13" t="inlineStr">
        <is>
          <t>Enchantment — Aura / Encantamento — Aura</t>
        </is>
      </c>
      <c r="C4140" s="13" t="inlineStr">
        <is>
          <t>Common / Comum</t>
        </is>
      </c>
      <c r="D4140" s="13" t="inlineStr">
        <is>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is>
      </c>
      <c r="E4140" s="13" t="inlineStr">
        <is>
          <t>{2}{W}</t>
        </is>
      </c>
      <c r="F4140" s="13" t="inlineStr">
        <is>
          <t>Branco</t>
        </is>
      </c>
      <c r="G4140" s="8" t="n">
        <v>0.03</v>
      </c>
      <c r="H4140" s="13" t="inlineStr">
        <is>
          <t>Rivals of Ixalan (RIX)</t>
        </is>
      </c>
      <c r="I4140" s="13" t="inlineStr">
        <is>
          <t>Não</t>
        </is>
      </c>
      <c r="J4140" s="13" t="n">
        <v>2018</v>
      </c>
      <c r="L4140" s="13" t="n">
        <v>2</v>
      </c>
      <c r="M4140" s="8">
        <f>L4140*G4140</f>
        <v/>
      </c>
      <c r="P4140" s="9" t="n"/>
    </row>
    <row r="4141">
      <c r="A4141" s="13" t="inlineStr">
        <is>
          <t>Luminous Bonds / Amarras Luminosas</t>
        </is>
      </c>
      <c r="B4141" s="13" t="inlineStr">
        <is>
          <t>Enchantment — Aura / Encantamento — Aura</t>
        </is>
      </c>
      <c r="C4141" s="13" t="inlineStr">
        <is>
          <t>Common / Comum</t>
        </is>
      </c>
      <c r="D4141" s="13" t="inlineStr">
        <is>
          <t>Enchant creature Enchanted creature can't attack or block. / Encantar criatura A criatura encantada não pode atacar nem bloquear.</t>
        </is>
      </c>
      <c r="E4141" s="13" t="inlineStr">
        <is>
          <t>{2}{W}</t>
        </is>
      </c>
      <c r="F4141" s="13" t="inlineStr">
        <is>
          <t>Branco</t>
        </is>
      </c>
      <c r="G4141" s="8" t="n">
        <v>0.03</v>
      </c>
      <c r="H4141" s="13" t="inlineStr">
        <is>
          <t>Rivals of Ixalan (RIX)</t>
        </is>
      </c>
      <c r="I4141" s="13" t="inlineStr">
        <is>
          <t>Não</t>
        </is>
      </c>
      <c r="J4141" s="13" t="n">
        <v>2018</v>
      </c>
      <c r="L4141" s="13" t="n">
        <v>3</v>
      </c>
      <c r="M4141" s="8">
        <f>L4141*G4141</f>
        <v/>
      </c>
      <c r="P4141" s="9" t="n"/>
    </row>
    <row r="4142">
      <c r="A4142" s="13" t="inlineStr">
        <is>
          <t>Conviction / Convicção</t>
        </is>
      </c>
      <c r="B4142" s="13" t="inlineStr">
        <is>
          <t>Enchantment — Aura / Encantamento — Aura</t>
        </is>
      </c>
      <c r="C4142" s="13" t="inlineStr">
        <is>
          <t>Common / Comum</t>
        </is>
      </c>
      <c r="D4142" s="13" t="inlineStr">
        <is>
          <t>Enchant creature Enchanted creature gets +1/+3. {W}: Return this Aura to its owner's hand. / Encantar criatura A criatura encantada recebe +1/+3. {W}: Devolva Convicção para a mão de seu dono.</t>
        </is>
      </c>
      <c r="E4142" s="13" t="inlineStr">
        <is>
          <t>{1}{W}</t>
        </is>
      </c>
      <c r="F4142" s="13" t="inlineStr">
        <is>
          <t>Branco</t>
        </is>
      </c>
      <c r="G4142" s="8" t="n">
        <v>0.03</v>
      </c>
      <c r="H4142" s="13" t="inlineStr">
        <is>
          <t>Aether Revolt (AER)</t>
        </is>
      </c>
      <c r="I4142" s="13" t="inlineStr">
        <is>
          <t>Não</t>
        </is>
      </c>
      <c r="J4142" s="13" t="n">
        <v>2017</v>
      </c>
      <c r="L4142" s="13" t="n">
        <v>4</v>
      </c>
      <c r="M4142" s="8">
        <f>L4142*G4142</f>
        <v/>
      </c>
      <c r="P4142" s="9" t="n"/>
    </row>
    <row r="4143">
      <c r="A4143" s="13" t="inlineStr">
        <is>
          <t>Restoration Specialist / Especialista em Restauração</t>
        </is>
      </c>
      <c r="B4143" s="13" t="inlineStr">
        <is>
          <t>Creature — Dwarf Artificer / Criatura — Anão Artesão</t>
        </is>
      </c>
      <c r="C4143" s="13" t="inlineStr">
        <is>
          <t>Uncommon / Incomum</t>
        </is>
      </c>
      <c r="D4143" s="13" t="inlineStr">
        <is>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is>
      </c>
      <c r="E4143" s="13" t="inlineStr">
        <is>
          <t>{1}{W}</t>
        </is>
      </c>
      <c r="F4143" s="13" t="inlineStr">
        <is>
          <t>Branco</t>
        </is>
      </c>
      <c r="G4143" s="8" t="n">
        <v>0.03</v>
      </c>
      <c r="H4143" s="13" t="inlineStr">
        <is>
          <t>Aether Revolt (AER)</t>
        </is>
      </c>
      <c r="I4143" s="13" t="inlineStr">
        <is>
          <t>Não</t>
        </is>
      </c>
      <c r="J4143" s="13" t="n">
        <v>2017</v>
      </c>
      <c r="K4143" s="10" t="n">
        <v>46024</v>
      </c>
      <c r="L4143" s="13" t="n">
        <v>1</v>
      </c>
      <c r="M4143" s="8">
        <f>L4143*G4143</f>
        <v/>
      </c>
      <c r="P4143" s="9" t="n"/>
    </row>
    <row r="4144">
      <c r="A4144" s="13" t="inlineStr">
        <is>
          <t>Skyblade of the Legion / Lâmina Celeste da Legião</t>
        </is>
      </c>
      <c r="B4144" s="13" t="inlineStr">
        <is>
          <t>Creature — Vampire Soldier / Criatura — Vampiro Soldado</t>
        </is>
      </c>
      <c r="C4144" s="13" t="inlineStr">
        <is>
          <t>Common / Comum</t>
        </is>
      </c>
      <c r="D4144" s="13" t="inlineStr">
        <is>
          <t>Flying / Voar</t>
        </is>
      </c>
      <c r="E4144" s="13" t="inlineStr">
        <is>
          <t>{1}{W}</t>
        </is>
      </c>
      <c r="F4144" s="13" t="inlineStr">
        <is>
          <t>Branco</t>
        </is>
      </c>
      <c r="G4144" s="8" t="n">
        <v>0.06</v>
      </c>
      <c r="H4144" s="13" t="inlineStr">
        <is>
          <t>Ixalan (XLN)</t>
        </is>
      </c>
      <c r="I4144" s="13" t="inlineStr">
        <is>
          <t>Não</t>
        </is>
      </c>
      <c r="J4144" s="13" t="n">
        <v>2017</v>
      </c>
      <c r="K4144" s="10" t="n">
        <v>46082</v>
      </c>
      <c r="L4144" s="13" t="n">
        <v>1</v>
      </c>
      <c r="M4144" s="8">
        <f>L4144*G4144</f>
        <v/>
      </c>
      <c r="P4144" s="9" t="n"/>
    </row>
    <row r="4145">
      <c r="A4145" s="13" t="inlineStr">
        <is>
          <t>Paladin of the Bloodstained / Paladina da Mancha-de-Sangue</t>
        </is>
      </c>
      <c r="B4145" s="13" t="inlineStr">
        <is>
          <t>Creature — Vampire Knight / Criatura — Vampiro Cavaleiro</t>
        </is>
      </c>
      <c r="C4145" s="13" t="inlineStr">
        <is>
          <t>Common / Comum</t>
        </is>
      </c>
      <c r="D4145" s="13" t="inlineStr">
        <is>
          <t>When this creature enters, create a 1/1 white Vampire creature token with lifelink. / Quando Paladina da Mancha-de-Sangue entrar no campo de batalha, crie uma ficha de criatura branca 1/1 do tipo Vampiro com vínculo com a vida.</t>
        </is>
      </c>
      <c r="E4145" s="13" t="inlineStr">
        <is>
          <t>{3}{W}</t>
        </is>
      </c>
      <c r="F4145" s="13" t="inlineStr">
        <is>
          <t>Branco</t>
        </is>
      </c>
      <c r="G4145" s="8" t="n">
        <v>0.03</v>
      </c>
      <c r="H4145" s="13" t="inlineStr">
        <is>
          <t>Ixalan (XLN)</t>
        </is>
      </c>
      <c r="I4145" s="13" t="inlineStr">
        <is>
          <t>Não</t>
        </is>
      </c>
      <c r="J4145" s="13" t="n">
        <v>2017</v>
      </c>
      <c r="K4145" s="10" t="n">
        <v>46056</v>
      </c>
      <c r="L4145" s="13" t="n">
        <v>1</v>
      </c>
      <c r="M4145" s="8">
        <f>L4145*G4145</f>
        <v/>
      </c>
      <c r="P4145" s="9" t="n"/>
    </row>
    <row r="4146">
      <c r="A4146" s="13" t="inlineStr">
        <is>
          <t>Exultant Skymarcher / Marchadora Celeste Exultante</t>
        </is>
      </c>
      <c r="B4146" s="13" t="inlineStr">
        <is>
          <t>Creature — Vampire Soldier / Criatura — Vampiro Soldado</t>
        </is>
      </c>
      <c r="C4146" s="13" t="inlineStr">
        <is>
          <t>Common / Comum</t>
        </is>
      </c>
      <c r="D4146" s="13" t="inlineStr">
        <is>
          <t>Flying / Voar</t>
        </is>
      </c>
      <c r="E4146" s="13" t="inlineStr">
        <is>
          <t>{1}{W}{W}</t>
        </is>
      </c>
      <c r="F4146" s="13" t="inlineStr">
        <is>
          <t>Branco</t>
        </is>
      </c>
      <c r="G4146" s="8" t="n">
        <v>0.03</v>
      </c>
      <c r="H4146" s="13" t="inlineStr">
        <is>
          <t>Rivals of Ixalan (RIX)</t>
        </is>
      </c>
      <c r="I4146" s="13" t="inlineStr">
        <is>
          <t>Não</t>
        </is>
      </c>
      <c r="J4146" s="13" t="n">
        <v>2018</v>
      </c>
      <c r="K4146" s="10" t="n">
        <v>46083</v>
      </c>
      <c r="L4146" s="13" t="n">
        <v>1</v>
      </c>
      <c r="M4146" s="8">
        <f>L4146*G4146</f>
        <v/>
      </c>
      <c r="P4146" s="9" t="n"/>
    </row>
    <row r="4147">
      <c r="A4147" s="13" t="inlineStr">
        <is>
          <t>Expedition Raptor / Raptor da Expedição</t>
        </is>
      </c>
      <c r="B4147" s="13" t="inlineStr">
        <is>
          <t>Creature — Bird / Criatura — Ave</t>
        </is>
      </c>
      <c r="C4147" s="13" t="inlineStr">
        <is>
          <t>Common / Comum</t>
        </is>
      </c>
      <c r="D4147" s="13" t="inlineStr">
        <is>
          <t>Flying When this creature enters, support 2. (Put a +1/+1 counter on each of up to two other target creatures.) / Voar Quando Raptor da Expedição entrar no campo de batalha, suporte 2. (Coloque um marcador +1/+1 em cada uma de até duas outras criaturas alvo.)</t>
        </is>
      </c>
      <c r="E4147" s="13" t="inlineStr">
        <is>
          <t>{3}{W}{W}</t>
        </is>
      </c>
      <c r="F4147" s="13" t="inlineStr">
        <is>
          <t>Branco</t>
        </is>
      </c>
      <c r="G4147" s="8" t="n">
        <v>0.04</v>
      </c>
      <c r="H4147" s="13" t="inlineStr">
        <is>
          <t>Oath of the Gatewatch (OGW)</t>
        </is>
      </c>
      <c r="I4147" s="13" t="inlineStr">
        <is>
          <t>Não</t>
        </is>
      </c>
      <c r="J4147" s="13" t="n">
        <v>2016</v>
      </c>
      <c r="K4147" s="10" t="n">
        <v>46055</v>
      </c>
      <c r="L4147" s="13" t="n">
        <v>2</v>
      </c>
      <c r="M4147" s="8">
        <f>L4147*G4147</f>
        <v/>
      </c>
      <c r="P4147" s="9" t="n"/>
    </row>
    <row r="4148">
      <c r="A4148" s="13" t="inlineStr">
        <is>
          <t>Apothecary Geist / Geist Apotecário</t>
        </is>
      </c>
      <c r="B4148" s="13" t="inlineStr">
        <is>
          <t>Creature — Spirit / Criatura — Espírito</t>
        </is>
      </c>
      <c r="C4148" s="13" t="inlineStr">
        <is>
          <t>Common / Comum</t>
        </is>
      </c>
      <c r="D4148" s="13" t="inlineStr">
        <is>
          <t>Flying When this creature enters, if you control another Spirit, you gain 3 life. / Voar Quando Geist Apotecário entra no campo de batalha, se você controlar outro Espírito, você ganha 3 pontos de vida.</t>
        </is>
      </c>
      <c r="E4148" s="13" t="inlineStr">
        <is>
          <t>{3}{W}</t>
        </is>
      </c>
      <c r="F4148" s="13" t="inlineStr">
        <is>
          <t>Branco</t>
        </is>
      </c>
      <c r="G4148" s="8" t="n">
        <v>0.06</v>
      </c>
      <c r="H4148" s="13" t="inlineStr">
        <is>
          <t>Shadows over Innistrad (SOI)</t>
        </is>
      </c>
      <c r="I4148" s="13" t="inlineStr">
        <is>
          <t>Não</t>
        </is>
      </c>
      <c r="J4148" s="13" t="n">
        <v>2016</v>
      </c>
      <c r="K4148" s="10" t="n">
        <v>46083</v>
      </c>
      <c r="L4148" s="13" t="n">
        <v>1</v>
      </c>
      <c r="M4148" s="8">
        <f>L4148*G4148</f>
        <v/>
      </c>
      <c r="P4148" s="9" t="n"/>
    </row>
    <row r="4149">
      <c r="A4149" s="13" t="inlineStr">
        <is>
          <t>Moorland Drifter / Errante da Charneca</t>
        </is>
      </c>
      <c r="B4149" s="13" t="inlineStr">
        <is>
          <t>Creature — Spirit / Criatura — Espírito</t>
        </is>
      </c>
      <c r="C4149" s="13" t="inlineStr">
        <is>
          <t>Common / Comum</t>
        </is>
      </c>
      <c r="D4149" s="13" t="inlineStr">
        <is>
          <t>Delirium — This creature has flying as long as there are four or more card types among cards in your graveyard. / Delírio — Errante da Charneca terá voar enquanto houver quatro ou mais tipos de card entre os cards de seu cemitério.</t>
        </is>
      </c>
      <c r="E4149" s="13" t="inlineStr">
        <is>
          <t>{1}{W}</t>
        </is>
      </c>
      <c r="F4149" s="13" t="inlineStr">
        <is>
          <t>Branco</t>
        </is>
      </c>
      <c r="G4149" s="8" t="n">
        <v>0.05</v>
      </c>
      <c r="H4149" s="13" t="inlineStr">
        <is>
          <t>Shadows over Innistrad (SOI)</t>
        </is>
      </c>
      <c r="I4149" s="13" t="inlineStr">
        <is>
          <t>Não</t>
        </is>
      </c>
      <c r="J4149" s="13" t="n">
        <v>2016</v>
      </c>
      <c r="K4149" s="10" t="n">
        <v>46055</v>
      </c>
      <c r="L4149" s="13" t="n">
        <v>1</v>
      </c>
      <c r="M4149" s="8">
        <f>L4149*G4149</f>
        <v/>
      </c>
      <c r="P4149" s="9" t="n"/>
    </row>
    <row r="4150">
      <c r="A4150" s="13" t="inlineStr">
        <is>
          <t>Tenth District Guard / Guarda do Décimo Distrito</t>
        </is>
      </c>
      <c r="B4150" s="13" t="inlineStr">
        <is>
          <t>Creature — Human Soldier / Criatura — Humano Soldado</t>
        </is>
      </c>
      <c r="C4150" s="13" t="inlineStr">
        <is>
          <t>Common / Comum</t>
        </is>
      </c>
      <c r="D4150" s="13" t="inlineStr">
        <is>
          <t>When this creature enters, target creature gets +0/+1 until end of turn. / Quando Guarda do Décimo Distrito entra no campo de batalha, a criatura alvo recebe +0/+1 até o final do turno.</t>
        </is>
      </c>
      <c r="E4150" s="13" t="inlineStr">
        <is>
          <t>{1}{W}</t>
        </is>
      </c>
      <c r="F4150" s="13" t="inlineStr">
        <is>
          <t>Branco</t>
        </is>
      </c>
      <c r="G4150" s="8" t="n">
        <v>0.03</v>
      </c>
      <c r="H4150" s="13" t="inlineStr">
        <is>
          <t>Guilds of Ravnica (GRN)</t>
        </is>
      </c>
      <c r="I4150" s="13" t="inlineStr">
        <is>
          <t>Não</t>
        </is>
      </c>
      <c r="J4150" s="13" t="n">
        <v>2018</v>
      </c>
      <c r="K4150" s="10" t="n">
        <v>46055</v>
      </c>
      <c r="L4150" s="13" t="n">
        <v>1</v>
      </c>
      <c r="M4150" s="8">
        <f>L4150*G4150</f>
        <v/>
      </c>
      <c r="P4150" s="9" t="n"/>
    </row>
    <row r="4151">
      <c r="A4151" s="13" t="inlineStr">
        <is>
          <t>Topplegeist / Geist Desordeiro</t>
        </is>
      </c>
      <c r="B4151" s="13" t="inlineStr">
        <is>
          <t>Creature — Spirit / Criatura — Espírito</t>
        </is>
      </c>
      <c r="C4151" s="13" t="inlineStr">
        <is>
          <t>Uncommon / Incomum</t>
        </is>
      </c>
      <c r="D4151" s="13" t="inlineStr">
        <is>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is>
      </c>
      <c r="E4151" s="13" t="inlineStr">
        <is>
          <t>{W}</t>
        </is>
      </c>
      <c r="F4151" s="13" t="inlineStr">
        <is>
          <t>Branco</t>
        </is>
      </c>
      <c r="G4151" s="8" t="n">
        <v>0.17</v>
      </c>
      <c r="H4151" s="13" t="inlineStr">
        <is>
          <t>Shadows over Innistrad (SOI)</t>
        </is>
      </c>
      <c r="I4151" s="13" t="inlineStr">
        <is>
          <t>Não</t>
        </is>
      </c>
      <c r="J4151" s="13" t="n">
        <v>2016</v>
      </c>
      <c r="K4151" s="10" t="n">
        <v>46023</v>
      </c>
      <c r="L4151" s="13" t="n">
        <v>1</v>
      </c>
      <c r="M4151" s="8">
        <f>L4151*G4151</f>
        <v/>
      </c>
      <c r="P4151" s="9" t="n"/>
    </row>
    <row r="4152">
      <c r="A4152" s="13" t="inlineStr">
        <is>
          <t>Wardscale Dragon / Dragão de Escama Defletora</t>
        </is>
      </c>
      <c r="B4152" s="13" t="inlineStr">
        <is>
          <t>Creature — Dragon / Criatura — Dragão</t>
        </is>
      </c>
      <c r="C4152" s="13" t="inlineStr">
        <is>
          <t>Uncommon / Incomum</t>
        </is>
      </c>
      <c r="D4152" s="13" t="inlineStr">
        <is>
          <t>Flying As long as this creature is attacking, defending player can't cast spells. / Voar Enquanto Dragão de Escama Defletora estiver atacando, o jogador defensor não poderá conjurar mágicas.</t>
        </is>
      </c>
      <c r="E4152" s="13" t="inlineStr">
        <is>
          <t>{4}{W}{W}</t>
        </is>
      </c>
      <c r="F4152" s="13" t="inlineStr">
        <is>
          <t>Branco</t>
        </is>
      </c>
      <c r="G4152" s="8" t="n">
        <v>0.08</v>
      </c>
      <c r="H4152" s="13" t="inlineStr">
        <is>
          <t>Fate Reforged (FRF)</t>
        </is>
      </c>
      <c r="I4152" s="13" t="inlineStr">
        <is>
          <t>Não</t>
        </is>
      </c>
      <c r="J4152" s="13" t="n">
        <v>2015</v>
      </c>
      <c r="K4152" s="10" t="n">
        <v>46116</v>
      </c>
      <c r="L4152" s="13" t="n">
        <v>1</v>
      </c>
      <c r="M4152" s="8">
        <f>L4152*G4152</f>
        <v/>
      </c>
      <c r="P4152" s="9" t="n"/>
    </row>
    <row r="4153">
      <c r="A4153" s="13" t="inlineStr">
        <is>
          <t>Abzan Battle Priest / Sacerdote de Batalha Abzan</t>
        </is>
      </c>
      <c r="B4153" s="13" t="inlineStr">
        <is>
          <t>Creature — Human Cleric / Criatura — Humano Clérigo</t>
        </is>
      </c>
      <c r="C4153" s="13" t="inlineStr">
        <is>
          <t>Uncommon / Incomum</t>
        </is>
      </c>
      <c r="D4153" s="13" t="inlineStr">
        <is>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is>
      </c>
      <c r="E4153" s="13" t="inlineStr">
        <is>
          <t>{3}{W}</t>
        </is>
      </c>
      <c r="F4153" s="13" t="inlineStr">
        <is>
          <t>Branco</t>
        </is>
      </c>
      <c r="G4153" s="8" t="n">
        <v>0.14</v>
      </c>
      <c r="H4153" s="13" t="inlineStr">
        <is>
          <t>Khans of Tarkir (KTK)</t>
        </is>
      </c>
      <c r="I4153" s="13" t="inlineStr">
        <is>
          <t>Não</t>
        </is>
      </c>
      <c r="J4153" s="13" t="n">
        <v>2014</v>
      </c>
      <c r="K4153" s="10" t="n">
        <v>46056</v>
      </c>
      <c r="L4153" s="13" t="n">
        <v>1</v>
      </c>
      <c r="M4153" s="8">
        <f>L4153*G4153</f>
        <v/>
      </c>
      <c r="P4153" s="9" t="n"/>
    </row>
    <row r="4154">
      <c r="A4154" s="13" t="inlineStr">
        <is>
          <t>Abzan Falconer / Falcoeiro Abzan</t>
        </is>
      </c>
      <c r="B4154" s="13" t="inlineStr">
        <is>
          <t>Creature — Human Soldier / Criatura — Humano Soldado</t>
        </is>
      </c>
      <c r="C4154" s="13" t="inlineStr">
        <is>
          <t>Uncommon / Incomum</t>
        </is>
      </c>
      <c r="D4154" s="13" t="inlineStr">
        <is>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is>
      </c>
      <c r="E4154" s="13" t="inlineStr">
        <is>
          <t>{2}{W}</t>
        </is>
      </c>
      <c r="F4154" s="13" t="inlineStr">
        <is>
          <t>Branco</t>
        </is>
      </c>
      <c r="G4154" s="8" t="n">
        <v>0.09</v>
      </c>
      <c r="H4154" s="13" t="inlineStr">
        <is>
          <t>Khans of Tarkir (KTK)</t>
        </is>
      </c>
      <c r="I4154" s="13" t="inlineStr">
        <is>
          <t>Não</t>
        </is>
      </c>
      <c r="J4154" s="13" t="n">
        <v>2014</v>
      </c>
      <c r="K4154" s="10" t="n">
        <v>46083</v>
      </c>
      <c r="L4154" s="13" t="n">
        <v>1</v>
      </c>
      <c r="M4154" s="8">
        <f>L4154*G4154</f>
        <v/>
      </c>
      <c r="P4154" s="9" t="n"/>
    </row>
    <row r="4155">
      <c r="A4155" s="13" t="inlineStr">
        <is>
          <t>Subjugator Angel / Anjo Subjugador</t>
        </is>
      </c>
      <c r="B4155" s="13" t="inlineStr">
        <is>
          <t>Creature — Angel / Criatura — Anjo</t>
        </is>
      </c>
      <c r="C4155" s="13" t="inlineStr">
        <is>
          <t>Uncommon / Incomum</t>
        </is>
      </c>
      <c r="D4155" s="13" t="inlineStr">
        <is>
          <t>Flying When this creature enters, tap all creatures your opponents control. / Voar Quando Anjo Subjugador entrar no campo de batalha, vire todas as criaturas que seus oponentes controlam.</t>
        </is>
      </c>
      <c r="E4155" s="13" t="inlineStr">
        <is>
          <t>{4}{W}{W}</t>
        </is>
      </c>
      <c r="F4155" s="13" t="inlineStr">
        <is>
          <t>Branco</t>
        </is>
      </c>
      <c r="G4155" s="8" t="n">
        <v>0.17</v>
      </c>
      <c r="H4155" s="13" t="inlineStr">
        <is>
          <t>Eldritch Moon (EMN)</t>
        </is>
      </c>
      <c r="I4155" s="13" t="inlineStr">
        <is>
          <t>Não</t>
        </is>
      </c>
      <c r="J4155" s="13" t="n">
        <v>2016</v>
      </c>
      <c r="K4155" s="10" t="n">
        <v>46085</v>
      </c>
      <c r="L4155" s="13" t="n">
        <v>1</v>
      </c>
      <c r="M4155" s="8">
        <f>L4155*G4155</f>
        <v/>
      </c>
      <c r="P4155" s="9" t="n"/>
    </row>
    <row r="4156">
      <c r="A4156" s="13" t="inlineStr">
        <is>
          <t>Courageous Outrider / Vanguardeira Corajosa</t>
        </is>
      </c>
      <c r="B4156" s="13" t="inlineStr">
        <is>
          <t>Creature — Human Scout / Criatura — Humano Batedor</t>
        </is>
      </c>
      <c r="C4156" s="13" t="inlineStr">
        <is>
          <t>Uncommon / Incomum</t>
        </is>
      </c>
      <c r="D4156" s="13" t="inlineStr">
        <is>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is>
      </c>
      <c r="E4156" s="13" t="inlineStr">
        <is>
          <t>{3}{W}</t>
        </is>
      </c>
      <c r="F4156" s="13" t="inlineStr">
        <is>
          <t>Branco</t>
        </is>
      </c>
      <c r="G4156" s="8" t="n">
        <v>0.06</v>
      </c>
      <c r="H4156" s="13" t="inlineStr">
        <is>
          <t>Eldritch Moon (EMN)</t>
        </is>
      </c>
      <c r="I4156" s="13" t="inlineStr">
        <is>
          <t>Não</t>
        </is>
      </c>
      <c r="J4156" s="13" t="n">
        <v>2016</v>
      </c>
      <c r="K4156" s="10" t="n">
        <v>46115</v>
      </c>
      <c r="L4156" s="13" t="n">
        <v>1</v>
      </c>
      <c r="M4156" s="8">
        <f>L4156*G4156</f>
        <v/>
      </c>
      <c r="P4156" s="9" t="n"/>
    </row>
    <row r="4157">
      <c r="A4157" s="13" t="inlineStr">
        <is>
          <t>Drogskol Shieldmate / Escudeira Drogskol</t>
        </is>
      </c>
      <c r="B4157" s="13" t="inlineStr">
        <is>
          <t>Creature — Spirit Soldier / Criatura — Espírito Soldado</t>
        </is>
      </c>
      <c r="C4157" s="13" t="inlineStr">
        <is>
          <t>Uncommon / Incomum</t>
        </is>
      </c>
      <c r="D4157" s="13" t="inlineStr">
        <is>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is>
      </c>
      <c r="E4157" s="13" t="inlineStr">
        <is>
          <t>{2}{W}</t>
        </is>
      </c>
      <c r="F4157" s="13" t="inlineStr">
        <is>
          <t>Branco</t>
        </is>
      </c>
      <c r="G4157" s="8" t="n">
        <v>0.08</v>
      </c>
      <c r="H4157" s="13" t="inlineStr">
        <is>
          <t>Eldritch Moon (EMN)</t>
        </is>
      </c>
      <c r="I4157" s="13" t="inlineStr">
        <is>
          <t>Não</t>
        </is>
      </c>
      <c r="J4157" s="13" t="n">
        <v>2016</v>
      </c>
      <c r="K4157" s="10" t="n">
        <v>46083</v>
      </c>
      <c r="L4157" s="13" t="n">
        <v>1</v>
      </c>
      <c r="M4157" s="8">
        <f>L4157*G4157</f>
        <v/>
      </c>
      <c r="P4157" s="9" t="n"/>
    </row>
    <row r="4158">
      <c r="A4158" s="13" t="inlineStr">
        <is>
          <t>Audacious Infiltrator / Infiltrador Audacioso</t>
        </is>
      </c>
      <c r="B4158" s="13" t="inlineStr">
        <is>
          <t>Creature — Dwarf Rogue / Criatura — Anão Ladino</t>
        </is>
      </c>
      <c r="C4158" s="13" t="inlineStr">
        <is>
          <t>Common / Comum</t>
        </is>
      </c>
      <c r="D4158" s="13" t="inlineStr">
        <is>
          <t>This creature can't be blocked by artifact creatures. / Infiltrador Audacioso não pode ser bloqueado por criaturas artefato.</t>
        </is>
      </c>
      <c r="E4158" s="13" t="inlineStr">
        <is>
          <t>{1}{W}</t>
        </is>
      </c>
      <c r="F4158" s="13" t="inlineStr">
        <is>
          <t>Branco</t>
        </is>
      </c>
      <c r="G4158" s="8" t="n">
        <v>0.03</v>
      </c>
      <c r="H4158" s="13" t="inlineStr">
        <is>
          <t>Aether Revolt (AER)</t>
        </is>
      </c>
      <c r="I4158" s="13" t="inlineStr">
        <is>
          <t>Não</t>
        </is>
      </c>
      <c r="J4158" s="13" t="n">
        <v>2017</v>
      </c>
      <c r="K4158" s="10" t="n">
        <v>46025</v>
      </c>
      <c r="L4158" s="13" t="n">
        <v>1</v>
      </c>
      <c r="M4158" s="8">
        <f>L4158*G4158</f>
        <v/>
      </c>
      <c r="P4158" s="9" t="n"/>
    </row>
    <row r="4159">
      <c r="A4159" s="13" t="inlineStr">
        <is>
          <t>Dawnfeather Eagle / Águia-pena-d'aurora</t>
        </is>
      </c>
      <c r="B4159" s="13" t="inlineStr">
        <is>
          <t>Creature — Bird / Criatura — Ave</t>
        </is>
      </c>
      <c r="C4159" s="13" t="inlineStr">
        <is>
          <t>Common / Comum</t>
        </is>
      </c>
      <c r="D4159" s="13" t="inlineStr">
        <is>
          <t>Flying When this creature enters, creatures you control get +1/+1 and gain vigilance until end of turn. / Voar Quando Águia-pena-d'aurora entra no campo de batalha, as criaturas que você controla recebem +1/+1 e ganham vigilância até o final do turno.</t>
        </is>
      </c>
      <c r="E4159" s="13" t="inlineStr">
        <is>
          <t>{4}{W}</t>
        </is>
      </c>
      <c r="F4159" s="13" t="inlineStr">
        <is>
          <t>Branco</t>
        </is>
      </c>
      <c r="G4159" s="8" t="n">
        <v>0.03</v>
      </c>
      <c r="H4159" s="13" t="inlineStr">
        <is>
          <t>Aether Revolt (AER)</t>
        </is>
      </c>
      <c r="I4159" s="13" t="inlineStr">
        <is>
          <t>Não</t>
        </is>
      </c>
      <c r="J4159" s="13" t="n">
        <v>2017</v>
      </c>
      <c r="K4159" s="10" t="n">
        <v>46084</v>
      </c>
      <c r="L4159" s="13" t="n">
        <v>1</v>
      </c>
      <c r="M4159" s="8">
        <f>L4159*G4159</f>
        <v/>
      </c>
      <c r="P4159" s="9" t="n"/>
    </row>
    <row r="4160">
      <c r="A4160" s="13" t="inlineStr">
        <is>
          <t>Jeskai Student / Estudante Jeskai</t>
        </is>
      </c>
      <c r="B4160" s="13" t="inlineStr">
        <is>
          <t>Creature — Human Monk / Criatura — Humano Monge</t>
        </is>
      </c>
      <c r="C4160" s="13" t="inlineStr">
        <is>
          <t>Common / Comum</t>
        </is>
      </c>
      <c r="D4160" s="13" t="inlineStr">
        <is>
          <t>Prowess (Whenever you cast a noncreature spell, this creature gets +1/+1 until end of turn.) / Destreza (Toda vez que você conjura uma mágica que não seja de criatura, esta criatura recebe +1/+1 até o final do turno.)</t>
        </is>
      </c>
      <c r="E4160" s="13" t="inlineStr">
        <is>
          <t>{1}{W}</t>
        </is>
      </c>
      <c r="F4160" s="13" t="inlineStr">
        <is>
          <t>Branco</t>
        </is>
      </c>
      <c r="G4160" s="8" t="n">
        <v>0.06</v>
      </c>
      <c r="H4160" s="13" t="inlineStr">
        <is>
          <t>Khans of Tarkir (KTK)</t>
        </is>
      </c>
      <c r="I4160" s="13" t="inlineStr">
        <is>
          <t>Não</t>
        </is>
      </c>
      <c r="J4160" s="13" t="n">
        <v>2014</v>
      </c>
      <c r="K4160" s="10" t="n">
        <v>46082</v>
      </c>
      <c r="L4160" s="13" t="n">
        <v>1</v>
      </c>
      <c r="M4160" s="8">
        <f>L4160*G4160</f>
        <v/>
      </c>
      <c r="P4160" s="9" t="n"/>
    </row>
    <row r="4161">
      <c r="A4161" s="13" t="inlineStr">
        <is>
          <t>Ainok Bond-Kin / Ainok Laço-de-honra</t>
        </is>
      </c>
      <c r="B4161" s="13" t="inlineStr">
        <is>
          <t>Creature — Dog Soldier / Criatura — Sabujo Soldado</t>
        </is>
      </c>
      <c r="C4161" s="13" t="inlineStr">
        <is>
          <t>Common / Comum</t>
        </is>
      </c>
      <c r="D4161" s="13"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4161" s="13" t="inlineStr">
        <is>
          <t>{1}{W}</t>
        </is>
      </c>
      <c r="F4161" s="13" t="inlineStr">
        <is>
          <t>Branco</t>
        </is>
      </c>
      <c r="G4161" s="8" t="n">
        <v>0.06</v>
      </c>
      <c r="H4161" s="13" t="inlineStr">
        <is>
          <t>Khans of Tarkir (KTK)</t>
        </is>
      </c>
      <c r="I4161" s="13" t="inlineStr">
        <is>
          <t>Não</t>
        </is>
      </c>
      <c r="J4161" s="13" t="n">
        <v>2014</v>
      </c>
      <c r="K4161" s="10" t="n">
        <v>46024</v>
      </c>
      <c r="L4161" s="13" t="n">
        <v>1</v>
      </c>
      <c r="M4161" s="8">
        <f>L4161*G4161</f>
        <v/>
      </c>
      <c r="P4161" s="9" t="n"/>
    </row>
    <row r="4162">
      <c r="A4162" s="13" t="inlineStr">
        <is>
          <t>Kor Castigator / Castigador Kor</t>
        </is>
      </c>
      <c r="B4162" s="13" t="inlineStr">
        <is>
          <t>Creature — Kor Wizard Ally / Criatura — Kor Mago Aliado</t>
        </is>
      </c>
      <c r="C4162" s="13" t="inlineStr">
        <is>
          <t>Common / Comum</t>
        </is>
      </c>
      <c r="D4162" s="13" t="inlineStr">
        <is>
          <t>This creature can't be blocked by Eldrazi Scions. / Castigador Kor não pode ser bloqueado por Rebentos Eldrazi.</t>
        </is>
      </c>
      <c r="E4162" s="13" t="inlineStr">
        <is>
          <t>{1}{W}</t>
        </is>
      </c>
      <c r="F4162" s="13" t="inlineStr">
        <is>
          <t>Branco</t>
        </is>
      </c>
      <c r="G4162" s="8" t="n">
        <v>0.06</v>
      </c>
      <c r="H4162" s="13" t="inlineStr">
        <is>
          <t>Battle for Zendikar (BFZ)</t>
        </is>
      </c>
      <c r="I4162" s="13" t="inlineStr">
        <is>
          <t>Não</t>
        </is>
      </c>
      <c r="J4162" s="13" t="n">
        <v>2015</v>
      </c>
      <c r="K4162" s="10" t="n">
        <v>46025</v>
      </c>
      <c r="L4162" s="13" t="n">
        <v>1</v>
      </c>
      <c r="M4162" s="8">
        <f>L4162*G4162</f>
        <v/>
      </c>
      <c r="P4162" s="9" t="n"/>
    </row>
    <row r="4163">
      <c r="A4163" s="13" t="inlineStr">
        <is>
          <t>Courier Griffin / Grifo Mensageiro</t>
        </is>
      </c>
      <c r="B4163" s="13" t="inlineStr">
        <is>
          <t>Creature — Griffin / Criatura — Grifo</t>
        </is>
      </c>
      <c r="C4163" s="13" t="inlineStr">
        <is>
          <t>Common / Comum</t>
        </is>
      </c>
      <c r="D4163" s="13" t="inlineStr">
        <is>
          <t>Flying When this creature enters, you gain 2 life. / VoarQuando Grifo Mensageiro entra no campo de batalha, você ganha 2 pontos de vida.</t>
        </is>
      </c>
      <c r="E4163" s="13" t="inlineStr">
        <is>
          <t>{3}{W}</t>
        </is>
      </c>
      <c r="F4163" s="13" t="inlineStr">
        <is>
          <t>Branco</t>
        </is>
      </c>
      <c r="G4163" s="8" t="n">
        <v>0.05</v>
      </c>
      <c r="H4163" s="13" t="inlineStr">
        <is>
          <t>Battle for Zendikar (BFZ)</t>
        </is>
      </c>
      <c r="I4163" s="13" t="inlineStr">
        <is>
          <t>Não</t>
        </is>
      </c>
      <c r="J4163" s="13" t="n">
        <v>2015</v>
      </c>
      <c r="K4163" s="10" t="n">
        <v>46083</v>
      </c>
      <c r="L4163" s="13" t="n">
        <v>1</v>
      </c>
      <c r="M4163" s="8">
        <f>L4163*G4163</f>
        <v/>
      </c>
      <c r="P4163" s="9" t="n"/>
    </row>
    <row r="4164">
      <c r="A4164" s="13" t="inlineStr">
        <is>
          <t>Daring Skyjek / Aerojek Audaz</t>
        </is>
      </c>
      <c r="B4164" s="13" t="inlineStr">
        <is>
          <t>Creature — Human Knight / Criatura — Humano Cavaleiro</t>
        </is>
      </c>
      <c r="C4164" s="13" t="inlineStr">
        <is>
          <t>Common / Comum</t>
        </is>
      </c>
      <c r="D4164" s="13" t="inlineStr">
        <is>
          <t>Battalion — Whenever this creature and at least two other creatures attack, this creature gains flying until end of turn. / Batalhão — Toda vez que Aerojek Audaz e pelo menos duas outras criaturas atacarem, Aerojek Audaz ganhará voar até o final do turno.</t>
        </is>
      </c>
      <c r="E4164" s="13" t="inlineStr">
        <is>
          <t>{1}{W}</t>
        </is>
      </c>
      <c r="F4164" s="13" t="inlineStr">
        <is>
          <t>Branco</t>
        </is>
      </c>
      <c r="G4164" s="8" t="n">
        <v>0.05</v>
      </c>
      <c r="H4164" s="13" t="inlineStr">
        <is>
          <t>Gatecrash (GTC)</t>
        </is>
      </c>
      <c r="I4164" s="13" t="inlineStr">
        <is>
          <t>Não</t>
        </is>
      </c>
      <c r="J4164" s="13" t="n">
        <v>2013</v>
      </c>
      <c r="K4164" s="10" t="n">
        <v>46025</v>
      </c>
      <c r="L4164" s="13" t="n">
        <v>1</v>
      </c>
      <c r="M4164" s="8">
        <f>L4164*G4164</f>
        <v/>
      </c>
      <c r="P4164" s="9" t="n"/>
    </row>
    <row r="4165">
      <c r="A4165" s="13" t="inlineStr">
        <is>
          <t>Knight of Sorrows / Cavaleira dos Pesares</t>
        </is>
      </c>
      <c r="B4165" s="13" t="inlineStr">
        <is>
          <t>Creature — Human Knight / Criatura — Humano Cavaleiro</t>
        </is>
      </c>
      <c r="C4165" s="13" t="inlineStr">
        <is>
          <t>Common / Comum</t>
        </is>
      </c>
      <c r="D4165" s="13" t="inlineStr">
        <is>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is>
      </c>
      <c r="E4165" s="13" t="inlineStr">
        <is>
          <t>{4}{W}</t>
        </is>
      </c>
      <c r="F4165" s="13" t="inlineStr">
        <is>
          <t>Branco</t>
        </is>
      </c>
      <c r="G4165" s="8" t="n">
        <v>0.03</v>
      </c>
      <c r="H4165" s="13" t="inlineStr">
        <is>
          <t>Ravnica Allegiance (RNA)</t>
        </is>
      </c>
      <c r="I4165" s="13" t="inlineStr">
        <is>
          <t>Não</t>
        </is>
      </c>
      <c r="J4165" s="13" t="n">
        <v>2019</v>
      </c>
      <c r="K4165" s="10" t="n">
        <v>46084</v>
      </c>
      <c r="L4165" s="13" t="n">
        <v>1</v>
      </c>
      <c r="M4165" s="8">
        <f>L4165*G4165</f>
        <v/>
      </c>
      <c r="P4165" s="9" t="n"/>
    </row>
    <row r="4166">
      <c r="A4166" s="13" t="inlineStr">
        <is>
          <t>Prowling Caracal / Caracal Espreitador</t>
        </is>
      </c>
      <c r="B4166" s="13" t="inlineStr">
        <is>
          <t>Creature — Cat / Criatura — Felino</t>
        </is>
      </c>
      <c r="C4166" s="13" t="inlineStr">
        <is>
          <t>Common / Comum</t>
        </is>
      </c>
      <c r="E4166" s="13" t="inlineStr">
        <is>
          <t>{1}{W}</t>
        </is>
      </c>
      <c r="F4166" s="13" t="inlineStr">
        <is>
          <t>Branco</t>
        </is>
      </c>
      <c r="G4166" s="8" t="n">
        <v>0.03</v>
      </c>
      <c r="H4166" s="13" t="inlineStr">
        <is>
          <t>Ravnica Allegiance (RNA)</t>
        </is>
      </c>
      <c r="I4166" s="13" t="inlineStr">
        <is>
          <t>Não</t>
        </is>
      </c>
      <c r="J4166" s="13" t="n">
        <v>2019</v>
      </c>
      <c r="K4166" s="10" t="n">
        <v>46025</v>
      </c>
      <c r="L4166" s="13" t="n">
        <v>1</v>
      </c>
      <c r="M4166" s="8">
        <f>L4166*G4166</f>
        <v/>
      </c>
      <c r="P4166" s="9" t="n"/>
    </row>
    <row r="4167">
      <c r="A4167" s="13" t="inlineStr">
        <is>
          <t>Syndicate Messenger / Mensageiro do Sindicato</t>
        </is>
      </c>
      <c r="B4167" s="13" t="inlineStr">
        <is>
          <t>Creature — Bird / Criatura — Ave</t>
        </is>
      </c>
      <c r="C4167" s="13" t="inlineStr">
        <is>
          <t>Common / Comum</t>
        </is>
      </c>
      <c r="D4167" s="13" t="inlineStr">
        <is>
          <t>Flying Afterlife 1 (When this creature dies, create a 1/1 white and black Spirit creature token with flying.) / Voar Pós-vida 1 (Quando esta criatura morrer, crie uma ficha de criatura branca e preta 1/1 do tipo Espírito com voar.)</t>
        </is>
      </c>
      <c r="E4167" s="13" t="inlineStr">
        <is>
          <t>{3}{W}</t>
        </is>
      </c>
      <c r="F4167" s="13" t="inlineStr">
        <is>
          <t>Branco</t>
        </is>
      </c>
      <c r="G4167" s="8" t="n">
        <v>0.03</v>
      </c>
      <c r="H4167" s="13" t="inlineStr">
        <is>
          <t>Ravnica Allegiance (RNA)</t>
        </is>
      </c>
      <c r="I4167" s="13" t="inlineStr">
        <is>
          <t>Não</t>
        </is>
      </c>
      <c r="J4167" s="13" t="n">
        <v>2019</v>
      </c>
      <c r="K4167" s="10" t="n">
        <v>46083</v>
      </c>
      <c r="L4167" s="13" t="n">
        <v>1</v>
      </c>
      <c r="M4167" s="8">
        <f>L4167*G4167</f>
        <v/>
      </c>
      <c r="P4167" s="9" t="n"/>
    </row>
    <row r="4168">
      <c r="A4168" s="13" t="inlineStr">
        <is>
          <t>Intrusive Packbeast / Besta de Carga Invasiva</t>
        </is>
      </c>
      <c r="B4168" s="13" t="inlineStr">
        <is>
          <t>Creature — Beast / Criatura — Besta</t>
        </is>
      </c>
      <c r="C4168" s="13" t="inlineStr">
        <is>
          <t>Common / Comum</t>
        </is>
      </c>
      <c r="D4168" s="13" t="inlineStr">
        <is>
          <t>Vigilance When this creature enters, tap up to two target creatures your opponents control. / Vigilância Quando Besta de Carga Invasiva entrar no campo de batalha, vire até duas criaturas alvo que seus oponentes controlam.</t>
        </is>
      </c>
      <c r="E4168" s="13" t="inlineStr">
        <is>
          <t>{4}{W}</t>
        </is>
      </c>
      <c r="F4168" s="13" t="inlineStr">
        <is>
          <t>Branco</t>
        </is>
      </c>
      <c r="G4168" s="8" t="n">
        <v>0.03</v>
      </c>
      <c r="H4168" s="13" t="inlineStr">
        <is>
          <t>Guilds of Ravnica (GRN)</t>
        </is>
      </c>
      <c r="I4168" s="13" t="inlineStr">
        <is>
          <t>Não</t>
        </is>
      </c>
      <c r="J4168" s="13" t="n">
        <v>2018</v>
      </c>
      <c r="K4168" s="10" t="n">
        <v>46084</v>
      </c>
      <c r="L4168" s="13" t="n">
        <v>1</v>
      </c>
      <c r="M4168" s="8">
        <f>L4168*G4168</f>
        <v/>
      </c>
      <c r="P4168" s="9" t="n"/>
    </row>
    <row r="4169">
      <c r="A4169" s="13" t="inlineStr">
        <is>
          <t>Impassioned Orator / Orador Exaltado</t>
        </is>
      </c>
      <c r="B4169" s="13" t="inlineStr">
        <is>
          <t>Creature — Human Cleric / Criatura — Humano Clérigo</t>
        </is>
      </c>
      <c r="C4169" s="13" t="inlineStr">
        <is>
          <t>Common / Comum</t>
        </is>
      </c>
      <c r="D4169" s="13" t="inlineStr">
        <is>
          <t>Whenever another creature you control enters, you gain 1 life. / Toda vez que outra criatura entra no campo de batalha sob o seu controle, você ganha 1 ponto de vida.</t>
        </is>
      </c>
      <c r="E4169" s="13" t="inlineStr">
        <is>
          <t>{1}{W}</t>
        </is>
      </c>
      <c r="F4169" s="13" t="inlineStr">
        <is>
          <t>Branco</t>
        </is>
      </c>
      <c r="G4169" s="8" t="n">
        <v>0.05</v>
      </c>
      <c r="H4169" s="13" t="inlineStr">
        <is>
          <t>Ravnica Allegiance (RNA)</t>
        </is>
      </c>
      <c r="I4169" s="13" t="inlineStr">
        <is>
          <t>Não</t>
        </is>
      </c>
      <c r="J4169" s="13" t="n">
        <v>2019</v>
      </c>
      <c r="K4169" s="10" t="n">
        <v>46055</v>
      </c>
      <c r="L4169" s="13" t="n">
        <v>1</v>
      </c>
      <c r="M4169" s="8">
        <f>L4169*G4169</f>
        <v/>
      </c>
      <c r="P4169" s="9" t="n"/>
    </row>
    <row r="4170">
      <c r="A4170" s="13" t="inlineStr">
        <is>
          <t>Gideon's Lawkeeper / Guardião da Lei de Gideon</t>
        </is>
      </c>
      <c r="B4170" s="13" t="inlineStr">
        <is>
          <t>Creature — Human Soldier / Criatura — Humano Soldado</t>
        </is>
      </c>
      <c r="C4170" s="13" t="inlineStr">
        <is>
          <t>Common / Comum</t>
        </is>
      </c>
      <c r="D4170" s="13" t="inlineStr">
        <is>
          <t>{W}, {T}: Tap target creature. / {W}, {T}: Vire a criatura alvo.</t>
        </is>
      </c>
      <c r="E4170" s="13" t="inlineStr">
        <is>
          <t>{W}</t>
        </is>
      </c>
      <c r="F4170" s="13" t="inlineStr">
        <is>
          <t>Branco</t>
        </is>
      </c>
      <c r="G4170" s="8" t="n">
        <v>0.13</v>
      </c>
      <c r="H4170" s="13" t="inlineStr">
        <is>
          <t>Modern Masters 2017 (MM3)</t>
        </is>
      </c>
      <c r="I4170" s="13" t="inlineStr">
        <is>
          <t>Não</t>
        </is>
      </c>
      <c r="J4170" s="13" t="n">
        <v>2017</v>
      </c>
      <c r="K4170" s="10" t="n">
        <v>46023</v>
      </c>
      <c r="L4170" s="13" t="n">
        <v>1</v>
      </c>
      <c r="M4170" s="8">
        <f>L4170*G4170</f>
        <v/>
      </c>
      <c r="P4170" s="9" t="n"/>
    </row>
    <row r="4171">
      <c r="A4171" s="13" t="inlineStr">
        <is>
          <t>Alabaster Kirin / Kirin de Alabastro</t>
        </is>
      </c>
      <c r="B4171" s="13" t="inlineStr">
        <is>
          <t>Creature — Kirin / Criatura — Kirin</t>
        </is>
      </c>
      <c r="C4171" s="13" t="inlineStr">
        <is>
          <t>Common / Comum</t>
        </is>
      </c>
      <c r="D4171" s="13" t="inlineStr">
        <is>
          <t>Flying, vigilance / Voar, vigilância</t>
        </is>
      </c>
      <c r="E4171" s="13" t="inlineStr">
        <is>
          <t>{3}{W}</t>
        </is>
      </c>
      <c r="F4171" s="13" t="inlineStr">
        <is>
          <t>Branco</t>
        </is>
      </c>
      <c r="G4171" s="8" t="n">
        <v>0.06</v>
      </c>
      <c r="H4171" s="13" t="inlineStr">
        <is>
          <t>Khans of Tarkir (KTK)</t>
        </is>
      </c>
      <c r="I4171" s="13" t="inlineStr">
        <is>
          <t>Não</t>
        </is>
      </c>
      <c r="J4171" s="13" t="n">
        <v>2014</v>
      </c>
      <c r="K4171" s="10" t="n">
        <v>46083</v>
      </c>
      <c r="L4171" s="13" t="n">
        <v>1</v>
      </c>
      <c r="M4171" s="8">
        <f>L4171*G4171</f>
        <v/>
      </c>
      <c r="P4171" s="9" t="n"/>
    </row>
    <row r="4172">
      <c r="A4172" s="13" t="inlineStr">
        <is>
          <t>Sidewinder Sliver / Fractius Víbora-cornuda</t>
        </is>
      </c>
      <c r="B4172" s="13" t="inlineStr">
        <is>
          <t>Creature — Sliver / Criatura — Fractius</t>
        </is>
      </c>
      <c r="C4172" s="13" t="inlineStr">
        <is>
          <t>Common / Comum</t>
        </is>
      </c>
      <c r="D4172" s="13" t="inlineStr">
        <is>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is>
      </c>
      <c r="E4172" s="13" t="inlineStr">
        <is>
          <t>{W}</t>
        </is>
      </c>
      <c r="F4172" s="13" t="inlineStr">
        <is>
          <t>Branco</t>
        </is>
      </c>
      <c r="G4172" s="8" t="n">
        <v>0.29</v>
      </c>
      <c r="H4172" s="13" t="inlineStr">
        <is>
          <t>Time Spiral Remastered (TSR)</t>
        </is>
      </c>
      <c r="I4172" s="13" t="inlineStr">
        <is>
          <t>Não</t>
        </is>
      </c>
      <c r="J4172" s="13" t="n">
        <v>2021</v>
      </c>
      <c r="K4172" s="10" t="n">
        <v>46023</v>
      </c>
      <c r="L4172" s="13" t="n">
        <v>1</v>
      </c>
      <c r="M4172" s="8">
        <f>L4172*G4172</f>
        <v/>
      </c>
      <c r="P4172" s="9" t="n"/>
    </row>
    <row r="4173">
      <c r="A4173" s="13" t="inlineStr">
        <is>
          <t>Shade of Trokair / Sombra de Trokair</t>
        </is>
      </c>
      <c r="B4173" s="13" t="inlineStr">
        <is>
          <t>Creature — Shade / Criatura — Sombra</t>
        </is>
      </c>
      <c r="C4173" s="13" t="inlineStr">
        <is>
          <t>Common / Comum</t>
        </is>
      </c>
      <c r="D4173" s="13" t="inlineStr">
        <is>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is>
      </c>
      <c r="E4173" s="13" t="inlineStr">
        <is>
          <t>{3}{W}</t>
        </is>
      </c>
      <c r="F4173" s="13" t="inlineStr">
        <is>
          <t>Branco</t>
        </is>
      </c>
      <c r="G4173" s="8" t="n">
        <v>0.09</v>
      </c>
      <c r="H4173" s="13" t="inlineStr">
        <is>
          <t>Time Spiral Remastered (TSR)</t>
        </is>
      </c>
      <c r="I4173" s="13" t="inlineStr">
        <is>
          <t>Não</t>
        </is>
      </c>
      <c r="J4173" s="13" t="n">
        <v>2021</v>
      </c>
      <c r="K4173" s="10" t="n">
        <v>46054</v>
      </c>
      <c r="L4173" s="13" t="n">
        <v>1</v>
      </c>
      <c r="M4173" s="8">
        <f>L4173*G4173</f>
        <v/>
      </c>
      <c r="P4173" s="9" t="n"/>
    </row>
    <row r="4174">
      <c r="A4174" s="13" t="inlineStr">
        <is>
          <t>Charging Griffin / Grifo Atacante</t>
        </is>
      </c>
      <c r="B4174" s="13" t="inlineStr">
        <is>
          <t>Creature — Griffin / Criatura — Grifo</t>
        </is>
      </c>
      <c r="C4174" s="13" t="inlineStr">
        <is>
          <t>Common / Comum</t>
        </is>
      </c>
      <c r="D4174" s="13" t="inlineStr">
        <is>
          <t>Flying (This creature can't be blocked except by creatures with flying or reach.) Whenever this creature attacks, it gets +1/+1 until end of turn. / VoarToda vez que Grifo Atacante ataca, ele recebe +1/+1 até o final do turno.</t>
        </is>
      </c>
      <c r="E4174" s="13" t="inlineStr">
        <is>
          <t>{3}{W}</t>
        </is>
      </c>
      <c r="F4174" s="13" t="inlineStr">
        <is>
          <t>Branco</t>
        </is>
      </c>
      <c r="G4174" s="8" t="n">
        <v>0.05</v>
      </c>
      <c r="H4174" s="13" t="inlineStr">
        <is>
          <t>Magic Origins (ORI)</t>
        </is>
      </c>
      <c r="I4174" s="13" t="inlineStr">
        <is>
          <t>Não</t>
        </is>
      </c>
      <c r="J4174" s="13" t="n">
        <v>2015</v>
      </c>
      <c r="K4174" s="10" t="n">
        <v>46055</v>
      </c>
      <c r="L4174" s="13" t="n">
        <v>2</v>
      </c>
      <c r="M4174" s="8">
        <f>L4174*G4174</f>
        <v/>
      </c>
      <c r="P4174" s="9" t="n"/>
    </row>
    <row r="4175">
      <c r="A4175" s="13" t="inlineStr">
        <is>
          <t>Aven Battle Priest / Sacerdote de Batalha Aviano</t>
        </is>
      </c>
      <c r="B4175" s="13" t="inlineStr">
        <is>
          <t>Creature — Bird Cleric / Criatura — Ave Clérigo</t>
        </is>
      </c>
      <c r="C4175" s="13" t="inlineStr">
        <is>
          <t>Common / Comum</t>
        </is>
      </c>
      <c r="D4175" s="13" t="inlineStr">
        <is>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is>
      </c>
      <c r="E4175" s="13" t="inlineStr">
        <is>
          <t>{5}{W}</t>
        </is>
      </c>
      <c r="F4175" s="13" t="inlineStr">
        <is>
          <t>Branco</t>
        </is>
      </c>
      <c r="G4175" s="8" t="n">
        <v>0.06</v>
      </c>
      <c r="H4175" s="13" t="inlineStr">
        <is>
          <t>Magic Origins (ORI)</t>
        </is>
      </c>
      <c r="I4175" s="13" t="inlineStr">
        <is>
          <t>Não</t>
        </is>
      </c>
      <c r="J4175" s="13" t="n">
        <v>2015</v>
      </c>
      <c r="K4175" s="10" t="n">
        <v>46084</v>
      </c>
      <c r="L4175" s="13" t="n">
        <v>2</v>
      </c>
      <c r="M4175" s="8">
        <f>L4175*G4175</f>
        <v/>
      </c>
      <c r="P4175" s="9" t="n"/>
    </row>
    <row r="4176">
      <c r="A4176" s="13" t="inlineStr">
        <is>
          <t>Strongarm Monk / Monge Braço-forte</t>
        </is>
      </c>
      <c r="B4176" s="13" t="inlineStr">
        <is>
          <t>Creature — Human Monk / Criatura — Humano Monge</t>
        </is>
      </c>
      <c r="C4176" s="13" t="inlineStr">
        <is>
          <t>Uncommon / Incomum</t>
        </is>
      </c>
      <c r="D4176" s="13" t="inlineStr">
        <is>
          <t>Whenever you cast a noncreature spell, creatures you control get +1/+1 until end of turn. / Toda vez que você conjura uma mágica que não seja de criatura, as criaturas que você controla recebem +1/+1 até o final do turno.</t>
        </is>
      </c>
      <c r="E4176" s="13" t="inlineStr">
        <is>
          <t>{4}{W}</t>
        </is>
      </c>
      <c r="F4176" s="13" t="inlineStr">
        <is>
          <t>Branco</t>
        </is>
      </c>
      <c r="G4176" s="8" t="n">
        <v>0.06</v>
      </c>
      <c r="H4176" s="13" t="inlineStr">
        <is>
          <t>Dragons of Tarkir (DTK)</t>
        </is>
      </c>
      <c r="I4176" s="13" t="inlineStr">
        <is>
          <t>Não</t>
        </is>
      </c>
      <c r="J4176" s="13" t="n">
        <v>2015</v>
      </c>
      <c r="K4176" s="10" t="n">
        <v>46084</v>
      </c>
      <c r="L4176" s="13" t="n">
        <v>1</v>
      </c>
      <c r="M4176" s="8">
        <f>L4176*G4176</f>
        <v/>
      </c>
      <c r="P4176" s="9" t="n"/>
    </row>
    <row r="4177">
      <c r="A4177" s="13" t="inlineStr">
        <is>
          <t>Graceblade Artisan / Artesão da Lâmina Graciosa</t>
        </is>
      </c>
      <c r="B4177" s="13" t="inlineStr">
        <is>
          <t>Creature — Human Monk / Criatura — Humano Monge</t>
        </is>
      </c>
      <c r="C4177" s="13" t="inlineStr">
        <is>
          <t>Uncommon / Incomum</t>
        </is>
      </c>
      <c r="D4177" s="13" t="inlineStr">
        <is>
          <t>This creature gets +2/+2 for each Aura attached to it. / Artesão da Lâmina Graciosa recebe +2/+2 para cada Aura anexada a ele.</t>
        </is>
      </c>
      <c r="E4177" s="13" t="inlineStr">
        <is>
          <t>{2}{W}</t>
        </is>
      </c>
      <c r="F4177" s="13" t="inlineStr">
        <is>
          <t>Branco</t>
        </is>
      </c>
      <c r="G4177" s="8" t="n">
        <v>0.09</v>
      </c>
      <c r="H4177" s="13" t="inlineStr">
        <is>
          <t>Dragons of Tarkir (DTK)</t>
        </is>
      </c>
      <c r="I4177" s="13" t="inlineStr">
        <is>
          <t>Não</t>
        </is>
      </c>
      <c r="J4177" s="13" t="n">
        <v>2015</v>
      </c>
      <c r="K4177" s="10" t="n">
        <v>46083</v>
      </c>
      <c r="L4177" s="13" t="n">
        <v>1</v>
      </c>
      <c r="M4177" s="8">
        <f>L4177*G4177</f>
        <v/>
      </c>
      <c r="P4177" s="9" t="n"/>
    </row>
    <row r="4178">
      <c r="A4178" s="13" t="inlineStr">
        <is>
          <t>Consul's Lieutenant / Tenente do Cônsul</t>
        </is>
      </c>
      <c r="B4178" s="13" t="inlineStr">
        <is>
          <t>Creature — Human Soldier / Criatura — Humano Soldado</t>
        </is>
      </c>
      <c r="C4178" s="13" t="inlineStr">
        <is>
          <t>Uncommon / Incomum</t>
        </is>
      </c>
      <c r="D4178" s="13" t="inlineStr">
        <is>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is>
      </c>
      <c r="E4178" s="13" t="inlineStr">
        <is>
          <t>{W}{W}</t>
        </is>
      </c>
      <c r="F4178" s="13" t="inlineStr">
        <is>
          <t>Branco</t>
        </is>
      </c>
      <c r="G4178" s="8" t="n">
        <v>0.09</v>
      </c>
      <c r="H4178" s="13" t="inlineStr">
        <is>
          <t>Magic Origins (ORI)</t>
        </is>
      </c>
      <c r="I4178" s="13" t="inlineStr">
        <is>
          <t>Não</t>
        </is>
      </c>
      <c r="J4178" s="13" t="n">
        <v>2015</v>
      </c>
      <c r="K4178" s="10" t="n">
        <v>46024</v>
      </c>
      <c r="L4178" s="13" t="n">
        <v>1</v>
      </c>
      <c r="M4178" s="8">
        <f>L4178*G4178</f>
        <v/>
      </c>
      <c r="P4178" s="9" t="n"/>
    </row>
    <row r="4179">
      <c r="A4179" s="13" t="inlineStr">
        <is>
          <t>Enlightened Ascetic / Asceta Iluminada</t>
        </is>
      </c>
      <c r="B4179" s="13" t="inlineStr">
        <is>
          <t>Creature — Cat Monk / Criatura — Felino Monge</t>
        </is>
      </c>
      <c r="C4179" s="13" t="inlineStr">
        <is>
          <t>Common / Comum</t>
        </is>
      </c>
      <c r="D4179" s="13" t="inlineStr">
        <is>
          <t>When this creature enters, you may destroy target enchantment. / Quando Asceta Iluminada entra no campo de batalha, você pode destruir o encantamento alvo.</t>
        </is>
      </c>
      <c r="E4179" s="13" t="inlineStr">
        <is>
          <t>{1}{W}</t>
        </is>
      </c>
      <c r="F4179" s="13" t="inlineStr">
        <is>
          <t>Branco</t>
        </is>
      </c>
      <c r="G4179" s="8" t="n">
        <v>0.06</v>
      </c>
      <c r="H4179" s="13" t="inlineStr">
        <is>
          <t>Magic Origins (ORI)</t>
        </is>
      </c>
      <c r="I4179" s="13" t="inlineStr">
        <is>
          <t>Não</t>
        </is>
      </c>
      <c r="J4179" s="13" t="n">
        <v>2015</v>
      </c>
      <c r="K4179" s="10" t="n">
        <v>46023</v>
      </c>
      <c r="L4179" s="13" t="n">
        <v>5</v>
      </c>
      <c r="M4179" s="8">
        <f>L4179*G4179</f>
        <v/>
      </c>
      <c r="P4179" s="9" t="n"/>
    </row>
    <row r="4180">
      <c r="A4180" s="13" t="inlineStr">
        <is>
          <t>Sage-Eye Harrier / Falcão do Olho Sábio</t>
        </is>
      </c>
      <c r="B4180" s="13" t="inlineStr">
        <is>
          <t>Creature — Bird Warrior / Criatura — Ave Guerreiro</t>
        </is>
      </c>
      <c r="C4180" s="13" t="inlineStr">
        <is>
          <t>Common / Comum</t>
        </is>
      </c>
      <c r="D4180" s="13" t="inlineStr">
        <is>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is>
      </c>
      <c r="E4180" s="13" t="inlineStr">
        <is>
          <t>{4}{W}</t>
        </is>
      </c>
      <c r="F4180" s="13" t="inlineStr">
        <is>
          <t>Branco</t>
        </is>
      </c>
      <c r="G4180" s="8" t="n">
        <v>0.04</v>
      </c>
      <c r="H4180" s="13" t="inlineStr">
        <is>
          <t>Khans of Tarkir (KTK)</t>
        </is>
      </c>
      <c r="I4180" s="13" t="inlineStr">
        <is>
          <t>Não</t>
        </is>
      </c>
      <c r="J4180" s="13" t="n">
        <v>2014</v>
      </c>
      <c r="K4180" s="10" t="n">
        <v>46143</v>
      </c>
      <c r="L4180" s="13" t="n">
        <v>1</v>
      </c>
      <c r="M4180" s="8">
        <f>L4180*G4180</f>
        <v/>
      </c>
      <c r="P4180" s="9" t="n"/>
    </row>
    <row r="4181">
      <c r="A4181" s="13" t="inlineStr">
        <is>
          <t>Herald of the Fair / Arauto da Feira</t>
        </is>
      </c>
      <c r="B4181" s="13" t="inlineStr">
        <is>
          <t>Creature — Human / Criatura — Humano</t>
        </is>
      </c>
      <c r="C4181" s="13" t="inlineStr">
        <is>
          <t>Common / Comum</t>
        </is>
      </c>
      <c r="D4181" s="13" t="inlineStr">
        <is>
          <t>When this creature enters, target creature you control gets +1/+1 until end of turn. / Quando Arauto da Feira entra no campo de batalha, a criatura alvo que você controla recebe +1/+1 até o final do turno.</t>
        </is>
      </c>
      <c r="E4181" s="13" t="inlineStr">
        <is>
          <t>{2}{W}</t>
        </is>
      </c>
      <c r="F4181" s="13" t="inlineStr">
        <is>
          <t>Branco</t>
        </is>
      </c>
      <c r="G4181" s="8" t="n">
        <v>0.03</v>
      </c>
      <c r="H4181" s="13" t="inlineStr">
        <is>
          <t>Kaladesh (KLD)</t>
        </is>
      </c>
      <c r="I4181" s="13" t="inlineStr">
        <is>
          <t>Não</t>
        </is>
      </c>
      <c r="J4181" s="13" t="n">
        <v>2016</v>
      </c>
      <c r="K4181" s="10" t="n">
        <v>46056</v>
      </c>
      <c r="L4181" s="13" t="n">
        <v>1</v>
      </c>
      <c r="M4181" s="8">
        <f>L4181*G4181</f>
        <v/>
      </c>
      <c r="P4181" s="9" t="n"/>
    </row>
    <row r="4182">
      <c r="A4182" s="13" t="inlineStr">
        <is>
          <t>Cliffside Lookout / Vigia da Beira do Penhasco</t>
        </is>
      </c>
      <c r="B4182" s="13" t="inlineStr">
        <is>
          <t>Creature — Kor Scout Ally / Criatura — Kor Batedor Aliado</t>
        </is>
      </c>
      <c r="C4182" s="13" t="inlineStr">
        <is>
          <t>Common / Comum</t>
        </is>
      </c>
      <c r="D4182" s="13" t="inlineStr">
        <is>
          <t>{4}{W}: Creatures you control get +1/+1 until end of turn. / {4}{W}: As criaturas que você controla recebem +1/+1 até o final do turno.</t>
        </is>
      </c>
      <c r="E4182" s="13" t="inlineStr">
        <is>
          <t>{W}</t>
        </is>
      </c>
      <c r="F4182" s="13" t="inlineStr">
        <is>
          <t>Branco</t>
        </is>
      </c>
      <c r="G4182" s="8" t="n">
        <v>0.08</v>
      </c>
      <c r="H4182" s="13" t="inlineStr">
        <is>
          <t>Battle for Zendikar (BFZ)</t>
        </is>
      </c>
      <c r="I4182" s="13" t="inlineStr">
        <is>
          <t>Não</t>
        </is>
      </c>
      <c r="J4182" s="13" t="n">
        <v>2015</v>
      </c>
      <c r="K4182" s="10" t="n">
        <v>46023</v>
      </c>
      <c r="L4182" s="13" t="n">
        <v>1</v>
      </c>
      <c r="M4182" s="8">
        <f>L4182*G4182</f>
        <v/>
      </c>
      <c r="P4182" s="9" t="n"/>
    </row>
    <row r="4183">
      <c r="A4183" s="13" t="inlineStr">
        <is>
          <t>Bastion Enforcer / Impositora do Bastião</t>
        </is>
      </c>
      <c r="B4183" s="13" t="inlineStr">
        <is>
          <t>Creature — Dwarf Soldier / Criatura — Anão Soldado</t>
        </is>
      </c>
      <c r="C4183" s="13" t="inlineStr">
        <is>
          <t>Common / Comum</t>
        </is>
      </c>
      <c r="E4183" s="13" t="inlineStr">
        <is>
          <t>{2}{W}</t>
        </is>
      </c>
      <c r="F4183" s="13" t="inlineStr">
        <is>
          <t>Branco</t>
        </is>
      </c>
      <c r="G4183" s="8" t="n">
        <v>0.03</v>
      </c>
      <c r="H4183" s="13" t="inlineStr">
        <is>
          <t>Aether Revolt (AER)</t>
        </is>
      </c>
      <c r="I4183" s="13" t="inlineStr">
        <is>
          <t>Não</t>
        </is>
      </c>
      <c r="J4183" s="13" t="n">
        <v>2017</v>
      </c>
      <c r="K4183" s="10" t="n">
        <v>46056</v>
      </c>
      <c r="L4183" s="13" t="n">
        <v>1</v>
      </c>
      <c r="M4183" s="8">
        <f>L4183*G4183</f>
        <v/>
      </c>
      <c r="P4183" s="9" t="n"/>
    </row>
    <row r="4184">
      <c r="A4184" s="13" t="inlineStr">
        <is>
          <t>Steadfast Cathar / Cátaro Resoluto</t>
        </is>
      </c>
      <c r="B4184" s="13" t="inlineStr">
        <is>
          <t>Creature — Human Soldier / Criatura — Humano Soldado</t>
        </is>
      </c>
      <c r="C4184" s="13" t="inlineStr">
        <is>
          <t>Common / Comum</t>
        </is>
      </c>
      <c r="D4184" s="13" t="inlineStr">
        <is>
          <t>Whenever this creature attacks, it gets +0/+2 until end of turn. / Toda vez que Cátaro Resoluto ataca, ele recebe +0/+2 até o final do turno.</t>
        </is>
      </c>
      <c r="E4184" s="13" t="inlineStr">
        <is>
          <t>{1}{W}</t>
        </is>
      </c>
      <c r="F4184" s="13" t="inlineStr">
        <is>
          <t>Branco</t>
        </is>
      </c>
      <c r="G4184" s="8" t="n">
        <v>0.06</v>
      </c>
      <c r="H4184" s="13" t="inlineStr">
        <is>
          <t>Eldritch Moon (EMN)</t>
        </is>
      </c>
      <c r="I4184" s="13" t="inlineStr">
        <is>
          <t>Não</t>
        </is>
      </c>
      <c r="J4184" s="13" t="n">
        <v>2016</v>
      </c>
      <c r="K4184" s="10" t="n">
        <v>46024</v>
      </c>
      <c r="L4184" s="13" t="n">
        <v>1</v>
      </c>
      <c r="M4184" s="8">
        <f>L4184*G4184</f>
        <v/>
      </c>
      <c r="P4184" s="9" t="n"/>
    </row>
    <row r="4185">
      <c r="A4185" s="13" t="inlineStr">
        <is>
          <t>Topan Freeblade / Franco-espadachim Topaniano</t>
        </is>
      </c>
      <c r="B4185" s="13" t="inlineStr">
        <is>
          <t>Creature — Human Soldier / Criatura — Humano Soldado</t>
        </is>
      </c>
      <c r="C4185" s="13" t="inlineStr">
        <is>
          <t>Common / Comum</t>
        </is>
      </c>
      <c r="D4185" s="13" t="inlineStr">
        <is>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is>
      </c>
      <c r="E4185" s="13" t="inlineStr">
        <is>
          <t>{1}{W}</t>
        </is>
      </c>
      <c r="F4185" s="13" t="inlineStr">
        <is>
          <t>Branco</t>
        </is>
      </c>
      <c r="G4185" s="8" t="n">
        <v>0.04</v>
      </c>
      <c r="H4185" s="13" t="inlineStr">
        <is>
          <t>Magic Origins (ORI)</t>
        </is>
      </c>
      <c r="I4185" s="13" t="inlineStr">
        <is>
          <t>Não</t>
        </is>
      </c>
      <c r="J4185" s="13" t="n">
        <v>2015</v>
      </c>
      <c r="K4185" s="10" t="n">
        <v>46055</v>
      </c>
      <c r="L4185" s="13" t="n">
        <v>5</v>
      </c>
      <c r="M4185" s="8">
        <f>L4185*G4185</f>
        <v/>
      </c>
      <c r="P4185" s="9" t="n"/>
    </row>
    <row r="4186">
      <c r="A4186" s="13" t="inlineStr">
        <is>
          <t>Dragon Hunter / Caçador de Dragões</t>
        </is>
      </c>
      <c r="B4186" s="13" t="inlineStr">
        <is>
          <t>Creature — Human Warrior / Criatura — Humano Guerreiro</t>
        </is>
      </c>
      <c r="C4186" s="13" t="inlineStr">
        <is>
          <t>Uncommon / Incomum</t>
        </is>
      </c>
      <c r="D4186" s="13" t="inlineStr">
        <is>
          <t>Protection from Dragons This creature can block Dragons as though it had reach. / Proteção contra Dragões Caçador de Dragões pode bloquear Dragões como se tivesse alcance.</t>
        </is>
      </c>
      <c r="E4186" s="13" t="inlineStr">
        <is>
          <t>{W}</t>
        </is>
      </c>
      <c r="F4186" s="13" t="inlineStr">
        <is>
          <t>Branco</t>
        </is>
      </c>
      <c r="G4186" s="8" t="n">
        <v>0.06</v>
      </c>
      <c r="H4186" s="13" t="inlineStr">
        <is>
          <t>Dragons of Tarkir (DTK)</t>
        </is>
      </c>
      <c r="I4186" s="13" t="inlineStr">
        <is>
          <t>Não</t>
        </is>
      </c>
      <c r="J4186" s="13" t="n">
        <v>2015</v>
      </c>
      <c r="K4186" s="10" t="n">
        <v>46024</v>
      </c>
      <c r="L4186" s="13" t="n">
        <v>2</v>
      </c>
      <c r="M4186" s="8">
        <f>L4186*G4186</f>
        <v/>
      </c>
      <c r="P4186" s="9" t="n"/>
    </row>
    <row r="4187">
      <c r="A4187" s="13" t="inlineStr">
        <is>
          <t>D'Avenant Trapper / Armadilheira D'Avenant</t>
        </is>
      </c>
      <c r="B4187" s="13" t="inlineStr">
        <is>
          <t>Creature — Human Archer / Criatura — Humano Arqueiro</t>
        </is>
      </c>
      <c r="C4187" s="13" t="inlineStr">
        <is>
          <t>Common / Comum</t>
        </is>
      </c>
      <c r="D4187" s="13" t="inlineStr">
        <is>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is>
      </c>
      <c r="E4187" s="13" t="inlineStr">
        <is>
          <t>{2}{W}</t>
        </is>
      </c>
      <c r="F4187" s="13" t="inlineStr">
        <is>
          <t>Branco</t>
        </is>
      </c>
      <c r="G4187" s="8" t="n">
        <v>0.03</v>
      </c>
      <c r="H4187" s="13" t="inlineStr">
        <is>
          <t>Dominaria (DOM)</t>
        </is>
      </c>
      <c r="I4187" s="13" t="inlineStr">
        <is>
          <t>Não</t>
        </is>
      </c>
      <c r="J4187" s="13" t="n">
        <v>2018</v>
      </c>
      <c r="K4187" s="10" t="n">
        <v>46056</v>
      </c>
      <c r="L4187" s="13" t="n">
        <v>1</v>
      </c>
      <c r="M4187" s="8">
        <f>L4187*G4187</f>
        <v/>
      </c>
      <c r="P4187" s="9" t="n"/>
    </row>
    <row r="4188">
      <c r="A4188" s="13" t="inlineStr">
        <is>
          <t>Wandering Champion / Campeão Errante</t>
        </is>
      </c>
      <c r="B4188" s="13" t="inlineStr">
        <is>
          <t>Creature — Human Monk / Criatura — Humano Monge</t>
        </is>
      </c>
      <c r="C4188" s="13" t="inlineStr">
        <is>
          <t>Uncommon / Incomum</t>
        </is>
      </c>
      <c r="D4188" s="13" t="inlineStr">
        <is>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is>
      </c>
      <c r="E4188" s="13" t="inlineStr">
        <is>
          <t>{1}{W}</t>
        </is>
      </c>
      <c r="F4188" s="13" t="inlineStr">
        <is>
          <t>Branco</t>
        </is>
      </c>
      <c r="G4188" s="8" t="n">
        <v>0.07000000000000001</v>
      </c>
      <c r="H4188" s="13" t="inlineStr">
        <is>
          <t>Fate Reforged (FRF)</t>
        </is>
      </c>
      <c r="I4188" s="13" t="inlineStr">
        <is>
          <t>Não</t>
        </is>
      </c>
      <c r="J4188" s="13" t="n">
        <v>2015</v>
      </c>
      <c r="K4188" s="10" t="n">
        <v>46025</v>
      </c>
      <c r="L4188" s="13" t="n">
        <v>1</v>
      </c>
      <c r="M4188" s="8">
        <f>L4188*G4188</f>
        <v/>
      </c>
      <c r="P4188" s="9" t="n"/>
    </row>
    <row r="4189">
      <c r="A4189" s="13" t="inlineStr">
        <is>
          <t>Kitesail Scout / Batedor Aerovelista</t>
        </is>
      </c>
      <c r="B4189" s="13" t="inlineStr">
        <is>
          <t>Creature — Kor Scout / Criatura — Kor Batedor</t>
        </is>
      </c>
      <c r="C4189" s="13" t="inlineStr">
        <is>
          <t>Common / Comum</t>
        </is>
      </c>
      <c r="D4189" s="13" t="inlineStr">
        <is>
          <t>Flying / Voar</t>
        </is>
      </c>
      <c r="E4189" s="13" t="inlineStr">
        <is>
          <t>{W}</t>
        </is>
      </c>
      <c r="F4189" s="13" t="inlineStr">
        <is>
          <t>Branco</t>
        </is>
      </c>
      <c r="G4189" s="8" t="n">
        <v>0.06</v>
      </c>
      <c r="H4189" s="13" t="inlineStr">
        <is>
          <t>Battle for Zendikar (BFZ)</t>
        </is>
      </c>
      <c r="I4189" s="13" t="inlineStr">
        <is>
          <t>Não</t>
        </is>
      </c>
      <c r="J4189" s="13" t="n">
        <v>2015</v>
      </c>
      <c r="K4189" s="10" t="n">
        <v>46023</v>
      </c>
      <c r="L4189" s="13" t="n">
        <v>1</v>
      </c>
      <c r="M4189" s="8">
        <f>L4189*G4189</f>
        <v/>
      </c>
      <c r="P4189" s="9" t="n"/>
    </row>
    <row r="4190">
      <c r="A4190" s="13" t="inlineStr">
        <is>
          <t>Mardu Hordechief / Chefe da Horda Mardu</t>
        </is>
      </c>
      <c r="B4190" s="13" t="inlineStr">
        <is>
          <t>Creature — Human Warrior / Criatura — Humano Guerreiro</t>
        </is>
      </c>
      <c r="C4190" s="13" t="inlineStr">
        <is>
          <t>Common / Comum</t>
        </is>
      </c>
      <c r="D4190" s="13" t="inlineStr">
        <is>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is>
      </c>
      <c r="E4190" s="13" t="inlineStr">
        <is>
          <t>{2}{W}</t>
        </is>
      </c>
      <c r="F4190" s="13" t="inlineStr">
        <is>
          <t>Branco</t>
        </is>
      </c>
      <c r="G4190" s="8" t="n">
        <v>0.06</v>
      </c>
      <c r="H4190" s="13" t="inlineStr">
        <is>
          <t>Khans of Tarkir (KTK)</t>
        </is>
      </c>
      <c r="I4190" s="13" t="inlineStr">
        <is>
          <t>Não</t>
        </is>
      </c>
      <c r="J4190" s="13" t="n">
        <v>2014</v>
      </c>
      <c r="K4190" s="10" t="n">
        <v>46083</v>
      </c>
      <c r="L4190" s="13" t="n">
        <v>2</v>
      </c>
      <c r="M4190" s="8">
        <f>L4190*G4190</f>
        <v/>
      </c>
      <c r="P4190" s="9" t="n"/>
    </row>
    <row r="4191">
      <c r="A4191" s="13" t="inlineStr">
        <is>
          <t>Loxodon Restorer / Loxodonte Restaurador</t>
        </is>
      </c>
      <c r="B4191" s="13" t="inlineStr">
        <is>
          <t>Creature — Elephant Cleric / Criatura — Elefante Clérigo</t>
        </is>
      </c>
      <c r="C4191" s="13" t="inlineStr">
        <is>
          <t>Common / Comum</t>
        </is>
      </c>
      <c r="D4191" s="13" t="inlineStr">
        <is>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is>
      </c>
      <c r="E4191" s="13" t="inlineStr">
        <is>
          <t>{4}{W}{W}</t>
        </is>
      </c>
      <c r="F4191" s="13" t="inlineStr">
        <is>
          <t>Branco</t>
        </is>
      </c>
      <c r="G4191" s="8" t="n">
        <v>0.03</v>
      </c>
      <c r="H4191" s="13" t="inlineStr">
        <is>
          <t>Guilds of Ravnica (GRN)</t>
        </is>
      </c>
      <c r="I4191" s="13" t="inlineStr">
        <is>
          <t>Não</t>
        </is>
      </c>
      <c r="J4191" s="13" t="n">
        <v>2018</v>
      </c>
      <c r="K4191" s="10" t="n">
        <v>46115</v>
      </c>
      <c r="L4191" s="13" t="n">
        <v>1</v>
      </c>
      <c r="M4191" s="8">
        <f>L4191*G4191</f>
        <v/>
      </c>
      <c r="P4191" s="9" t="n"/>
    </row>
    <row r="4192">
      <c r="A4192" s="13" t="inlineStr">
        <is>
          <t>Civic Stalwart / Defensor Cívico</t>
        </is>
      </c>
      <c r="B4192" s="13" t="inlineStr">
        <is>
          <t>Creature — Elephant Soldier / Criatura — Elefante Soldado</t>
        </is>
      </c>
      <c r="C4192" s="13" t="inlineStr">
        <is>
          <t>Common / Comum</t>
        </is>
      </c>
      <c r="D4192" s="13" t="inlineStr">
        <is>
          <t>When this creature enters, creatures you control get +1/+1 until end of turn. / Quando Defensor Cívico entra no campo de batalha, as criaturas que você controla recebem +1/+1 até o final do turno.</t>
        </is>
      </c>
      <c r="E4192" s="13" t="inlineStr">
        <is>
          <t>{3}{W}</t>
        </is>
      </c>
      <c r="F4192" s="13" t="inlineStr">
        <is>
          <t>Branco</t>
        </is>
      </c>
      <c r="G4192" s="8" t="n">
        <v>0.03</v>
      </c>
      <c r="H4192" s="13" t="inlineStr">
        <is>
          <t>Ravnica Allegiance (RNA)</t>
        </is>
      </c>
      <c r="I4192" s="13" t="inlineStr">
        <is>
          <t>Não</t>
        </is>
      </c>
      <c r="J4192" s="13" t="n">
        <v>2019</v>
      </c>
      <c r="K4192" s="10" t="n">
        <v>46084</v>
      </c>
      <c r="L4192" s="13" t="n">
        <v>1</v>
      </c>
      <c r="M4192" s="8">
        <f>L4192*G4192</f>
        <v/>
      </c>
      <c r="P4192" s="9" t="n"/>
    </row>
    <row r="4193">
      <c r="A4193" s="13" t="inlineStr">
        <is>
          <t>Kor Sky Climber / Alpinista Celeste Kor</t>
        </is>
      </c>
      <c r="B4193" s="13" t="inlineStr">
        <is>
          <t>Creature — Kor Soldier Ally / Criatura — Kor Soldado Aliado</t>
        </is>
      </c>
      <c r="C4193" s="13" t="inlineStr">
        <is>
          <t>Common / Comum</t>
        </is>
      </c>
      <c r="D4193" s="13" t="inlineStr">
        <is>
          <t>{1}{W}: This creature gains flying until end of turn. / {1}{W}: Alpinista Celeste Kor ganha voar até o final do turno.</t>
        </is>
      </c>
      <c r="E4193" s="13" t="inlineStr">
        <is>
          <t>{2}{W}</t>
        </is>
      </c>
      <c r="F4193" s="13" t="inlineStr">
        <is>
          <t>Branco</t>
        </is>
      </c>
      <c r="G4193" s="8" t="n">
        <v>0.05</v>
      </c>
      <c r="H4193" s="13" t="inlineStr">
        <is>
          <t>Oath of the Gatewatch (OGW)</t>
        </is>
      </c>
      <c r="I4193" s="13" t="inlineStr">
        <is>
          <t>Não</t>
        </is>
      </c>
      <c r="J4193" s="13" t="n">
        <v>2016</v>
      </c>
      <c r="K4193" s="10" t="n">
        <v>46056</v>
      </c>
      <c r="L4193" s="13" t="n">
        <v>2</v>
      </c>
      <c r="M4193" s="8">
        <f>L4193*G4193</f>
        <v/>
      </c>
      <c r="P4193" s="9" t="n"/>
    </row>
    <row r="4194">
      <c r="A4194" s="13" t="inlineStr">
        <is>
          <t>Shadow Glider / Planador das Sombras</t>
        </is>
      </c>
      <c r="B4194" s="13" t="inlineStr">
        <is>
          <t>Creature — Kor Soldier / Criatura — Kor Soldado</t>
        </is>
      </c>
      <c r="C4194" s="13" t="inlineStr">
        <is>
          <t>Common / Comum</t>
        </is>
      </c>
      <c r="D4194" s="13" t="inlineStr">
        <is>
          <t>Flying / Voar</t>
        </is>
      </c>
      <c r="E4194" s="13" t="inlineStr">
        <is>
          <t>{2}{W}</t>
        </is>
      </c>
      <c r="F4194" s="13" t="inlineStr">
        <is>
          <t>Branco</t>
        </is>
      </c>
      <c r="G4194" s="8" t="n">
        <v>0.06</v>
      </c>
      <c r="H4194" s="13" t="inlineStr">
        <is>
          <t>Battle for Zendikar (BFZ)</t>
        </is>
      </c>
      <c r="I4194" s="13" t="inlineStr">
        <is>
          <t>Não</t>
        </is>
      </c>
      <c r="J4194" s="13" t="n">
        <v>2015</v>
      </c>
      <c r="K4194" s="10" t="n">
        <v>46055</v>
      </c>
      <c r="L4194" s="13" t="n">
        <v>1</v>
      </c>
      <c r="M4194" s="8">
        <f>L4194*G4194</f>
        <v/>
      </c>
      <c r="P4194" s="9" t="n"/>
    </row>
    <row r="4195">
      <c r="A4195" s="13" t="inlineStr">
        <is>
          <t>Sun Sentinel / Sentinela Solar</t>
        </is>
      </c>
      <c r="B4195" s="13" t="inlineStr">
        <is>
          <t>Creature — Human Soldier / Criatura — Humano Soldado</t>
        </is>
      </c>
      <c r="C4195" s="13" t="inlineStr">
        <is>
          <t>Common / Comum</t>
        </is>
      </c>
      <c r="D4195" s="13" t="inlineStr">
        <is>
          <t>Vigilance (Attacking doesn't cause this creature to tap.) / Vigilância (Esta criatura não é virada para atacar.)</t>
        </is>
      </c>
      <c r="E4195" s="13" t="inlineStr">
        <is>
          <t>{1}{W}</t>
        </is>
      </c>
      <c r="F4195" s="13" t="inlineStr">
        <is>
          <t>Branco</t>
        </is>
      </c>
      <c r="G4195" s="8" t="n">
        <v>0.03</v>
      </c>
      <c r="H4195" s="13" t="inlineStr">
        <is>
          <t>Rivals of Ixalan (RIX)</t>
        </is>
      </c>
      <c r="I4195" s="13" t="inlineStr">
        <is>
          <t>Não</t>
        </is>
      </c>
      <c r="J4195" s="13" t="n">
        <v>2018</v>
      </c>
      <c r="K4195" s="10" t="n">
        <v>46055</v>
      </c>
      <c r="L4195" s="13" t="n">
        <v>3</v>
      </c>
      <c r="M4195" s="8">
        <f>L4195*G4195</f>
        <v/>
      </c>
      <c r="P4195" s="9" t="n"/>
    </row>
    <row r="4196">
      <c r="A4196" s="13" t="inlineStr">
        <is>
          <t>Countless Gears Renegade / Renegada das Engrenagens Incontáveis</t>
        </is>
      </c>
      <c r="B4196" s="13" t="inlineStr">
        <is>
          <t>Creature — Dwarf Artificer / Criatura — Anão Artesão</t>
        </is>
      </c>
      <c r="C4196" s="13" t="inlineStr">
        <is>
          <t>Common / Comum</t>
        </is>
      </c>
      <c r="D4196" s="13" t="inlineStr">
        <is>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is>
      </c>
      <c r="E4196" s="13" t="inlineStr">
        <is>
          <t>{1}{W}</t>
        </is>
      </c>
      <c r="F4196" s="13" t="inlineStr">
        <is>
          <t>Branco</t>
        </is>
      </c>
      <c r="G4196" s="8" t="n">
        <v>0.03</v>
      </c>
      <c r="H4196" s="13" t="inlineStr">
        <is>
          <t>Aether Revolt (AER)</t>
        </is>
      </c>
      <c r="I4196" s="13" t="inlineStr">
        <is>
          <t>Não</t>
        </is>
      </c>
      <c r="J4196" s="13" t="n">
        <v>2017</v>
      </c>
      <c r="K4196" s="10" t="n">
        <v>46055</v>
      </c>
      <c r="L4196" s="13" t="n">
        <v>2</v>
      </c>
      <c r="M4196" s="8">
        <f>L4196*G4196</f>
        <v/>
      </c>
      <c r="P4196" s="9" t="n"/>
    </row>
    <row r="4197">
      <c r="A4197" s="13" t="inlineStr">
        <is>
          <t>Sanguine Glorifier / Glorificadora Sanguínea</t>
        </is>
      </c>
      <c r="B4197" s="13" t="inlineStr">
        <is>
          <t>Creature — Vampire Cleric / Criatura — Vampiro Clérigo</t>
        </is>
      </c>
      <c r="C4197" s="13" t="inlineStr">
        <is>
          <t>Common / Comum</t>
        </is>
      </c>
      <c r="D4197" s="13" t="inlineStr">
        <is>
          <t>When this creature enters, put a +1/+1 counter on another target Vampire you control. / Quando Glorificadora Sanguínea entrar no campo de batalha, coloque um marcador +1/+1 em outro Vampiro alvo que você controla.</t>
        </is>
      </c>
      <c r="E4197" s="13" t="inlineStr">
        <is>
          <t>{3}{W}</t>
        </is>
      </c>
      <c r="F4197" s="13" t="inlineStr">
        <is>
          <t>Branco</t>
        </is>
      </c>
      <c r="G4197" s="8" t="n">
        <v>0.03</v>
      </c>
      <c r="H4197" s="13" t="inlineStr">
        <is>
          <t>Rivals of Ixalan (RIX)</t>
        </is>
      </c>
      <c r="I4197" s="13" t="inlineStr">
        <is>
          <t>Não</t>
        </is>
      </c>
      <c r="J4197" s="13" t="n">
        <v>2018</v>
      </c>
      <c r="K4197" s="10" t="n">
        <v>46084</v>
      </c>
      <c r="L4197" s="13" t="n">
        <v>4</v>
      </c>
      <c r="M4197" s="8">
        <f>L4197*G4197</f>
        <v/>
      </c>
      <c r="P4197" s="9" t="n"/>
    </row>
    <row r="4198">
      <c r="A4198" s="13" t="inlineStr">
        <is>
          <t>Legion Conquistador / Conquistador da Legião</t>
        </is>
      </c>
      <c r="B4198" s="13" t="inlineStr">
        <is>
          <t>Creature — Vampire Soldier / Criatura — Vampiro Soldado</t>
        </is>
      </c>
      <c r="C4198" s="13" t="inlineStr">
        <is>
          <t>Common / Comum</t>
        </is>
      </c>
      <c r="D4198" s="13"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4198" s="13" t="inlineStr">
        <is>
          <t>{2}{W}</t>
        </is>
      </c>
      <c r="F4198" s="13" t="inlineStr">
        <is>
          <t>Branco</t>
        </is>
      </c>
      <c r="G4198" s="8" t="n">
        <v>0.03</v>
      </c>
      <c r="H4198" s="13" t="inlineStr">
        <is>
          <t>Rivals of Ixalan (RIX)</t>
        </is>
      </c>
      <c r="I4198" s="13" t="inlineStr">
        <is>
          <t>Não</t>
        </is>
      </c>
      <c r="J4198" s="13" t="n">
        <v>2018</v>
      </c>
      <c r="K4198" s="10" t="n">
        <v>46055</v>
      </c>
      <c r="L4198" s="13" t="n">
        <v>2</v>
      </c>
      <c r="M4198" s="8">
        <f>L4198*G4198</f>
        <v/>
      </c>
      <c r="P4198" s="9" t="n"/>
    </row>
    <row r="4199">
      <c r="A4199" s="13" t="inlineStr">
        <is>
          <t>Cleric of the Forward Order / Clérigo da Ordem Avançada</t>
        </is>
      </c>
      <c r="B4199" s="13" t="inlineStr">
        <is>
          <t>Creature — Human Cleric / Criatura — Humano Clérigo</t>
        </is>
      </c>
      <c r="C4199" s="13" t="inlineStr">
        <is>
          <t>Common / Comum</t>
        </is>
      </c>
      <c r="D4199" s="13" t="inlineStr">
        <is>
          <t>When this creature enters, you gain 2 life for each creature you control named Cleric of the Forward Order. / Quando Clérigo da Ordem Avançada entra no campo de batalha, você ganha 2 pontos de vida para cada criatura que você controla com o nome Clérigo da Ordem Avançada.</t>
        </is>
      </c>
      <c r="E4199" s="13" t="inlineStr">
        <is>
          <t>{1}{W}</t>
        </is>
      </c>
      <c r="F4199" s="13" t="inlineStr">
        <is>
          <t>Branco</t>
        </is>
      </c>
      <c r="G4199" s="8" t="n">
        <v>0.06</v>
      </c>
      <c r="H4199" s="13" t="inlineStr">
        <is>
          <t>Magic Origins (ORI)</t>
        </is>
      </c>
      <c r="I4199" s="13" t="inlineStr">
        <is>
          <t>Não</t>
        </is>
      </c>
      <c r="J4199" s="13" t="n">
        <v>2015</v>
      </c>
      <c r="K4199" s="10" t="n">
        <v>46055</v>
      </c>
      <c r="L4199" s="13" t="n">
        <v>5</v>
      </c>
      <c r="M4199" s="8">
        <f>L4199*G4199</f>
        <v/>
      </c>
      <c r="P4199" s="9" t="n"/>
    </row>
    <row r="4200">
      <c r="A4200" s="13" t="inlineStr">
        <is>
          <t>Akroan Jailer / Carcereiro Acrosano</t>
        </is>
      </c>
      <c r="B4200" s="13" t="inlineStr">
        <is>
          <t>Creature — Human Soldier / Criatura — Humano Soldado</t>
        </is>
      </c>
      <c r="C4200" s="13" t="inlineStr">
        <is>
          <t>Common / Comum</t>
        </is>
      </c>
      <c r="D4200" s="13" t="inlineStr">
        <is>
          <t>{2}{W}, {T}: Tap target creature. / {2}{W}, {T}: Vire a criatura alvo.</t>
        </is>
      </c>
      <c r="E4200" s="13" t="inlineStr">
        <is>
          <t>{W}</t>
        </is>
      </c>
      <c r="F4200" s="13" t="inlineStr">
        <is>
          <t>Branco</t>
        </is>
      </c>
      <c r="G4200" s="8" t="n">
        <v>0.06</v>
      </c>
      <c r="H4200" s="13" t="inlineStr">
        <is>
          <t>Magic Origins (ORI)</t>
        </is>
      </c>
      <c r="I4200" s="13" t="inlineStr">
        <is>
          <t>Não</t>
        </is>
      </c>
      <c r="J4200" s="13" t="n">
        <v>2015</v>
      </c>
      <c r="K4200" s="10" t="n">
        <v>46023</v>
      </c>
      <c r="L4200" s="13" t="n">
        <v>4</v>
      </c>
      <c r="M4200" s="8">
        <f>L4200*G4200</f>
        <v/>
      </c>
      <c r="P4200" s="9" t="n"/>
    </row>
    <row r="4201">
      <c r="A4201" s="13" t="inlineStr">
        <is>
          <t>Haazda Officer / Oficial de Haazda</t>
        </is>
      </c>
      <c r="B4201" s="13" t="inlineStr">
        <is>
          <t>Creature — Human Soldier / Criatura — Humano Soldado</t>
        </is>
      </c>
      <c r="C4201" s="13" t="inlineStr">
        <is>
          <t>Common / Comum</t>
        </is>
      </c>
      <c r="D4201" s="13" t="inlineStr">
        <is>
          <t>When this creature enters, target creature you control gets +1/+1 until end of turn. / Quando Oficial de Haazda entra no campo de batalha, a criatura alvo que você controla recebe +1/+1 até o final do turno.</t>
        </is>
      </c>
      <c r="E4201" s="13" t="inlineStr">
        <is>
          <t>{2}{W}</t>
        </is>
      </c>
      <c r="F4201" s="13" t="inlineStr">
        <is>
          <t>Branco</t>
        </is>
      </c>
      <c r="G4201" s="8" t="n">
        <v>0.03</v>
      </c>
      <c r="H4201" s="13" t="inlineStr">
        <is>
          <t>Ravnica Allegiance (RNA)</t>
        </is>
      </c>
      <c r="I4201" s="13" t="inlineStr">
        <is>
          <t>Não</t>
        </is>
      </c>
      <c r="J4201" s="13" t="n">
        <v>2019</v>
      </c>
      <c r="K4201" s="10" t="n">
        <v>46056</v>
      </c>
      <c r="L4201" s="13" t="n">
        <v>2</v>
      </c>
      <c r="M4201" s="8">
        <f>L4201*G4201</f>
        <v/>
      </c>
      <c r="P4201" s="9" t="n"/>
    </row>
    <row r="4202">
      <c r="A4202" s="13" t="inlineStr">
        <is>
          <t>Heavy Infantry / Infantaria Pesada</t>
        </is>
      </c>
      <c r="B4202" s="13" t="inlineStr">
        <is>
          <t>Creature — Human Soldier / Criatura — Humano Soldado</t>
        </is>
      </c>
      <c r="C4202" s="13" t="inlineStr">
        <is>
          <t>Common / Comum</t>
        </is>
      </c>
      <c r="D4202" s="13" t="inlineStr">
        <is>
          <t>When this creature enters, tap target creature an opponent controls. / Quando Infantaria Pesada entrar no campo de batalha, vire a criatura alvo que um oponente controla.</t>
        </is>
      </c>
      <c r="E4202" s="13" t="inlineStr">
        <is>
          <t>{4}{W}</t>
        </is>
      </c>
      <c r="F4202" s="13" t="inlineStr">
        <is>
          <t>Branco</t>
        </is>
      </c>
      <c r="G4202" s="8" t="n">
        <v>0.04</v>
      </c>
      <c r="H4202" s="13" t="inlineStr">
        <is>
          <t>Magic Origins (ORI)</t>
        </is>
      </c>
      <c r="I4202" s="13" t="inlineStr">
        <is>
          <t>Não</t>
        </is>
      </c>
      <c r="J4202" s="13" t="n">
        <v>2015</v>
      </c>
      <c r="K4202" s="10" t="n">
        <v>46115</v>
      </c>
      <c r="L4202" s="13" t="n">
        <v>7</v>
      </c>
      <c r="M4202" s="8">
        <f>L4202*G4202</f>
        <v/>
      </c>
      <c r="P4202" s="9" t="n"/>
    </row>
    <row r="4203">
      <c r="A4203" s="13" t="inlineStr">
        <is>
          <t>Geist of the Lonely Vigil / Geist da Vigia Solitária</t>
        </is>
      </c>
      <c r="B4203" s="13" t="inlineStr">
        <is>
          <t>Creature — Spirit Cleric / Criatura — Espírito Clérigo</t>
        </is>
      </c>
      <c r="C4203" s="13" t="inlineStr">
        <is>
          <t>Uncommon / Incomum</t>
        </is>
      </c>
      <c r="D4203" s="13" t="inlineStr">
        <is>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is>
      </c>
      <c r="E4203" s="13" t="inlineStr">
        <is>
          <t>{1}{W}</t>
        </is>
      </c>
      <c r="F4203" s="13" t="inlineStr">
        <is>
          <t>Branco</t>
        </is>
      </c>
      <c r="G4203" s="8" t="n">
        <v>0.06</v>
      </c>
      <c r="H4203" s="13" t="inlineStr">
        <is>
          <t>Eldritch Moon (EMN)</t>
        </is>
      </c>
      <c r="I4203" s="13" t="inlineStr">
        <is>
          <t>Não</t>
        </is>
      </c>
      <c r="J4203" s="13" t="n">
        <v>2016</v>
      </c>
      <c r="K4203" s="10" t="n">
        <v>46083</v>
      </c>
      <c r="L4203" s="13" t="n">
        <v>2</v>
      </c>
      <c r="M4203" s="8">
        <f>L4203*G4203</f>
        <v/>
      </c>
      <c r="P4203" s="9" t="n"/>
    </row>
    <row r="4204">
      <c r="A4204" s="13" t="inlineStr">
        <is>
          <t>Raptor Companion / Companheiro Raptor</t>
        </is>
      </c>
      <c r="B4204" s="13" t="inlineStr">
        <is>
          <t>Creature — Dinosaur / Criatura — Dinossauro</t>
        </is>
      </c>
      <c r="C4204" s="13" t="inlineStr">
        <is>
          <t>Common / Comum</t>
        </is>
      </c>
      <c r="E4204" s="13" t="inlineStr">
        <is>
          <t>{1}{W}</t>
        </is>
      </c>
      <c r="F4204" s="13" t="inlineStr">
        <is>
          <t>Branco</t>
        </is>
      </c>
      <c r="G4204" s="8" t="n">
        <v>0.03</v>
      </c>
      <c r="H4204" s="13" t="inlineStr">
        <is>
          <t>Rivals of Ixalan (RIX)</t>
        </is>
      </c>
      <c r="I4204" s="13" t="inlineStr">
        <is>
          <t>Não</t>
        </is>
      </c>
      <c r="J4204" s="13" t="n">
        <v>2018</v>
      </c>
      <c r="K4204" s="10" t="n">
        <v>46025</v>
      </c>
      <c r="L4204" s="13" t="n">
        <v>4</v>
      </c>
      <c r="M4204" s="8">
        <f>L4204*G4204</f>
        <v/>
      </c>
      <c r="P4204" s="9" t="n"/>
    </row>
    <row r="4205">
      <c r="A4205" s="13" t="inlineStr">
        <is>
          <t>Yoked Ox / Boi Jungido</t>
        </is>
      </c>
      <c r="B4205" s="13" t="inlineStr">
        <is>
          <t>Creature — Ox / Criatura — Boi</t>
        </is>
      </c>
      <c r="C4205" s="13" t="inlineStr">
        <is>
          <t>Common / Comum</t>
        </is>
      </c>
      <c r="E4205" s="13" t="inlineStr">
        <is>
          <t>{W}</t>
        </is>
      </c>
      <c r="F4205" s="13" t="inlineStr">
        <is>
          <t>Branco</t>
        </is>
      </c>
      <c r="G4205" s="8" t="n">
        <v>0.05</v>
      </c>
      <c r="H4205" s="13" t="inlineStr">
        <is>
          <t>Magic Origins (ORI)</t>
        </is>
      </c>
      <c r="I4205" s="13" t="inlineStr">
        <is>
          <t>Não</t>
        </is>
      </c>
      <c r="J4205" s="13" t="n">
        <v>2015</v>
      </c>
      <c r="K4205" s="13" t="inlineStr">
        <is>
          <t>0/4</t>
        </is>
      </c>
      <c r="L4205" s="13" t="n">
        <v>2</v>
      </c>
      <c r="M4205" s="8">
        <f>L4205*G4205</f>
        <v/>
      </c>
      <c r="P4205" s="9" t="n"/>
    </row>
    <row r="4206">
      <c r="A4206" s="13" t="inlineStr">
        <is>
          <t>Knight of the Pilgrim's Road / Cavaleiro da Estrada dos Peregrinos</t>
        </is>
      </c>
      <c r="B4206" s="13" t="inlineStr">
        <is>
          <t>Creature — Human Knight / Criatura — Humano Cavaleiro</t>
        </is>
      </c>
      <c r="C4206" s="13" t="inlineStr">
        <is>
          <t>Common / Comum</t>
        </is>
      </c>
      <c r="D4206" s="13" t="inlineStr">
        <is>
          <t>Renown 1 (When this creature deals combat damage to a player, if it isn't renowned, put a +1/+1 counter on it and it becomes renowned.) / Renome 1 (Quando esta criatura causar dano de combate a um jogador, se ela não for renomada, coloque um marcador +1/+1 nela e ela se tornará renomada.)</t>
        </is>
      </c>
      <c r="E4206" s="13" t="inlineStr">
        <is>
          <t>{2}{W}</t>
        </is>
      </c>
      <c r="F4206" s="13" t="inlineStr">
        <is>
          <t>Branco</t>
        </is>
      </c>
      <c r="G4206" s="8" t="n">
        <v>0.06</v>
      </c>
      <c r="H4206" s="13" t="inlineStr">
        <is>
          <t>Magic Origins (ORI)</t>
        </is>
      </c>
      <c r="I4206" s="13" t="inlineStr">
        <is>
          <t>Não</t>
        </is>
      </c>
      <c r="J4206" s="13" t="n">
        <v>2015</v>
      </c>
      <c r="K4206" s="10" t="n">
        <v>46056</v>
      </c>
      <c r="L4206" s="13" t="n">
        <v>9</v>
      </c>
      <c r="M4206" s="8">
        <f>L4206*G4206</f>
        <v/>
      </c>
      <c r="P4206" s="9" t="n"/>
    </row>
    <row r="4207">
      <c r="A4207" s="13" t="inlineStr">
        <is>
          <t>Affa Protector / Protetor de Affa</t>
        </is>
      </c>
      <c r="B4207" s="13" t="inlineStr">
        <is>
          <t>Creature — Human Soldier Ally / Criatura — Humano Soldado Aliado</t>
        </is>
      </c>
      <c r="C4207" s="13" t="inlineStr">
        <is>
          <t>Common / Comum</t>
        </is>
      </c>
      <c r="D4207" s="13" t="inlineStr">
        <is>
          <t>Vigilance / Vigilância</t>
        </is>
      </c>
      <c r="E4207" s="13" t="inlineStr">
        <is>
          <t>{2}{W}</t>
        </is>
      </c>
      <c r="F4207" s="13" t="inlineStr">
        <is>
          <t>Branco</t>
        </is>
      </c>
      <c r="G4207" s="8" t="n">
        <v>0.05</v>
      </c>
      <c r="H4207" s="13" t="inlineStr">
        <is>
          <t>Oath of the Gatewatch (OGW)</t>
        </is>
      </c>
      <c r="I4207" s="13" t="inlineStr">
        <is>
          <t>Não</t>
        </is>
      </c>
      <c r="J4207" s="13" t="n">
        <v>2016</v>
      </c>
      <c r="K4207" s="10" t="n">
        <v>46113</v>
      </c>
      <c r="L4207" s="13" t="n">
        <v>3</v>
      </c>
      <c r="M4207" s="8">
        <f>L4207*G4207</f>
        <v/>
      </c>
      <c r="P4207" s="9" t="n"/>
    </row>
    <row r="4208">
      <c r="A4208" s="13" t="inlineStr">
        <is>
          <t>Stalwart Aven / Defensor Aviano</t>
        </is>
      </c>
      <c r="B4208" s="13" t="inlineStr">
        <is>
          <t>Creature — Bird Soldier / Criatura — Ave Soldado</t>
        </is>
      </c>
      <c r="C4208" s="13" t="inlineStr">
        <is>
          <t>Common / Comum</t>
        </is>
      </c>
      <c r="D4208" s="13" t="inlineStr">
        <is>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is>
      </c>
      <c r="E4208" s="13" t="inlineStr">
        <is>
          <t>{2}{W}</t>
        </is>
      </c>
      <c r="F4208" s="13" t="inlineStr">
        <is>
          <t>Branco</t>
        </is>
      </c>
      <c r="G4208" s="8" t="n">
        <v>0.06</v>
      </c>
      <c r="H4208" s="13" t="inlineStr">
        <is>
          <t>Magic Origins (ORI)</t>
        </is>
      </c>
      <c r="I4208" s="13" t="inlineStr">
        <is>
          <t>Não</t>
        </is>
      </c>
      <c r="J4208" s="13" t="n">
        <v>2015</v>
      </c>
      <c r="K4208" s="10" t="n">
        <v>46082</v>
      </c>
      <c r="L4208" s="13" t="n">
        <v>4</v>
      </c>
      <c r="M4208" s="8">
        <f>L4208*G4208</f>
        <v/>
      </c>
      <c r="P4208" s="9" t="n"/>
    </row>
    <row r="4209">
      <c r="A4209" s="13" t="inlineStr">
        <is>
          <t>Ampryn Tactician / Estrategista Ampryn</t>
        </is>
      </c>
      <c r="B4209" s="13" t="inlineStr">
        <is>
          <t>Creature — Human Soldier / Criatura — Humano Soldado</t>
        </is>
      </c>
      <c r="C4209" s="13" t="inlineStr">
        <is>
          <t>Common / Comum</t>
        </is>
      </c>
      <c r="D4209" s="13" t="inlineStr">
        <is>
          <t>When this creature enters, creatures you control get +1/+1 until end of turn. / Quando Estrategista Ampryn entra no campo de batalha, as criaturas que você controla recebem +1/+1 até o final do turno.</t>
        </is>
      </c>
      <c r="E4209" s="13" t="inlineStr">
        <is>
          <t>{2}{W}{W}</t>
        </is>
      </c>
      <c r="F4209" s="13" t="inlineStr">
        <is>
          <t>Branco</t>
        </is>
      </c>
      <c r="G4209" s="8" t="n">
        <v>0.06</v>
      </c>
      <c r="H4209" s="13" t="inlineStr">
        <is>
          <t>Magic Origins (ORI)</t>
        </is>
      </c>
      <c r="I4209" s="13" t="inlineStr">
        <is>
          <t>Não</t>
        </is>
      </c>
      <c r="J4209" s="13" t="n">
        <v>2015</v>
      </c>
      <c r="K4209" s="10" t="n">
        <v>46084</v>
      </c>
      <c r="L4209" s="13" t="n">
        <v>3</v>
      </c>
      <c r="M4209" s="8">
        <f>L4209*G4209</f>
        <v/>
      </c>
      <c r="P4209" s="9" t="n"/>
    </row>
    <row r="4210">
      <c r="A4210" s="13" t="inlineStr">
        <is>
          <t>Auramancer / Auramante</t>
        </is>
      </c>
      <c r="B4210" s="13" t="inlineStr">
        <is>
          <t>Creature — Human Wizard / Criatura — Humano Mago</t>
        </is>
      </c>
      <c r="C4210" s="13" t="inlineStr">
        <is>
          <t>Common / Comum</t>
        </is>
      </c>
      <c r="D4210" s="13" t="inlineStr">
        <is>
          <t>When this creature enters, you may return target enchantment card from your graveyard to your hand. / Quando Auramante entra no campo de batalha, você pode devolver o card de encantamento alvo de seu cemitério para sua mão.</t>
        </is>
      </c>
      <c r="E4210" s="13" t="inlineStr">
        <is>
          <t>{2}{W}</t>
        </is>
      </c>
      <c r="F4210" s="13" t="inlineStr">
        <is>
          <t>Branco</t>
        </is>
      </c>
      <c r="G4210" s="8" t="n">
        <v>0.06</v>
      </c>
      <c r="H4210" s="13" t="inlineStr">
        <is>
          <t>Magic Origins (ORI)</t>
        </is>
      </c>
      <c r="I4210" s="13" t="inlineStr">
        <is>
          <t>Não</t>
        </is>
      </c>
      <c r="J4210" s="13" t="n">
        <v>2015</v>
      </c>
      <c r="K4210" s="10" t="n">
        <v>46055</v>
      </c>
      <c r="L4210" s="13" t="n">
        <v>3</v>
      </c>
      <c r="M4210" s="8">
        <f>L4210*G4210</f>
        <v/>
      </c>
      <c r="P4210" s="9" t="n"/>
    </row>
    <row r="4211">
      <c r="A4211" s="13" t="inlineStr">
        <is>
          <t>War Oracle / Oráculo da Guerra</t>
        </is>
      </c>
      <c r="B4211" s="13" t="inlineStr">
        <is>
          <t>Creature — Human Cleric / Criatura — Humano Clérigo</t>
        </is>
      </c>
      <c r="C4211" s="13" t="inlineStr">
        <is>
          <t>Uncommon / Incomum</t>
        </is>
      </c>
      <c r="D4211" s="13" t="inlineStr">
        <is>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is>
      </c>
      <c r="E4211" s="13" t="inlineStr">
        <is>
          <t>{2}{W}{W}</t>
        </is>
      </c>
      <c r="F4211" s="13" t="inlineStr">
        <is>
          <t>Branco</t>
        </is>
      </c>
      <c r="G4211" s="8" t="n">
        <v>0.08</v>
      </c>
      <c r="H4211" s="13" t="inlineStr">
        <is>
          <t>Magic Origins (ORI)</t>
        </is>
      </c>
      <c r="I4211" s="13" t="inlineStr">
        <is>
          <t>Não</t>
        </is>
      </c>
      <c r="J4211" s="13" t="n">
        <v>2015</v>
      </c>
      <c r="K4211" s="10" t="n">
        <v>46084</v>
      </c>
      <c r="L4211" s="13" t="n">
        <v>2</v>
      </c>
      <c r="M4211" s="8">
        <f>L4211*G4211</f>
        <v/>
      </c>
      <c r="P4211" s="9" t="n"/>
    </row>
    <row r="4212">
      <c r="A4212" s="13" t="inlineStr">
        <is>
          <t>Kor Scythemaster / Mestre das Foice Kor</t>
        </is>
      </c>
      <c r="B4212" s="13" t="inlineStr">
        <is>
          <t>Creature — Kor Soldier Ally / Criatura — Kor Soldado Aliado</t>
        </is>
      </c>
      <c r="C4212" s="13" t="inlineStr">
        <is>
          <t>Common / Comum</t>
        </is>
      </c>
      <c r="D4212" s="13" t="inlineStr">
        <is>
          <t>This creature has first strike as long as it's attacking. / Mestre das Foice Kor tem iniciativa enquanto estiver atacando.</t>
        </is>
      </c>
      <c r="E4212" s="13" t="inlineStr">
        <is>
          <t>{2}{W}</t>
        </is>
      </c>
      <c r="F4212" s="13" t="inlineStr">
        <is>
          <t>Branco</t>
        </is>
      </c>
      <c r="G4212" s="8" t="n">
        <v>0.05</v>
      </c>
      <c r="H4212" s="13" t="inlineStr">
        <is>
          <t>Oath of the Gatewatch (OGW)</t>
        </is>
      </c>
      <c r="I4212" s="13" t="inlineStr">
        <is>
          <t>Não</t>
        </is>
      </c>
      <c r="J4212" s="13" t="n">
        <v>2016</v>
      </c>
      <c r="K4212" s="10" t="n">
        <v>46025</v>
      </c>
      <c r="L4212" s="13" t="n">
        <v>5</v>
      </c>
      <c r="M4212" s="8">
        <f>L4212*G4212</f>
        <v/>
      </c>
      <c r="P4212" s="9" t="n"/>
    </row>
    <row r="4213">
      <c r="A4213" s="13" t="inlineStr">
        <is>
          <t>Ondu War Cleric / Clérigo da Guerra de Ondu</t>
        </is>
      </c>
      <c r="B4213" s="13" t="inlineStr">
        <is>
          <t>Creature — Human Cleric Ally / Criatura — Humano Clérigo Aliado</t>
        </is>
      </c>
      <c r="C4213" s="13" t="inlineStr">
        <is>
          <t>Common / Comum</t>
        </is>
      </c>
      <c r="D4213" s="13" t="inlineStr">
        <is>
          <t>Cohort — {T}, Tap an untapped Ally you control: You gain 2 life. / Companheiro — {T}, Vire um Aliado desvirado que você controla: Você ganha 2 pontos de vida.</t>
        </is>
      </c>
      <c r="E4213" s="13" t="inlineStr">
        <is>
          <t>{1}{W}</t>
        </is>
      </c>
      <c r="F4213" s="13" t="inlineStr">
        <is>
          <t>Branco</t>
        </is>
      </c>
      <c r="G4213" s="8" t="n">
        <v>0.05</v>
      </c>
      <c r="H4213" s="13" t="inlineStr">
        <is>
          <t>Oath of the Gatewatch (OGW)</t>
        </is>
      </c>
      <c r="I4213" s="13" t="inlineStr">
        <is>
          <t>Não</t>
        </is>
      </c>
      <c r="J4213" s="13" t="n">
        <v>2016</v>
      </c>
      <c r="K4213" s="10" t="n">
        <v>46055</v>
      </c>
      <c r="L4213" s="13" t="n">
        <v>3</v>
      </c>
      <c r="M4213" s="8">
        <f>L4213*G4213</f>
        <v/>
      </c>
      <c r="P4213" s="9" t="n"/>
    </row>
    <row r="4214">
      <c r="G4214" s="8" t="n"/>
      <c r="M4214" s="8">
        <f>L4214*G4214</f>
        <v/>
      </c>
      <c r="P4214" s="9" t="n"/>
    </row>
    <row r="4215">
      <c r="G4215" s="8" t="n"/>
      <c r="M4215" s="8">
        <f>L4215*G4215</f>
        <v/>
      </c>
      <c r="P4215" s="9" t="n"/>
    </row>
    <row r="4216">
      <c r="G4216" s="8" t="n"/>
      <c r="M4216" s="8">
        <f>L4216*G4216</f>
        <v/>
      </c>
      <c r="P4216" s="9" t="n"/>
    </row>
    <row r="4217">
      <c r="G4217" s="8" t="n"/>
      <c r="M4217" s="8">
        <f>L4217*G4217</f>
        <v/>
      </c>
      <c r="P4217" s="9" t="n"/>
    </row>
    <row r="4218">
      <c r="G4218" s="8" t="n"/>
      <c r="M4218" s="8">
        <f>L4218*G4218</f>
        <v/>
      </c>
      <c r="P4218" s="9" t="n"/>
    </row>
    <row r="4219">
      <c r="G4219" s="8" t="n"/>
      <c r="M4219" s="8">
        <f>L4219*G4219</f>
        <v/>
      </c>
      <c r="P4219" s="9" t="n"/>
    </row>
    <row r="4220">
      <c r="G4220" s="8" t="n"/>
      <c r="M4220" s="8">
        <f>L4220*G4220</f>
        <v/>
      </c>
      <c r="P4220" s="9" t="n"/>
    </row>
    <row r="4221">
      <c r="G4221" s="8" t="n"/>
      <c r="M4221" s="8">
        <f>L4221*G4221</f>
        <v/>
      </c>
      <c r="P4221" s="9" t="n"/>
    </row>
    <row r="4222">
      <c r="G4222" s="8" t="n"/>
      <c r="M4222" s="8">
        <f>L4222*G4222</f>
        <v/>
      </c>
      <c r="P4222" s="9" t="n"/>
    </row>
    <row r="4223">
      <c r="G4223" s="8" t="n"/>
      <c r="M4223" s="8">
        <f>L4223*G4223</f>
        <v/>
      </c>
      <c r="P4223" s="9" t="n"/>
    </row>
    <row r="4224">
      <c r="G4224" s="8" t="n"/>
      <c r="M4224" s="8">
        <f>L4224*G4224</f>
        <v/>
      </c>
      <c r="P4224" s="9" t="n"/>
    </row>
    <row r="4225">
      <c r="G4225" s="8" t="n"/>
      <c r="M4225" s="8">
        <f>L4225*G4225</f>
        <v/>
      </c>
      <c r="P4225" s="9" t="n"/>
    </row>
    <row r="4226">
      <c r="G4226" s="8" t="n"/>
      <c r="M4226" s="8">
        <f>L4226*G4226</f>
        <v/>
      </c>
      <c r="P4226" s="9" t="n"/>
    </row>
    <row r="4227">
      <c r="G4227" s="8" t="n"/>
      <c r="M4227" s="8">
        <f>L4227*G4227</f>
        <v/>
      </c>
      <c r="P4227" s="9" t="n"/>
    </row>
    <row r="4228">
      <c r="G4228" s="8" t="n"/>
      <c r="M4228" s="8">
        <f>L4228*G4228</f>
        <v/>
      </c>
      <c r="P4228" s="9" t="n"/>
    </row>
    <row r="4229">
      <c r="G4229" s="8" t="n"/>
      <c r="M4229" s="8">
        <f>L4229*G4229</f>
        <v/>
      </c>
      <c r="P4229" s="9" t="n"/>
    </row>
    <row r="4230">
      <c r="G4230" s="8" t="n"/>
      <c r="M4230" s="8">
        <f>L4230*G4230</f>
        <v/>
      </c>
      <c r="P4230" s="9" t="n"/>
    </row>
    <row r="4231">
      <c r="G4231" s="8" t="n"/>
      <c r="M4231" s="8">
        <f>L4231*G4231</f>
        <v/>
      </c>
      <c r="P4231" s="9" t="n"/>
    </row>
    <row r="4232">
      <c r="G4232" s="8" t="n"/>
      <c r="M4232" s="8">
        <f>L4232*G4232</f>
        <v/>
      </c>
      <c r="P4232" s="9" t="n"/>
    </row>
    <row r="4233">
      <c r="G4233" s="8" t="n"/>
      <c r="M4233" s="8">
        <f>L4233*G4233</f>
        <v/>
      </c>
      <c r="P4233" s="9" t="n"/>
    </row>
    <row r="4234">
      <c r="G4234" s="8" t="n"/>
      <c r="M4234" s="8">
        <f>L4234*G4234</f>
        <v/>
      </c>
      <c r="P4234" s="9" t="n"/>
    </row>
    <row r="4235">
      <c r="G4235" s="8" t="n"/>
      <c r="M4235" s="8">
        <f>L4235*G4235</f>
        <v/>
      </c>
      <c r="P4235" s="9" t="n"/>
    </row>
    <row r="4236">
      <c r="G4236" s="8" t="n"/>
      <c r="M4236" s="8">
        <f>L4236*G4236</f>
        <v/>
      </c>
      <c r="P4236" s="9" t="n"/>
    </row>
    <row r="4237">
      <c r="G4237" s="8" t="n"/>
      <c r="M4237" s="8">
        <f>L4237*G4237</f>
        <v/>
      </c>
      <c r="P4237" s="9" t="n"/>
    </row>
    <row r="4238">
      <c r="G4238" s="8" t="n"/>
      <c r="M4238" s="8">
        <f>L4238*G4238</f>
        <v/>
      </c>
      <c r="P4238" s="9" t="n"/>
    </row>
    <row r="4239">
      <c r="G4239" s="8" t="n"/>
      <c r="M4239" s="8">
        <f>L4239*G4239</f>
        <v/>
      </c>
      <c r="P4239" s="9" t="n"/>
    </row>
    <row r="4240">
      <c r="G4240" s="8" t="n"/>
      <c r="M4240" s="8">
        <f>L4240*G4240</f>
        <v/>
      </c>
      <c r="P4240" s="9" t="n"/>
    </row>
    <row r="4241">
      <c r="G4241" s="8" t="n"/>
      <c r="M4241" s="8">
        <f>L4241*G4241</f>
        <v/>
      </c>
      <c r="P4241" s="9" t="n"/>
    </row>
    <row r="4242">
      <c r="G4242" s="8" t="n"/>
      <c r="M4242" s="8">
        <f>L4242*G4242</f>
        <v/>
      </c>
      <c r="P4242" s="9" t="n"/>
    </row>
    <row r="4243">
      <c r="G4243" s="8" t="n"/>
      <c r="M4243" s="8">
        <f>L4243*G4243</f>
        <v/>
      </c>
      <c r="P4243" s="9" t="n"/>
    </row>
    <row r="4244">
      <c r="G4244" s="8" t="n"/>
      <c r="M4244" s="8">
        <f>L4244*G4244</f>
        <v/>
      </c>
      <c r="P4244" s="9" t="n"/>
    </row>
    <row r="4245">
      <c r="G4245" s="8" t="n"/>
      <c r="M4245" s="8">
        <f>L4245*G4245</f>
        <v/>
      </c>
      <c r="P4245" s="9" t="n"/>
    </row>
    <row r="4246">
      <c r="G4246" s="8" t="n"/>
      <c r="M4246" s="8">
        <f>L4246*G4246</f>
        <v/>
      </c>
      <c r="P4246" s="9" t="n"/>
    </row>
    <row r="4247">
      <c r="G4247" s="8" t="n"/>
      <c r="M4247" s="8">
        <f>L4247*G4247</f>
        <v/>
      </c>
      <c r="P4247" s="9" t="n"/>
    </row>
    <row r="4248">
      <c r="G4248" s="8" t="n"/>
      <c r="M4248" s="8">
        <f>L4248*G4248</f>
        <v/>
      </c>
      <c r="P4248" s="9" t="n"/>
    </row>
    <row r="4249">
      <c r="G4249" s="8" t="n"/>
      <c r="M4249" s="8">
        <f>L4249*G4249</f>
        <v/>
      </c>
      <c r="P4249" s="9" t="n"/>
    </row>
    <row r="4250">
      <c r="G4250" s="8" t="n"/>
      <c r="M4250" s="8">
        <f>L4250*G4250</f>
        <v/>
      </c>
      <c r="P4250" s="9" t="n"/>
    </row>
    <row r="4251">
      <c r="G4251" s="8" t="n"/>
      <c r="M4251" s="8">
        <f>L4251*G4251</f>
        <v/>
      </c>
      <c r="P4251" s="9" t="n"/>
    </row>
    <row r="4252">
      <c r="G4252" s="8" t="n"/>
      <c r="M4252" s="8">
        <f>L4252*G4252</f>
        <v/>
      </c>
      <c r="P4252" s="9" t="n"/>
    </row>
    <row r="4253">
      <c r="G4253" s="8" t="n"/>
      <c r="M4253" s="8">
        <f>L4253*G4253</f>
        <v/>
      </c>
      <c r="P4253" s="9" t="n"/>
    </row>
    <row r="4254">
      <c r="G4254" s="8" t="n"/>
      <c r="M4254" s="8">
        <f>L4254*G4254</f>
        <v/>
      </c>
      <c r="P4254" s="9" t="n"/>
    </row>
    <row r="4255">
      <c r="G4255" s="8" t="n"/>
      <c r="M4255" s="8">
        <f>L4255*G4255</f>
        <v/>
      </c>
      <c r="P4255" s="9" t="n"/>
    </row>
    <row r="4256">
      <c r="G4256" s="8" t="n"/>
      <c r="M4256" s="8">
        <f>L4256*G4256</f>
        <v/>
      </c>
      <c r="P4256" s="9" t="n"/>
    </row>
    <row r="4257">
      <c r="G4257" s="8" t="n"/>
      <c r="M4257" s="8">
        <f>L4257*G4257</f>
        <v/>
      </c>
      <c r="P4257" s="9" t="n"/>
    </row>
    <row r="4258">
      <c r="G4258" s="8" t="n"/>
      <c r="M4258" s="8">
        <f>L4258*G4258</f>
        <v/>
      </c>
      <c r="P4258" s="9" t="n"/>
    </row>
    <row r="4259">
      <c r="G4259" s="8" t="n"/>
      <c r="M4259" s="8">
        <f>L4259*G4259</f>
        <v/>
      </c>
      <c r="P4259" s="9" t="n"/>
    </row>
    <row r="4260">
      <c r="G4260" s="8" t="n"/>
      <c r="M4260" s="8">
        <f>L4260*G4260</f>
        <v/>
      </c>
      <c r="P4260" s="9" t="n"/>
    </row>
    <row r="4261">
      <c r="G4261" s="8" t="n"/>
      <c r="M4261" s="8">
        <f>L4261*G4261</f>
        <v/>
      </c>
      <c r="P4261" s="9" t="n"/>
    </row>
    <row r="4262">
      <c r="G4262" s="8" t="n"/>
      <c r="M4262" s="8">
        <f>L4262*G4262</f>
        <v/>
      </c>
      <c r="P4262" s="9" t="n"/>
    </row>
    <row r="4263">
      <c r="G4263" s="8" t="n"/>
      <c r="M4263" s="8">
        <f>L4263*G4263</f>
        <v/>
      </c>
      <c r="P4263" s="9" t="n"/>
    </row>
    <row r="4264">
      <c r="G4264" s="8" t="n"/>
      <c r="M4264" s="8">
        <f>L4264*G4264</f>
        <v/>
      </c>
      <c r="P4264" s="9" t="n"/>
    </row>
    <row r="4265">
      <c r="G4265" s="8" t="n"/>
      <c r="M4265" s="8">
        <f>L4265*G4265</f>
        <v/>
      </c>
      <c r="P4265" s="9" t="n"/>
    </row>
    <row r="4266">
      <c r="G4266" s="8" t="n"/>
      <c r="M4266" s="8">
        <f>L4266*G4266</f>
        <v/>
      </c>
      <c r="P4266" s="9" t="n"/>
    </row>
    <row r="4267">
      <c r="G4267" s="8" t="n"/>
      <c r="M4267" s="8">
        <f>L4267*G4267</f>
        <v/>
      </c>
      <c r="P4267" s="9" t="n"/>
    </row>
    <row r="4268">
      <c r="G4268" s="8" t="n"/>
      <c r="M4268" s="8">
        <f>L4268*G4268</f>
        <v/>
      </c>
      <c r="P4268" s="9" t="n"/>
    </row>
    <row r="4269">
      <c r="G4269" s="8" t="n"/>
      <c r="M4269" s="8">
        <f>L4269*G4269</f>
        <v/>
      </c>
      <c r="P4269" s="9" t="n"/>
    </row>
    <row r="4270">
      <c r="G4270" s="8" t="n"/>
      <c r="M4270" s="8">
        <f>L4270*G4270</f>
        <v/>
      </c>
      <c r="P4270" s="9" t="n"/>
    </row>
    <row r="4271">
      <c r="G4271" s="8" t="n"/>
      <c r="M4271" s="8">
        <f>L4271*G4271</f>
        <v/>
      </c>
      <c r="P4271" s="9" t="n"/>
    </row>
    <row r="4272">
      <c r="G4272" s="8" t="n"/>
      <c r="M4272" s="8">
        <f>L4272*G4272</f>
        <v/>
      </c>
      <c r="P4272" s="9" t="n"/>
    </row>
    <row r="4273">
      <c r="G4273" s="8" t="n"/>
      <c r="M4273" s="8">
        <f>L4273*G4273</f>
        <v/>
      </c>
      <c r="P4273" s="9" t="n"/>
    </row>
    <row r="4274">
      <c r="G4274" s="8" t="n"/>
      <c r="M4274" s="8">
        <f>L4274*G4274</f>
        <v/>
      </c>
      <c r="P4274" s="9" t="n"/>
    </row>
    <row r="4275">
      <c r="G4275" s="8" t="n"/>
      <c r="M4275" s="8">
        <f>L4275*G4275</f>
        <v/>
      </c>
      <c r="P4275" s="9" t="n"/>
    </row>
    <row r="4276">
      <c r="G4276" s="8" t="n"/>
      <c r="M4276" s="8">
        <f>L4276*G4276</f>
        <v/>
      </c>
      <c r="P4276" s="9" t="n"/>
    </row>
    <row r="4277">
      <c r="G4277" s="8" t="n"/>
      <c r="M4277" s="8">
        <f>L4277*G4277</f>
        <v/>
      </c>
      <c r="P4277" s="9" t="n"/>
    </row>
    <row r="4278">
      <c r="G4278" s="8" t="n"/>
      <c r="M4278" s="8">
        <f>L4278*G4278</f>
        <v/>
      </c>
      <c r="P4278" s="9" t="n"/>
    </row>
    <row r="4279">
      <c r="G4279" s="8" t="n"/>
      <c r="M4279" s="8">
        <f>L4279*G4279</f>
        <v/>
      </c>
      <c r="P4279" s="9" t="n"/>
    </row>
    <row r="4280">
      <c r="G4280" s="8" t="n"/>
      <c r="M4280" s="8">
        <f>L4280*G4280</f>
        <v/>
      </c>
      <c r="P4280" s="9" t="n"/>
    </row>
    <row r="4281">
      <c r="G4281" s="8" t="n"/>
      <c r="M4281" s="8">
        <f>L4281*G4281</f>
        <v/>
      </c>
      <c r="P4281" s="9" t="n"/>
    </row>
    <row r="4282">
      <c r="G4282" s="8" t="n"/>
      <c r="M4282" s="8">
        <f>L4282*G4282</f>
        <v/>
      </c>
      <c r="P4282" s="9" t="n"/>
    </row>
    <row r="4283">
      <c r="G4283" s="8" t="n"/>
      <c r="M4283" s="8">
        <f>L4283*G4283</f>
        <v/>
      </c>
      <c r="P4283" s="9" t="n"/>
    </row>
    <row r="4284">
      <c r="G4284" s="8" t="n"/>
      <c r="M4284" s="8">
        <f>L4284*G4284</f>
        <v/>
      </c>
      <c r="P4284" s="9" t="n"/>
    </row>
    <row r="4285">
      <c r="G4285" s="8" t="n"/>
      <c r="M4285" s="8">
        <f>L4285*G4285</f>
        <v/>
      </c>
      <c r="P4285" s="9" t="n"/>
    </row>
    <row r="4286">
      <c r="G4286" s="8" t="n"/>
      <c r="M4286" s="8">
        <f>L4286*G4286</f>
        <v/>
      </c>
      <c r="P4286" s="9" t="n"/>
    </row>
    <row r="4287">
      <c r="G4287" s="8" t="n"/>
      <c r="M4287" s="8">
        <f>L4287*G4287</f>
        <v/>
      </c>
      <c r="P4287" s="9" t="n"/>
    </row>
    <row r="4288">
      <c r="G4288" s="8" t="n"/>
      <c r="M4288" s="8">
        <f>L4288*G4288</f>
        <v/>
      </c>
      <c r="P4288" s="9" t="n"/>
    </row>
    <row r="4289">
      <c r="G4289" s="8" t="n"/>
      <c r="M4289" s="8">
        <f>L4289*G4289</f>
        <v/>
      </c>
      <c r="P4289" s="9" t="n"/>
    </row>
    <row r="4290">
      <c r="G4290" s="8" t="n"/>
      <c r="M4290" s="8">
        <f>L4290*G4290</f>
        <v/>
      </c>
      <c r="P4290" s="9" t="n"/>
    </row>
    <row r="4291">
      <c r="G4291" s="8" t="n"/>
      <c r="M4291" s="8">
        <f>L4291*G4291</f>
        <v/>
      </c>
      <c r="P4291" s="9" t="n"/>
    </row>
    <row r="4292">
      <c r="G4292" s="8" t="n"/>
      <c r="M4292" s="8">
        <f>L4292*G4292</f>
        <v/>
      </c>
      <c r="P4292" s="9" t="n"/>
    </row>
    <row r="4293">
      <c r="G4293" s="8" t="n"/>
      <c r="M4293" s="8">
        <f>L4293*G4293</f>
        <v/>
      </c>
      <c r="P4293" s="9" t="n"/>
    </row>
    <row r="4294">
      <c r="G4294" s="8" t="n"/>
      <c r="M4294" s="8">
        <f>L4294*G4294</f>
        <v/>
      </c>
      <c r="P4294" s="9" t="n"/>
    </row>
    <row r="4295">
      <c r="G4295" s="8" t="n"/>
      <c r="M4295" s="8">
        <f>L4295*G4295</f>
        <v/>
      </c>
      <c r="P4295" s="9" t="n"/>
    </row>
    <row r="4296">
      <c r="G4296" s="8" t="n"/>
      <c r="M4296" s="8">
        <f>L4296*G4296</f>
        <v/>
      </c>
      <c r="P4296" s="9" t="n"/>
    </row>
    <row r="4297">
      <c r="G4297" s="8" t="n"/>
      <c r="M4297" s="8">
        <f>L4297*G4297</f>
        <v/>
      </c>
      <c r="P4297" s="9" t="n"/>
    </row>
    <row r="4298">
      <c r="G4298" s="8" t="n"/>
      <c r="M4298" s="8">
        <f>L4298*G4298</f>
        <v/>
      </c>
      <c r="P4298" s="9" t="n"/>
    </row>
    <row r="4299">
      <c r="G4299" s="8" t="n"/>
      <c r="M4299" s="8">
        <f>L4299*G4299</f>
        <v/>
      </c>
      <c r="P4299" s="9" t="n"/>
    </row>
    <row r="4300">
      <c r="G4300" s="8" t="n"/>
      <c r="M4300" s="8">
        <f>L4300*G4300</f>
        <v/>
      </c>
      <c r="P4300" s="9" t="n"/>
    </row>
    <row r="4301">
      <c r="G4301" s="8" t="n"/>
      <c r="M4301" s="8">
        <f>L4301*G4301</f>
        <v/>
      </c>
      <c r="P4301" s="9" t="n"/>
    </row>
    <row r="4302">
      <c r="G4302" s="8" t="n"/>
      <c r="M4302" s="8">
        <f>L4302*G4302</f>
        <v/>
      </c>
      <c r="P4302" s="9" t="n"/>
    </row>
    <row r="4303">
      <c r="G4303" s="8" t="n"/>
      <c r="M4303" s="8">
        <f>L4303*G4303</f>
        <v/>
      </c>
      <c r="P4303" s="9" t="n"/>
    </row>
    <row r="4304">
      <c r="G4304" s="8" t="n"/>
      <c r="M4304" s="8">
        <f>L4304*G4304</f>
        <v/>
      </c>
      <c r="P4304" s="9" t="n"/>
    </row>
    <row r="4305">
      <c r="G4305" s="8" t="n"/>
      <c r="M4305" s="8">
        <f>L4305*G4305</f>
        <v/>
      </c>
      <c r="P4305" s="9" t="n"/>
    </row>
    <row r="4306">
      <c r="G4306" s="8" t="n"/>
      <c r="M4306" s="8">
        <f>L4306*G4306</f>
        <v/>
      </c>
      <c r="P4306" s="9" t="n"/>
    </row>
    <row r="4307">
      <c r="G4307" s="8" t="n"/>
      <c r="M4307" s="8">
        <f>L4307*G4307</f>
        <v/>
      </c>
      <c r="P4307" s="9" t="n"/>
    </row>
    <row r="4308">
      <c r="G4308" s="8" t="n"/>
      <c r="M4308" s="8">
        <f>L4308*G4308</f>
        <v/>
      </c>
      <c r="P4308" s="9" t="n"/>
    </row>
    <row r="4309">
      <c r="G4309" s="8" t="n"/>
      <c r="M4309" s="8">
        <f>L4309*G4309</f>
        <v/>
      </c>
      <c r="P4309" s="9" t="n"/>
    </row>
    <row r="4310">
      <c r="G4310" s="8" t="n"/>
      <c r="M4310" s="8">
        <f>L4310*G4310</f>
        <v/>
      </c>
      <c r="P4310" s="9" t="n"/>
    </row>
    <row r="4311">
      <c r="G4311" s="8" t="n"/>
      <c r="M4311" s="8">
        <f>L4311*G4311</f>
        <v/>
      </c>
      <c r="P4311" s="9" t="n"/>
    </row>
    <row r="4312">
      <c r="G4312" s="8" t="n"/>
      <c r="M4312" s="8">
        <f>L4312*G4312</f>
        <v/>
      </c>
      <c r="P4312" s="9" t="n"/>
    </row>
    <row r="4313">
      <c r="G4313" s="8" t="n"/>
      <c r="M4313" s="8">
        <f>L4313*G4313</f>
        <v/>
      </c>
      <c r="P4313" s="9" t="n"/>
    </row>
    <row r="4314">
      <c r="G4314" s="8" t="n"/>
      <c r="M4314" s="8">
        <f>L4314*G4314</f>
        <v/>
      </c>
      <c r="P4314" s="9" t="n"/>
    </row>
    <row r="4315">
      <c r="G4315" s="8" t="n"/>
      <c r="M4315" s="8">
        <f>L4315*G4315</f>
        <v/>
      </c>
      <c r="P4315" s="9" t="n"/>
    </row>
    <row r="4316">
      <c r="G4316" s="8" t="n"/>
      <c r="M4316" s="8">
        <f>L4316*G4316</f>
        <v/>
      </c>
      <c r="P4316" s="9" t="n"/>
    </row>
    <row r="4317">
      <c r="G4317" s="8" t="n"/>
      <c r="M4317" s="8">
        <f>L4317*G4317</f>
        <v/>
      </c>
      <c r="P4317" s="9" t="n"/>
    </row>
    <row r="4318">
      <c r="G4318" s="8" t="n"/>
      <c r="M4318" s="8">
        <f>L4318*G4318</f>
        <v/>
      </c>
      <c r="P4318" s="9" t="n"/>
    </row>
    <row r="4319">
      <c r="G4319" s="8" t="n"/>
      <c r="M4319" s="8">
        <f>L4319*G4319</f>
        <v/>
      </c>
      <c r="P4319" s="9" t="n"/>
    </row>
    <row r="4320">
      <c r="G4320" s="8" t="n"/>
      <c r="M4320" s="8">
        <f>L4320*G4320</f>
        <v/>
      </c>
      <c r="P4320" s="9" t="n"/>
    </row>
    <row r="4321">
      <c r="G4321" s="8" t="n"/>
      <c r="M4321" s="8">
        <f>L4321*G4321</f>
        <v/>
      </c>
      <c r="P4321" s="9" t="n"/>
    </row>
    <row r="4322">
      <c r="G4322" s="8" t="n"/>
      <c r="M4322" s="8">
        <f>L4322*G4322</f>
        <v/>
      </c>
      <c r="P4322" s="9" t="n"/>
    </row>
    <row r="4323">
      <c r="G4323" s="8" t="n"/>
      <c r="M4323" s="8">
        <f>L4323*G4323</f>
        <v/>
      </c>
      <c r="P4323" s="9" t="n"/>
    </row>
    <row r="4324">
      <c r="G4324" s="8" t="n"/>
      <c r="M4324" s="8">
        <f>L4324*G4324</f>
        <v/>
      </c>
      <c r="P4324" s="9" t="n"/>
    </row>
    <row r="4325">
      <c r="G4325" s="8" t="n"/>
      <c r="M4325" s="8">
        <f>L4325*G4325</f>
        <v/>
      </c>
      <c r="P4325" s="9" t="n"/>
    </row>
    <row r="4326">
      <c r="G4326" s="8" t="n"/>
      <c r="M4326" s="8">
        <f>L4326*G4326</f>
        <v/>
      </c>
      <c r="P4326" s="9" t="n"/>
    </row>
    <row r="4327">
      <c r="G4327" s="8" t="n"/>
      <c r="M4327" s="8">
        <f>L4327*G4327</f>
        <v/>
      </c>
      <c r="P4327" s="9" t="n"/>
    </row>
    <row r="4328">
      <c r="G4328" s="8" t="n"/>
      <c r="M4328" s="8">
        <f>L4328*G4328</f>
        <v/>
      </c>
      <c r="P4328" s="9" t="n"/>
    </row>
    <row r="4329">
      <c r="G4329" s="8" t="n"/>
      <c r="M4329" s="8">
        <f>L4329*G4329</f>
        <v/>
      </c>
      <c r="P4329" s="9" t="n"/>
    </row>
    <row r="4330">
      <c r="G4330" s="8" t="n"/>
      <c r="M4330" s="8">
        <f>L4330*G4330</f>
        <v/>
      </c>
      <c r="P4330" s="9" t="n"/>
    </row>
    <row r="4331">
      <c r="G4331" s="8" t="n"/>
      <c r="M4331" s="8">
        <f>L4331*G4331</f>
        <v/>
      </c>
      <c r="P4331" s="9" t="n"/>
    </row>
    <row r="4332">
      <c r="G4332" s="8" t="n"/>
      <c r="M4332" s="8">
        <f>L4332*G4332</f>
        <v/>
      </c>
      <c r="P4332" s="9" t="n"/>
    </row>
    <row r="4333">
      <c r="G4333" s="8" t="n"/>
      <c r="M4333" s="8">
        <f>L4333*G4333</f>
        <v/>
      </c>
      <c r="P4333" s="9" t="n"/>
    </row>
    <row r="4334">
      <c r="G4334" s="8" t="n"/>
      <c r="M4334" s="8">
        <f>L4334*G4334</f>
        <v/>
      </c>
      <c r="P4334" s="9" t="n"/>
    </row>
    <row r="4335">
      <c r="G4335" s="8" t="n"/>
      <c r="M4335" s="8">
        <f>L4335*G4335</f>
        <v/>
      </c>
      <c r="P4335" s="9" t="n"/>
    </row>
    <row r="4336">
      <c r="G4336" s="8" t="n"/>
      <c r="M4336" s="8">
        <f>L4336*G4336</f>
        <v/>
      </c>
      <c r="P4336" s="9" t="n"/>
    </row>
    <row r="4337">
      <c r="G4337" s="8" t="n"/>
      <c r="M4337" s="8">
        <f>L4337*G4337</f>
        <v/>
      </c>
      <c r="P4337" s="9" t="n"/>
    </row>
    <row r="4338">
      <c r="G4338" s="8" t="n"/>
      <c r="M4338" s="8">
        <f>L4338*G4338</f>
        <v/>
      </c>
      <c r="P4338" s="9" t="n"/>
    </row>
    <row r="4339">
      <c r="G4339" s="8" t="n"/>
      <c r="M4339" s="8">
        <f>L4339*G4339</f>
        <v/>
      </c>
      <c r="P4339" s="9" t="n"/>
    </row>
    <row r="4340">
      <c r="G4340" s="8" t="n"/>
      <c r="M4340" s="8">
        <f>L4340*G4340</f>
        <v/>
      </c>
      <c r="P4340" s="9" t="n"/>
    </row>
    <row r="4341">
      <c r="G4341" s="8" t="n"/>
      <c r="M4341" s="8">
        <f>L4341*G4341</f>
        <v/>
      </c>
      <c r="P4341" s="9" t="n"/>
    </row>
    <row r="4342">
      <c r="G4342" s="8" t="n"/>
      <c r="M4342" s="8">
        <f>L4342*G4342</f>
        <v/>
      </c>
      <c r="P4342" s="9" t="n"/>
    </row>
    <row r="4343">
      <c r="G4343" s="8" t="n"/>
      <c r="M4343" s="8">
        <f>L4343*G4343</f>
        <v/>
      </c>
      <c r="P4343" s="9" t="n"/>
    </row>
    <row r="4344">
      <c r="G4344" s="8" t="n"/>
      <c r="M4344" s="8">
        <f>L4344*G4344</f>
        <v/>
      </c>
      <c r="P4344" s="9" t="n"/>
    </row>
    <row r="4345">
      <c r="G4345" s="8" t="n"/>
      <c r="M4345" s="8">
        <f>L4345*G4345</f>
        <v/>
      </c>
      <c r="P4345" s="9" t="n"/>
    </row>
    <row r="4346">
      <c r="G4346" s="8" t="n"/>
      <c r="M4346" s="8">
        <f>L4346*G4346</f>
        <v/>
      </c>
      <c r="P4346" s="9" t="n"/>
    </row>
    <row r="4347">
      <c r="G4347" s="8" t="n"/>
      <c r="M4347" s="8">
        <f>L4347*G4347</f>
        <v/>
      </c>
      <c r="P4347" s="9" t="n"/>
    </row>
    <row r="4348">
      <c r="G4348" s="8" t="n"/>
      <c r="M4348" s="8">
        <f>L4348*G4348</f>
        <v/>
      </c>
      <c r="P4348" s="9" t="n"/>
    </row>
    <row r="4349">
      <c r="G4349" s="8" t="n"/>
      <c r="M4349" s="8">
        <f>L4349*G4349</f>
        <v/>
      </c>
      <c r="P4349" s="9" t="n"/>
    </row>
    <row r="4350">
      <c r="G4350" s="8" t="n"/>
      <c r="M4350" s="8">
        <f>L4350*G4350</f>
        <v/>
      </c>
      <c r="P4350" s="9" t="n"/>
    </row>
    <row r="4351">
      <c r="G4351" s="8" t="n"/>
      <c r="M4351" s="8">
        <f>L4351*G4351</f>
        <v/>
      </c>
      <c r="P4351" s="9" t="n"/>
    </row>
    <row r="4352">
      <c r="G4352" s="8" t="n"/>
      <c r="M4352" s="8">
        <f>L4352*G4352</f>
        <v/>
      </c>
      <c r="P4352" s="9" t="n"/>
    </row>
    <row r="4353">
      <c r="G4353" s="8" t="n"/>
      <c r="M4353" s="8">
        <f>L4353*G4353</f>
        <v/>
      </c>
      <c r="P4353" s="9" t="n"/>
    </row>
    <row r="4354">
      <c r="G4354" s="8" t="n"/>
      <c r="M4354" s="8">
        <f>L4354*G4354</f>
        <v/>
      </c>
      <c r="P4354" s="9" t="n"/>
    </row>
    <row r="4355">
      <c r="G4355" s="8" t="n"/>
      <c r="M4355" s="8">
        <f>L4355*G4355</f>
        <v/>
      </c>
      <c r="P4355" s="9" t="n"/>
    </row>
    <row r="4356">
      <c r="G4356" s="8" t="n"/>
      <c r="M4356" s="8">
        <f>L4356*G4356</f>
        <v/>
      </c>
      <c r="P4356" s="9" t="n"/>
    </row>
    <row r="4357">
      <c r="G4357" s="8" t="n"/>
      <c r="M4357" s="8">
        <f>L4357*G4357</f>
        <v/>
      </c>
      <c r="P4357" s="9" t="n"/>
    </row>
    <row r="4358">
      <c r="G4358" s="8" t="n"/>
      <c r="M4358" s="8">
        <f>L4358*G4358</f>
        <v/>
      </c>
      <c r="P4358" s="9" t="n"/>
    </row>
    <row r="4359">
      <c r="G4359" s="8" t="n"/>
      <c r="M4359" s="8">
        <f>L4359*G4359</f>
        <v/>
      </c>
      <c r="P4359" s="9" t="n"/>
    </row>
    <row r="4360">
      <c r="G4360" s="8" t="n"/>
      <c r="M4360" s="8">
        <f>L4360*G4360</f>
        <v/>
      </c>
      <c r="P4360" s="9" t="n"/>
    </row>
    <row r="4361">
      <c r="G4361" s="8" t="n"/>
      <c r="M4361" s="8">
        <f>L4361*G4361</f>
        <v/>
      </c>
      <c r="P4361" s="9" t="n"/>
    </row>
    <row r="4362">
      <c r="G4362" s="8" t="n"/>
      <c r="M4362" s="8">
        <f>L4362*G4362</f>
        <v/>
      </c>
      <c r="P4362" s="9" t="n"/>
    </row>
    <row r="4363">
      <c r="G4363" s="8" t="n"/>
      <c r="M4363" s="8">
        <f>L4363*G4363</f>
        <v/>
      </c>
      <c r="P4363" s="9" t="n"/>
    </row>
    <row r="4364">
      <c r="G4364" s="8" t="n"/>
      <c r="M4364" s="8">
        <f>L4364*G4364</f>
        <v/>
      </c>
      <c r="P4364" s="9" t="n"/>
    </row>
    <row r="4365">
      <c r="G4365" s="8" t="n"/>
      <c r="M4365" s="8">
        <f>L4365*G4365</f>
        <v/>
      </c>
      <c r="P4365" s="9" t="n"/>
    </row>
    <row r="4366">
      <c r="G4366" s="8" t="n"/>
      <c r="M4366" s="8">
        <f>L4366*G4366</f>
        <v/>
      </c>
      <c r="P4366" s="9" t="n"/>
    </row>
    <row r="4367">
      <c r="G4367" s="8" t="n"/>
      <c r="M4367" s="8">
        <f>L4367*G4367</f>
        <v/>
      </c>
      <c r="P4367" s="9" t="n"/>
    </row>
    <row r="4368">
      <c r="G4368" s="8" t="n"/>
      <c r="M4368" s="8">
        <f>L4368*G4368</f>
        <v/>
      </c>
      <c r="P4368" s="9" t="n"/>
    </row>
    <row r="4369">
      <c r="G4369" s="8" t="n"/>
      <c r="M4369" s="8">
        <f>L4369*G4369</f>
        <v/>
      </c>
      <c r="P4369" s="9" t="n"/>
    </row>
    <row r="4370">
      <c r="G4370" s="8" t="n"/>
      <c r="M4370" s="8">
        <f>L4370*G4370</f>
        <v/>
      </c>
      <c r="P4370" s="9" t="n"/>
    </row>
    <row r="4371">
      <c r="G4371" s="8" t="n"/>
      <c r="M4371" s="8">
        <f>L4371*G4371</f>
        <v/>
      </c>
      <c r="P4371" s="9" t="n"/>
    </row>
    <row r="4372">
      <c r="G4372" s="8" t="n"/>
      <c r="M4372" s="8">
        <f>L4372*G4372</f>
        <v/>
      </c>
      <c r="P4372" s="9" t="n"/>
    </row>
    <row r="4373">
      <c r="G4373" s="8" t="n"/>
      <c r="M4373" s="8">
        <f>L4373*G4373</f>
        <v/>
      </c>
      <c r="P4373" s="9" t="n"/>
    </row>
    <row r="4374">
      <c r="G4374" s="8" t="n"/>
      <c r="M4374" s="8">
        <f>L4374*G4374</f>
        <v/>
      </c>
      <c r="P4374" s="9" t="n"/>
    </row>
    <row r="4375">
      <c r="G4375" s="8" t="n"/>
      <c r="M4375" s="8">
        <f>L4375*G4375</f>
        <v/>
      </c>
      <c r="P4375" s="9" t="n"/>
    </row>
    <row r="4376">
      <c r="G4376" s="8" t="n"/>
      <c r="M4376" s="8">
        <f>L4376*G4376</f>
        <v/>
      </c>
      <c r="P4376" s="9" t="n"/>
    </row>
    <row r="4377">
      <c r="G4377" s="8" t="n"/>
      <c r="M4377" s="8">
        <f>L4377*G4377</f>
        <v/>
      </c>
      <c r="P4377" s="9" t="n"/>
    </row>
    <row r="4378">
      <c r="G4378" s="8" t="n"/>
      <c r="M4378" s="8">
        <f>L4378*G4378</f>
        <v/>
      </c>
      <c r="P4378" s="9" t="n"/>
    </row>
    <row r="4379">
      <c r="G4379" s="8" t="n"/>
      <c r="M4379" s="8">
        <f>L4379*G4379</f>
        <v/>
      </c>
      <c r="P4379" s="9" t="n"/>
    </row>
    <row r="4380">
      <c r="G4380" s="8" t="n"/>
      <c r="M4380" s="8">
        <f>L4380*G4380</f>
        <v/>
      </c>
      <c r="P4380" s="9" t="n"/>
    </row>
    <row r="4381">
      <c r="G4381" s="8" t="n"/>
      <c r="M4381" s="8">
        <f>L4381*G4381</f>
        <v/>
      </c>
      <c r="P4381" s="9" t="n"/>
    </row>
    <row r="4382">
      <c r="G4382" s="8" t="n"/>
      <c r="M4382" s="8">
        <f>L4382*G4382</f>
        <v/>
      </c>
      <c r="P4382" s="9" t="n"/>
    </row>
    <row r="4383">
      <c r="G4383" s="8" t="n"/>
      <c r="M4383" s="8">
        <f>L4383*G4383</f>
        <v/>
      </c>
      <c r="P4383" s="9" t="n"/>
    </row>
    <row r="4384">
      <c r="G4384" s="8" t="n"/>
      <c r="M4384" s="8">
        <f>L4384*G4384</f>
        <v/>
      </c>
      <c r="P4384" s="9" t="n"/>
    </row>
    <row r="4385">
      <c r="G4385" s="8" t="n"/>
      <c r="M4385" s="8">
        <f>L4385*G4385</f>
        <v/>
      </c>
      <c r="P4385" s="9" t="n"/>
    </row>
    <row r="4386">
      <c r="G4386" s="8" t="n"/>
      <c r="M4386" s="8">
        <f>L4386*G4386</f>
        <v/>
      </c>
      <c r="P4386" s="9" t="n"/>
    </row>
    <row r="4387">
      <c r="G4387" s="8" t="n"/>
      <c r="M4387" s="8">
        <f>L4387*G4387</f>
        <v/>
      </c>
      <c r="P4387" s="9" t="n"/>
    </row>
    <row r="4388">
      <c r="G4388" s="8" t="n"/>
      <c r="M4388" s="8">
        <f>L4388*G4388</f>
        <v/>
      </c>
      <c r="P4388" s="9" t="n"/>
    </row>
    <row r="4389">
      <c r="G4389" s="8" t="n"/>
      <c r="M4389" s="8">
        <f>L4389*G4389</f>
        <v/>
      </c>
      <c r="P4389" s="9" t="n"/>
    </row>
    <row r="4390">
      <c r="G4390" s="8" t="n"/>
      <c r="M4390" s="8">
        <f>L4390*G4390</f>
        <v/>
      </c>
      <c r="P4390" s="9" t="n"/>
    </row>
    <row r="4391">
      <c r="G4391" s="8" t="n"/>
      <c r="M4391" s="8">
        <f>L4391*G4391</f>
        <v/>
      </c>
      <c r="P4391" s="9" t="n"/>
    </row>
    <row r="4392">
      <c r="G4392" s="8" t="n"/>
      <c r="M4392" s="8">
        <f>L4392*G4392</f>
        <v/>
      </c>
      <c r="P4392" s="9" t="n"/>
    </row>
    <row r="4393">
      <c r="G4393" s="8" t="n"/>
      <c r="M4393" s="8">
        <f>L4393*G4393</f>
        <v/>
      </c>
      <c r="P4393" s="9" t="n"/>
    </row>
    <row r="4394">
      <c r="G4394" s="8" t="n"/>
      <c r="M4394" s="8">
        <f>L4394*G4394</f>
        <v/>
      </c>
      <c r="P4394" s="9" t="n"/>
    </row>
    <row r="4395">
      <c r="G4395" s="8" t="n"/>
      <c r="M4395" s="8">
        <f>L4395*G4395</f>
        <v/>
      </c>
      <c r="P4395" s="9" t="n"/>
    </row>
    <row r="4396">
      <c r="G4396" s="8" t="n"/>
      <c r="M4396" s="8">
        <f>L4396*G4396</f>
        <v/>
      </c>
      <c r="P4396" s="9" t="n"/>
    </row>
    <row r="4397">
      <c r="G4397" s="8" t="n"/>
      <c r="M4397" s="8">
        <f>L4397*G4397</f>
        <v/>
      </c>
      <c r="P4397" s="9" t="n"/>
    </row>
    <row r="4398">
      <c r="G4398" s="8" t="n"/>
      <c r="M4398" s="8">
        <f>L4398*G4398</f>
        <v/>
      </c>
      <c r="P4398" s="9" t="n"/>
    </row>
    <row r="4399">
      <c r="G4399" s="8" t="n"/>
      <c r="M4399" s="8">
        <f>L4399*G4399</f>
        <v/>
      </c>
      <c r="P4399" s="9" t="n"/>
    </row>
    <row r="4400">
      <c r="G4400" s="8" t="n"/>
      <c r="M4400" s="8">
        <f>L4400*G4400</f>
        <v/>
      </c>
      <c r="P4400" s="9" t="n"/>
    </row>
    <row r="4401">
      <c r="G4401" s="8" t="n"/>
      <c r="M4401" s="8">
        <f>L4401*G4401</f>
        <v/>
      </c>
      <c r="P4401" s="9" t="n"/>
    </row>
    <row r="4402">
      <c r="G4402" s="8" t="n"/>
      <c r="M4402" s="8">
        <f>L4402*G4402</f>
        <v/>
      </c>
      <c r="P4402" s="9" t="n"/>
    </row>
    <row r="4403">
      <c r="G4403" s="8" t="n"/>
      <c r="M4403" s="8">
        <f>L4403*G4403</f>
        <v/>
      </c>
      <c r="P4403" s="9" t="n"/>
    </row>
    <row r="4404">
      <c r="G4404" s="8" t="n"/>
      <c r="M4404" s="8">
        <f>L4404*G4404</f>
        <v/>
      </c>
      <c r="P4404" s="9" t="n"/>
    </row>
    <row r="4405">
      <c r="G4405" s="8" t="n"/>
      <c r="M4405" s="8">
        <f>L4405*G4405</f>
        <v/>
      </c>
      <c r="P4405" s="9" t="n"/>
    </row>
    <row r="4406">
      <c r="G4406" s="8" t="n"/>
      <c r="M4406" s="8">
        <f>L4406*G4406</f>
        <v/>
      </c>
      <c r="P4406" s="9" t="n"/>
    </row>
    <row r="4407">
      <c r="G4407" s="8" t="n"/>
      <c r="M4407" s="8">
        <f>L4407*G4407</f>
        <v/>
      </c>
      <c r="P4407" s="9" t="n"/>
    </row>
    <row r="4408">
      <c r="G4408" s="8" t="n"/>
      <c r="M4408" s="8">
        <f>L4408*G4408</f>
        <v/>
      </c>
      <c r="P4408" s="9" t="n"/>
    </row>
    <row r="4409">
      <c r="G4409" s="8" t="n"/>
      <c r="M4409" s="8">
        <f>L4409*G4409</f>
        <v/>
      </c>
      <c r="P4409" s="9" t="n"/>
    </row>
    <row r="4410">
      <c r="G4410" s="8" t="n"/>
      <c r="M4410" s="8">
        <f>L4410*G4410</f>
        <v/>
      </c>
      <c r="P4410" s="9" t="n"/>
    </row>
    <row r="4411">
      <c r="G4411" s="8" t="n"/>
      <c r="M4411" s="8">
        <f>L4411*G4411</f>
        <v/>
      </c>
      <c r="P4411" s="9" t="n"/>
    </row>
    <row r="4412">
      <c r="G4412" s="8" t="n"/>
      <c r="M4412" s="8">
        <f>L4412*G4412</f>
        <v/>
      </c>
      <c r="P4412" s="9" t="n"/>
    </row>
    <row r="4413">
      <c r="G4413" s="8" t="n"/>
      <c r="M4413" s="8">
        <f>L4413*G4413</f>
        <v/>
      </c>
      <c r="P4413" s="9" t="n"/>
    </row>
    <row r="4414">
      <c r="G4414" s="8" t="n"/>
      <c r="M4414" s="8">
        <f>L4414*G4414</f>
        <v/>
      </c>
      <c r="P4414" s="9" t="n"/>
    </row>
    <row r="4415">
      <c r="G4415" s="8" t="n"/>
      <c r="M4415" s="8">
        <f>L4415*G4415</f>
        <v/>
      </c>
      <c r="P4415" s="9" t="n"/>
    </row>
    <row r="4416">
      <c r="G4416" s="8" t="n"/>
      <c r="M4416" s="8">
        <f>L4416*G4416</f>
        <v/>
      </c>
      <c r="P4416" s="9" t="n"/>
    </row>
    <row r="4417">
      <c r="G4417" s="8" t="n"/>
      <c r="M4417" s="8">
        <f>L4417*G4417</f>
        <v/>
      </c>
      <c r="P4417" s="9" t="n"/>
    </row>
    <row r="4418">
      <c r="G4418" s="8" t="n"/>
      <c r="M4418" s="8">
        <f>L4418*G4418</f>
        <v/>
      </c>
      <c r="P4418" s="9" t="n"/>
    </row>
    <row r="4419">
      <c r="G4419" s="8" t="n"/>
      <c r="M4419" s="8">
        <f>L4419*G4419</f>
        <v/>
      </c>
      <c r="P4419" s="9" t="n"/>
    </row>
    <row r="4420">
      <c r="G4420" s="8" t="n"/>
      <c r="M4420" s="8">
        <f>L4420*G4420</f>
        <v/>
      </c>
      <c r="P4420" s="9" t="n"/>
    </row>
    <row r="4421">
      <c r="G4421" s="8" t="n"/>
      <c r="M4421" s="8">
        <f>L4421*G4421</f>
        <v/>
      </c>
      <c r="P4421" s="9" t="n"/>
    </row>
    <row r="4422">
      <c r="G4422" s="8" t="n"/>
      <c r="M4422" s="8">
        <f>L4422*G4422</f>
        <v/>
      </c>
      <c r="P4422" s="9" t="n"/>
    </row>
    <row r="4423">
      <c r="G4423" s="8" t="n"/>
      <c r="M4423" s="8">
        <f>L4423*G4423</f>
        <v/>
      </c>
      <c r="P4423" s="9" t="n"/>
    </row>
    <row r="4424">
      <c r="G4424" s="8" t="n"/>
      <c r="M4424" s="8">
        <f>L4424*G4424</f>
        <v/>
      </c>
      <c r="P4424" s="9" t="n"/>
    </row>
    <row r="4425">
      <c r="G4425" s="8" t="n"/>
      <c r="M4425" s="8">
        <f>L4425*G4425</f>
        <v/>
      </c>
      <c r="P4425" s="9" t="n"/>
    </row>
    <row r="4426">
      <c r="G4426" s="8" t="n"/>
      <c r="M4426" s="8">
        <f>L4426*G4426</f>
        <v/>
      </c>
      <c r="P4426" s="9" t="n"/>
    </row>
    <row r="4427">
      <c r="G4427" s="8" t="n"/>
      <c r="M4427" s="8">
        <f>L4427*G4427</f>
        <v/>
      </c>
      <c r="P4427" s="9" t="n"/>
    </row>
    <row r="4428">
      <c r="G4428" s="8" t="n"/>
      <c r="M4428" s="8">
        <f>L4428*G4428</f>
        <v/>
      </c>
      <c r="P4428" s="9" t="n"/>
    </row>
    <row r="4429">
      <c r="G4429" s="8" t="n"/>
      <c r="M4429" s="8">
        <f>L4429*G4429</f>
        <v/>
      </c>
      <c r="P4429" s="9" t="n"/>
    </row>
    <row r="4430">
      <c r="G4430" s="8" t="n"/>
      <c r="M4430" s="8">
        <f>L4430*G4430</f>
        <v/>
      </c>
      <c r="P4430" s="9" t="n"/>
    </row>
    <row r="4431">
      <c r="G4431" s="8" t="n"/>
      <c r="M4431" s="8">
        <f>L4431*G4431</f>
        <v/>
      </c>
      <c r="P4431" s="9" t="n"/>
    </row>
    <row r="4432">
      <c r="G4432" s="8" t="n"/>
      <c r="M4432" s="8">
        <f>L4432*G4432</f>
        <v/>
      </c>
      <c r="P4432" s="9" t="n"/>
    </row>
    <row r="4433">
      <c r="G4433" s="8" t="n"/>
      <c r="M4433" s="8">
        <f>L4433*G4433</f>
        <v/>
      </c>
      <c r="P4433" s="9" t="n"/>
    </row>
    <row r="4434">
      <c r="G4434" s="8" t="n"/>
      <c r="M4434" s="8">
        <f>L4434*G4434</f>
        <v/>
      </c>
      <c r="P4434" s="9" t="n"/>
    </row>
    <row r="4435">
      <c r="G4435" s="8" t="n"/>
      <c r="M4435" s="8">
        <f>L4435*G4435</f>
        <v/>
      </c>
      <c r="P4435" s="9" t="n"/>
    </row>
    <row r="4436">
      <c r="G4436" s="8" t="n"/>
      <c r="M4436" s="8">
        <f>L4436*G4436</f>
        <v/>
      </c>
      <c r="P4436" s="9" t="n"/>
    </row>
    <row r="4437">
      <c r="G4437" s="8" t="n"/>
      <c r="M4437" s="8">
        <f>L4437*G4437</f>
        <v/>
      </c>
      <c r="P4437" s="9" t="n"/>
    </row>
    <row r="4438">
      <c r="G4438" s="8" t="n"/>
      <c r="M4438" s="8">
        <f>L4438*G4438</f>
        <v/>
      </c>
      <c r="P4438" s="9" t="n"/>
    </row>
    <row r="4439">
      <c r="G4439" s="8" t="n"/>
      <c r="M4439" s="8">
        <f>L4439*G4439</f>
        <v/>
      </c>
      <c r="P4439" s="9" t="n"/>
    </row>
    <row r="4440">
      <c r="G4440" s="8" t="n"/>
      <c r="M4440" s="8">
        <f>L4440*G4440</f>
        <v/>
      </c>
      <c r="P4440" s="9" t="n"/>
    </row>
    <row r="4441">
      <c r="G4441" s="8" t="n"/>
      <c r="M4441" s="8">
        <f>L4441*G4441</f>
        <v/>
      </c>
      <c r="P4441" s="9" t="n"/>
    </row>
    <row r="4442">
      <c r="G4442" s="8" t="n"/>
      <c r="M4442" s="8">
        <f>L4442*G4442</f>
        <v/>
      </c>
      <c r="P4442" s="9" t="n"/>
    </row>
    <row r="4443">
      <c r="G4443" s="8" t="n"/>
      <c r="M4443" s="8">
        <f>L4443*G4443</f>
        <v/>
      </c>
      <c r="P4443" s="9" t="n"/>
    </row>
    <row r="4444">
      <c r="G4444" s="8" t="n"/>
      <c r="M4444" s="8">
        <f>L4444*G4444</f>
        <v/>
      </c>
      <c r="P4444" s="9" t="n"/>
    </row>
    <row r="4445">
      <c r="G4445" s="8" t="n"/>
      <c r="M4445" s="8">
        <f>L4445*G4445</f>
        <v/>
      </c>
      <c r="P4445" s="9" t="n"/>
    </row>
    <row r="4446">
      <c r="G4446" s="8" t="n"/>
      <c r="M4446" s="8">
        <f>L4446*G4446</f>
        <v/>
      </c>
      <c r="P4446" s="9" t="n"/>
    </row>
    <row r="4447">
      <c r="G4447" s="8" t="n"/>
      <c r="M4447" s="8">
        <f>L4447*G4447</f>
        <v/>
      </c>
      <c r="P4447" s="9" t="n"/>
    </row>
    <row r="4448">
      <c r="G4448" s="8" t="n"/>
      <c r="M4448" s="8">
        <f>L4448*G4448</f>
        <v/>
      </c>
      <c r="P4448" s="9" t="n"/>
    </row>
    <row r="4449">
      <c r="G4449" s="8" t="n"/>
      <c r="M4449" s="8">
        <f>L4449*G4449</f>
        <v/>
      </c>
      <c r="P4449" s="9" t="n"/>
    </row>
    <row r="4450">
      <c r="G4450" s="8" t="n"/>
      <c r="M4450" s="8">
        <f>L4450*G4450</f>
        <v/>
      </c>
      <c r="P4450" s="9" t="n"/>
    </row>
    <row r="4451">
      <c r="G4451" s="8" t="n"/>
      <c r="M4451" s="8">
        <f>L4451*G4451</f>
        <v/>
      </c>
      <c r="P4451" s="9" t="n"/>
    </row>
    <row r="4452">
      <c r="G4452" s="8" t="n"/>
      <c r="M4452" s="8">
        <f>L4452*G4452</f>
        <v/>
      </c>
      <c r="P4452" s="9" t="n"/>
    </row>
    <row r="4453">
      <c r="G4453" s="8" t="n"/>
      <c r="M4453" s="8">
        <f>L4453*G4453</f>
        <v/>
      </c>
      <c r="P4453" s="9" t="n"/>
    </row>
    <row r="4454">
      <c r="G4454" s="8" t="n"/>
      <c r="M4454" s="8">
        <f>L4454*G4454</f>
        <v/>
      </c>
      <c r="P4454" s="9" t="n"/>
    </row>
    <row r="4455">
      <c r="G4455" s="8" t="n"/>
      <c r="M4455" s="8">
        <f>L4455*G4455</f>
        <v/>
      </c>
      <c r="P4455" s="9" t="n"/>
    </row>
    <row r="4456">
      <c r="G4456" s="8" t="n"/>
      <c r="M4456" s="8">
        <f>L4456*G4456</f>
        <v/>
      </c>
      <c r="P4456" s="9" t="n"/>
    </row>
    <row r="4457">
      <c r="G4457" s="8" t="n"/>
      <c r="M4457" s="8">
        <f>L4457*G4457</f>
        <v/>
      </c>
      <c r="P4457" s="9" t="n"/>
    </row>
    <row r="4458">
      <c r="G4458" s="8" t="n"/>
      <c r="M4458" s="8">
        <f>L4458*G4458</f>
        <v/>
      </c>
      <c r="P4458" s="9" t="n"/>
    </row>
    <row r="4459">
      <c r="G4459" s="8" t="n"/>
      <c r="M4459" s="8">
        <f>L4459*G4459</f>
        <v/>
      </c>
      <c r="P4459" s="9" t="n"/>
    </row>
    <row r="4460">
      <c r="G4460" s="8" t="n"/>
      <c r="M4460" s="8">
        <f>L4460*G4460</f>
        <v/>
      </c>
      <c r="P4460" s="9" t="n"/>
    </row>
    <row r="4461">
      <c r="G4461" s="8" t="n"/>
      <c r="M4461" s="8">
        <f>L4461*G4461</f>
        <v/>
      </c>
      <c r="P4461" s="9" t="n"/>
    </row>
    <row r="4462">
      <c r="G4462" s="8" t="n"/>
      <c r="M4462" s="8">
        <f>L4462*G4462</f>
        <v/>
      </c>
      <c r="P4462" s="9" t="n"/>
    </row>
    <row r="4463">
      <c r="G4463" s="8" t="n"/>
      <c r="M4463" s="8">
        <f>L4463*G4463</f>
        <v/>
      </c>
      <c r="P4463" s="9" t="n"/>
    </row>
    <row r="4464">
      <c r="G4464" s="8" t="n"/>
      <c r="M4464" s="8">
        <f>L4464*G4464</f>
        <v/>
      </c>
      <c r="P4464" s="9" t="n"/>
    </row>
    <row r="4465">
      <c r="G4465" s="8" t="n"/>
      <c r="M4465" s="8">
        <f>L4465*G4465</f>
        <v/>
      </c>
      <c r="P4465" s="9" t="n"/>
    </row>
    <row r="4466">
      <c r="G4466" s="8" t="n"/>
      <c r="M4466" s="8">
        <f>L4466*G4466</f>
        <v/>
      </c>
      <c r="P4466" s="9" t="n"/>
    </row>
    <row r="4467">
      <c r="G4467" s="8" t="n"/>
      <c r="M4467" s="8">
        <f>L4467*G4467</f>
        <v/>
      </c>
      <c r="P4467" s="9" t="n"/>
    </row>
    <row r="4468">
      <c r="G4468" s="8" t="n"/>
      <c r="M4468" s="8">
        <f>L4468*G4468</f>
        <v/>
      </c>
      <c r="P4468" s="9" t="n"/>
    </row>
    <row r="4469">
      <c r="G4469" s="8" t="n"/>
      <c r="M4469" s="8">
        <f>L4469*G4469</f>
        <v/>
      </c>
      <c r="P4469" s="9" t="n"/>
    </row>
    <row r="4470">
      <c r="G4470" s="8" t="n"/>
      <c r="M4470" s="8">
        <f>L4470*G4470</f>
        <v/>
      </c>
      <c r="P4470" s="9" t="n"/>
    </row>
    <row r="4471">
      <c r="G4471" s="8" t="n"/>
      <c r="M4471" s="8">
        <f>L4471*G4471</f>
        <v/>
      </c>
      <c r="P4471" s="9" t="n"/>
    </row>
    <row r="4472">
      <c r="G4472" s="8" t="n"/>
      <c r="M4472" s="8">
        <f>L4472*G4472</f>
        <v/>
      </c>
      <c r="P4472" s="9" t="n"/>
    </row>
    <row r="4473">
      <c r="G4473" s="8" t="n"/>
      <c r="M4473" s="8">
        <f>L4473*G4473</f>
        <v/>
      </c>
      <c r="P4473" s="9" t="n"/>
    </row>
    <row r="4474">
      <c r="G4474" s="8" t="n"/>
      <c r="M4474" s="8">
        <f>L4474*G4474</f>
        <v/>
      </c>
      <c r="P4474" s="9" t="n"/>
    </row>
    <row r="4475">
      <c r="G4475" s="8" t="n"/>
      <c r="M4475" s="8">
        <f>L4475*G4475</f>
        <v/>
      </c>
      <c r="P4475" s="9" t="n"/>
    </row>
    <row r="4476">
      <c r="G4476" s="8" t="n"/>
      <c r="M4476" s="8">
        <f>L4476*G4476</f>
        <v/>
      </c>
      <c r="P4476" s="9" t="n"/>
    </row>
    <row r="4477">
      <c r="G4477" s="8" t="n"/>
      <c r="M4477" s="8">
        <f>L4477*G4477</f>
        <v/>
      </c>
      <c r="P4477" s="9" t="n"/>
    </row>
    <row r="4478">
      <c r="G4478" s="8" t="n"/>
      <c r="M4478" s="8">
        <f>L4478*G4478</f>
        <v/>
      </c>
      <c r="P4478" s="9" t="n"/>
    </row>
    <row r="4479">
      <c r="G4479" s="8" t="n"/>
      <c r="M4479" s="8">
        <f>L4479*G4479</f>
        <v/>
      </c>
      <c r="P4479" s="9" t="n"/>
    </row>
    <row r="4480">
      <c r="G4480" s="8" t="n"/>
      <c r="M4480" s="8">
        <f>L4480*G4480</f>
        <v/>
      </c>
      <c r="P4480" s="9" t="n"/>
    </row>
    <row r="4481">
      <c r="G4481" s="8" t="n"/>
      <c r="M4481" s="8">
        <f>L4481*G4481</f>
        <v/>
      </c>
      <c r="P4481" s="9" t="n"/>
    </row>
    <row r="4482">
      <c r="G4482" s="8" t="n"/>
      <c r="M4482" s="8">
        <f>L4482*G4482</f>
        <v/>
      </c>
      <c r="P4482" s="9" t="n"/>
    </row>
    <row r="4483">
      <c r="G4483" s="8" t="n"/>
      <c r="M4483" s="8">
        <f>L4483*G4483</f>
        <v/>
      </c>
      <c r="P4483" s="9" t="n"/>
    </row>
    <row r="4484">
      <c r="G4484" s="8" t="n"/>
      <c r="M4484" s="8">
        <f>L4484*G4484</f>
        <v/>
      </c>
      <c r="P4484" s="9" t="n"/>
    </row>
    <row r="4485">
      <c r="G4485" s="8" t="n"/>
      <c r="M4485" s="8">
        <f>L4485*G4485</f>
        <v/>
      </c>
      <c r="P4485" s="9" t="n"/>
    </row>
    <row r="4486">
      <c r="G4486" s="8" t="n"/>
      <c r="M4486" s="8">
        <f>L4486*G4486</f>
        <v/>
      </c>
      <c r="P4486" s="9" t="n"/>
    </row>
    <row r="4487">
      <c r="G4487" s="8" t="n"/>
      <c r="M4487" s="8">
        <f>L4487*G4487</f>
        <v/>
      </c>
      <c r="P4487" s="9" t="n"/>
    </row>
    <row r="4488">
      <c r="G4488" s="8" t="n"/>
      <c r="M4488" s="8">
        <f>L4488*G4488</f>
        <v/>
      </c>
      <c r="P4488" s="9" t="n"/>
    </row>
    <row r="4489">
      <c r="G4489" s="8" t="n"/>
      <c r="M4489" s="8">
        <f>L4489*G4489</f>
        <v/>
      </c>
      <c r="P4489" s="9" t="n"/>
    </row>
    <row r="4490">
      <c r="G4490" s="8" t="n"/>
      <c r="M4490" s="8">
        <f>L4490*G4490</f>
        <v/>
      </c>
      <c r="P4490" s="9" t="n"/>
    </row>
    <row r="4491">
      <c r="G4491" s="8" t="n"/>
      <c r="M4491" s="8">
        <f>L4491*G4491</f>
        <v/>
      </c>
      <c r="P4491" s="9" t="n"/>
    </row>
    <row r="4492">
      <c r="G4492" s="8" t="n"/>
      <c r="M4492" s="8">
        <f>L4492*G4492</f>
        <v/>
      </c>
      <c r="P4492" s="9" t="n"/>
    </row>
    <row r="4493">
      <c r="G4493" s="8" t="n"/>
      <c r="M4493" s="8">
        <f>L4493*G4493</f>
        <v/>
      </c>
      <c r="P4493" s="9" t="n"/>
    </row>
    <row r="4494">
      <c r="G4494" s="8" t="n"/>
      <c r="M4494" s="8">
        <f>L4494*G4494</f>
        <v/>
      </c>
      <c r="P4494" s="9" t="n"/>
    </row>
    <row r="4495">
      <c r="G4495" s="8" t="n"/>
      <c r="M4495" s="8">
        <f>L4495*G4495</f>
        <v/>
      </c>
      <c r="P4495" s="9" t="n"/>
    </row>
    <row r="4496">
      <c r="G4496" s="8" t="n"/>
      <c r="M4496" s="8">
        <f>L4496*G4496</f>
        <v/>
      </c>
      <c r="P4496" s="9" t="n"/>
    </row>
    <row r="4497">
      <c r="G4497" s="8" t="n"/>
      <c r="M4497" s="8">
        <f>L4497*G4497</f>
        <v/>
      </c>
      <c r="P4497" s="9" t="n"/>
    </row>
    <row r="4498">
      <c r="G4498" s="8" t="n"/>
      <c r="M4498" s="8">
        <f>L4498*G4498</f>
        <v/>
      </c>
      <c r="P4498" s="9" t="n"/>
    </row>
    <row r="4499">
      <c r="G4499" s="8" t="n"/>
      <c r="M4499" s="8">
        <f>L4499*G4499</f>
        <v/>
      </c>
      <c r="P4499" s="9" t="n"/>
    </row>
    <row r="4500">
      <c r="G4500" s="8" t="n"/>
      <c r="M4500" s="8">
        <f>L4500*G4500</f>
        <v/>
      </c>
      <c r="P4500" s="9" t="n"/>
    </row>
    <row r="4501">
      <c r="G4501" s="8" t="n"/>
      <c r="M4501" s="8">
        <f>L4501*G4501</f>
        <v/>
      </c>
      <c r="P4501" s="9" t="n"/>
    </row>
    <row r="4502">
      <c r="G4502" s="8" t="n"/>
      <c r="M4502" s="8">
        <f>L4502*G4502</f>
        <v/>
      </c>
      <c r="P4502" s="9" t="n"/>
    </row>
    <row r="4503">
      <c r="G4503" s="8" t="n"/>
      <c r="M4503" s="8">
        <f>L4503*G4503</f>
        <v/>
      </c>
      <c r="P4503" s="9" t="n"/>
    </row>
    <row r="4504">
      <c r="G4504" s="8" t="n"/>
      <c r="M4504" s="8">
        <f>L4504*G4504</f>
        <v/>
      </c>
      <c r="P4504" s="9" t="n"/>
    </row>
    <row r="4505">
      <c r="G4505" s="8" t="n"/>
      <c r="M4505" s="8">
        <f>L4505*G4505</f>
        <v/>
      </c>
      <c r="P4505" s="9" t="n"/>
    </row>
    <row r="4506">
      <c r="G4506" s="8" t="n"/>
      <c r="M4506" s="8">
        <f>L4506*G4506</f>
        <v/>
      </c>
      <c r="P4506" s="9" t="n"/>
    </row>
    <row r="4507">
      <c r="G4507" s="8" t="n"/>
      <c r="M4507" s="8">
        <f>L4507*G4507</f>
        <v/>
      </c>
      <c r="P4507" s="9" t="n"/>
    </row>
    <row r="4508">
      <c r="G4508" s="8" t="n"/>
      <c r="M4508" s="8">
        <f>L4508*G4508</f>
        <v/>
      </c>
      <c r="P4508" s="9" t="n"/>
    </row>
    <row r="4509">
      <c r="G4509" s="8" t="n"/>
      <c r="M4509" s="8">
        <f>L4509*G4509</f>
        <v/>
      </c>
      <c r="P4509" s="9" t="n"/>
    </row>
    <row r="4510">
      <c r="G4510" s="8" t="n"/>
      <c r="M4510" s="8">
        <f>L4510*G4510</f>
        <v/>
      </c>
      <c r="P4510" s="9" t="n"/>
    </row>
    <row r="4511">
      <c r="G4511" s="8" t="n"/>
      <c r="M4511" s="8">
        <f>L4511*G4511</f>
        <v/>
      </c>
      <c r="P4511" s="9" t="n"/>
    </row>
    <row r="4512">
      <c r="G4512" s="8" t="n"/>
      <c r="M4512" s="8">
        <f>L4512*G4512</f>
        <v/>
      </c>
      <c r="P4512" s="9" t="n"/>
    </row>
    <row r="4513">
      <c r="G4513" s="8" t="n"/>
      <c r="M4513" s="8">
        <f>L4513*G4513</f>
        <v/>
      </c>
      <c r="P4513" s="9" t="n"/>
    </row>
    <row r="4514">
      <c r="G4514" s="8" t="n"/>
      <c r="M4514" s="8">
        <f>L4514*G4514</f>
        <v/>
      </c>
      <c r="P4514" s="9" t="n"/>
    </row>
    <row r="4515">
      <c r="G4515" s="8" t="n"/>
      <c r="M4515" s="8">
        <f>L4515*G4515</f>
        <v/>
      </c>
      <c r="P4515" s="9" t="n"/>
    </row>
    <row r="4516">
      <c r="G4516" s="8" t="n"/>
      <c r="M4516" s="8">
        <f>L4516*G4516</f>
        <v/>
      </c>
      <c r="P4516" s="9" t="n"/>
    </row>
    <row r="4517">
      <c r="G4517" s="8" t="n"/>
      <c r="M4517" s="8">
        <f>L4517*G4517</f>
        <v/>
      </c>
      <c r="P4517" s="9" t="n"/>
    </row>
    <row r="4518">
      <c r="G4518" s="8" t="n"/>
      <c r="M4518" s="8">
        <f>L4518*G4518</f>
        <v/>
      </c>
      <c r="P4518" s="9" t="n"/>
    </row>
    <row r="4519">
      <c r="G4519" s="8" t="n"/>
      <c r="M4519" s="8">
        <f>L4519*G4519</f>
        <v/>
      </c>
      <c r="P4519" s="9" t="n"/>
    </row>
    <row r="4520">
      <c r="G4520" s="8" t="n"/>
      <c r="M4520" s="8">
        <f>L4520*G4520</f>
        <v/>
      </c>
      <c r="P4520" s="9" t="n"/>
    </row>
    <row r="4521">
      <c r="G4521" s="8" t="n"/>
      <c r="M4521" s="8">
        <f>L4521*G4521</f>
        <v/>
      </c>
      <c r="P4521" s="9" t="n"/>
    </row>
    <row r="4522">
      <c r="G4522" s="8" t="n"/>
      <c r="M4522" s="8">
        <f>L4522*G4522</f>
        <v/>
      </c>
      <c r="P4522" s="9" t="n"/>
    </row>
    <row r="4523">
      <c r="G4523" s="8" t="n"/>
      <c r="M4523" s="8">
        <f>L4523*G4523</f>
        <v/>
      </c>
      <c r="P4523" s="9" t="n"/>
    </row>
    <row r="4524">
      <c r="G4524" s="8" t="n"/>
      <c r="M4524" s="8">
        <f>L4524*G4524</f>
        <v/>
      </c>
      <c r="P4524" s="9" t="n"/>
    </row>
    <row r="4525">
      <c r="G4525" s="8" t="n"/>
      <c r="M4525" s="8">
        <f>L4525*G4525</f>
        <v/>
      </c>
      <c r="P4525" s="9" t="n"/>
    </row>
    <row r="4526">
      <c r="G4526" s="8" t="n"/>
      <c r="M4526" s="8">
        <f>L4526*G4526</f>
        <v/>
      </c>
      <c r="P4526" s="9" t="n"/>
    </row>
    <row r="4527">
      <c r="G4527" s="8" t="n"/>
      <c r="M4527" s="8">
        <f>L4527*G4527</f>
        <v/>
      </c>
      <c r="P4527" s="9" t="n"/>
    </row>
    <row r="4528">
      <c r="G4528" s="8" t="n"/>
      <c r="M4528" s="8">
        <f>L4528*G4528</f>
        <v/>
      </c>
      <c r="P4528" s="9" t="n"/>
    </row>
    <row r="4529">
      <c r="G4529" s="8" t="n"/>
      <c r="M4529" s="8">
        <f>L4529*G4529</f>
        <v/>
      </c>
      <c r="P4529" s="9" t="n"/>
    </row>
    <row r="4530">
      <c r="G4530" s="8" t="n"/>
      <c r="M4530" s="8">
        <f>L4530*G4530</f>
        <v/>
      </c>
      <c r="P4530" s="9" t="n"/>
    </row>
    <row r="4531">
      <c r="G4531" s="8" t="n"/>
      <c r="M4531" s="8">
        <f>L4531*G4531</f>
        <v/>
      </c>
      <c r="P4531" s="9" t="n"/>
    </row>
    <row r="4532">
      <c r="G4532" s="8" t="n"/>
      <c r="M4532" s="8">
        <f>L4532*G4532</f>
        <v/>
      </c>
      <c r="P4532" s="9" t="n"/>
    </row>
    <row r="4533">
      <c r="G4533" s="8" t="n"/>
      <c r="M4533" s="8">
        <f>L4533*G4533</f>
        <v/>
      </c>
      <c r="P4533" s="9" t="n"/>
    </row>
    <row r="4534">
      <c r="G4534" s="8" t="n"/>
      <c r="M4534" s="8">
        <f>L4534*G4534</f>
        <v/>
      </c>
      <c r="P4534" s="9" t="n"/>
    </row>
    <row r="4535">
      <c r="G4535" s="8" t="n"/>
      <c r="M4535" s="8">
        <f>L4535*G4535</f>
        <v/>
      </c>
      <c r="P4535" s="9" t="n"/>
    </row>
    <row r="4536">
      <c r="G4536" s="8" t="n"/>
      <c r="M4536" s="8">
        <f>L4536*G4536</f>
        <v/>
      </c>
      <c r="P4536" s="9" t="n"/>
    </row>
    <row r="4537">
      <c r="G4537" s="8" t="n"/>
      <c r="M4537" s="8">
        <f>L4537*G4537</f>
        <v/>
      </c>
      <c r="P4537" s="9" t="n"/>
    </row>
    <row r="4538">
      <c r="G4538" s="8" t="n"/>
      <c r="M4538" s="8">
        <f>L4538*G4538</f>
        <v/>
      </c>
      <c r="P4538" s="9" t="n"/>
    </row>
    <row r="4539">
      <c r="G4539" s="8" t="n"/>
      <c r="M4539" s="8">
        <f>L4539*G4539</f>
        <v/>
      </c>
      <c r="P4539" s="9" t="n"/>
    </row>
    <row r="4540">
      <c r="G4540" s="8" t="n"/>
      <c r="M4540" s="8">
        <f>L4540*G4540</f>
        <v/>
      </c>
      <c r="P4540" s="9" t="n"/>
    </row>
    <row r="4541">
      <c r="G4541" s="8" t="n"/>
      <c r="M4541" s="8">
        <f>L4541*G4541</f>
        <v/>
      </c>
      <c r="P4541" s="9" t="n"/>
    </row>
    <row r="4542">
      <c r="G4542" s="8" t="n"/>
      <c r="M4542" s="8">
        <f>L4542*G4542</f>
        <v/>
      </c>
      <c r="P4542" s="9" t="n"/>
    </row>
    <row r="4543">
      <c r="G4543" s="8" t="n"/>
      <c r="M4543" s="8">
        <f>L4543*G4543</f>
        <v/>
      </c>
      <c r="P4543" s="9" t="n"/>
    </row>
    <row r="4544">
      <c r="G4544" s="8" t="n"/>
      <c r="M4544" s="8">
        <f>L4544*G4544</f>
        <v/>
      </c>
      <c r="P4544" s="9" t="n"/>
    </row>
    <row r="4545">
      <c r="G4545" s="8" t="n"/>
      <c r="M4545" s="8">
        <f>L4545*G4545</f>
        <v/>
      </c>
      <c r="P4545" s="9" t="n"/>
    </row>
    <row r="4546">
      <c r="G4546" s="8" t="n"/>
      <c r="M4546" s="8">
        <f>L4546*G4546</f>
        <v/>
      </c>
      <c r="P4546" s="9" t="n"/>
    </row>
    <row r="4547">
      <c r="G4547" s="8" t="n"/>
      <c r="M4547" s="8">
        <f>L4547*G4547</f>
        <v/>
      </c>
      <c r="P4547" s="9" t="n"/>
    </row>
    <row r="4548">
      <c r="G4548" s="8" t="n"/>
      <c r="M4548" s="8">
        <f>L4548*G4548</f>
        <v/>
      </c>
      <c r="P4548" s="9" t="n"/>
    </row>
    <row r="4549">
      <c r="G4549" s="8" t="n"/>
      <c r="M4549" s="8">
        <f>L4549*G4549</f>
        <v/>
      </c>
      <c r="P4549" s="9" t="n"/>
    </row>
    <row r="4550">
      <c r="G4550" s="8" t="n"/>
      <c r="M4550" s="8">
        <f>L4550*G4550</f>
        <v/>
      </c>
      <c r="P4550" s="9" t="n"/>
    </row>
    <row r="4551">
      <c r="G4551" s="8" t="n"/>
      <c r="M4551" s="8">
        <f>L4551*G4551</f>
        <v/>
      </c>
      <c r="P4551" s="9" t="n"/>
    </row>
    <row r="4552">
      <c r="G4552" s="8" t="n"/>
      <c r="M4552" s="8">
        <f>L4552*G4552</f>
        <v/>
      </c>
      <c r="P4552" s="9" t="n"/>
    </row>
    <row r="4553">
      <c r="G4553" s="8" t="n"/>
      <c r="M4553" s="8">
        <f>L4553*G4553</f>
        <v/>
      </c>
      <c r="P4553" s="9" t="n"/>
    </row>
    <row r="4554">
      <c r="G4554" s="8" t="n"/>
      <c r="M4554" s="8">
        <f>L4554*G4554</f>
        <v/>
      </c>
      <c r="P4554" s="9" t="n"/>
    </row>
    <row r="4555">
      <c r="G4555" s="8" t="n"/>
      <c r="M4555" s="8">
        <f>L4555*G4555</f>
        <v/>
      </c>
      <c r="P4555" s="9" t="n"/>
    </row>
    <row r="4556">
      <c r="G4556" s="8" t="n"/>
      <c r="M4556" s="8">
        <f>L4556*G4556</f>
        <v/>
      </c>
      <c r="P4556" s="9" t="n"/>
    </row>
    <row r="4557">
      <c r="G4557" s="8" t="n"/>
      <c r="M4557" s="8">
        <f>L4557*G4557</f>
        <v/>
      </c>
      <c r="P4557" s="9" t="n"/>
    </row>
    <row r="4558">
      <c r="G4558" s="8" t="n"/>
      <c r="M4558" s="8">
        <f>L4558*G4558</f>
        <v/>
      </c>
      <c r="P4558" s="9" t="n"/>
    </row>
    <row r="4559">
      <c r="G4559" s="8" t="n"/>
      <c r="M4559" s="8">
        <f>L4559*G4559</f>
        <v/>
      </c>
      <c r="P4559" s="9" t="n"/>
    </row>
    <row r="4560">
      <c r="G4560" s="8" t="n"/>
      <c r="M4560" s="8">
        <f>L4560*G4560</f>
        <v/>
      </c>
      <c r="P4560" s="9" t="n"/>
    </row>
    <row r="4561">
      <c r="G4561" s="8" t="n"/>
      <c r="M4561" s="8">
        <f>L4561*G4561</f>
        <v/>
      </c>
      <c r="P4561" s="9" t="n"/>
    </row>
    <row r="4562">
      <c r="G4562" s="8" t="n"/>
      <c r="M4562" s="8">
        <f>L4562*G4562</f>
        <v/>
      </c>
      <c r="P4562" s="9" t="n"/>
    </row>
    <row r="4563">
      <c r="G4563" s="8" t="n"/>
      <c r="M4563" s="8">
        <f>L4563*G4563</f>
        <v/>
      </c>
      <c r="P4563" s="9" t="n"/>
    </row>
    <row r="4564">
      <c r="G4564" s="8" t="n"/>
      <c r="M4564" s="8">
        <f>L4564*G4564</f>
        <v/>
      </c>
      <c r="P4564" s="9" t="n"/>
    </row>
    <row r="4565">
      <c r="G4565" s="8" t="n"/>
      <c r="M4565" s="8">
        <f>L4565*G4565</f>
        <v/>
      </c>
      <c r="P4565" s="9" t="n"/>
    </row>
    <row r="4566">
      <c r="G4566" s="8" t="n"/>
      <c r="M4566" s="8">
        <f>L4566*G4566</f>
        <v/>
      </c>
      <c r="P4566" s="9" t="n"/>
    </row>
    <row r="4567">
      <c r="G4567" s="8" t="n"/>
      <c r="M4567" s="8">
        <f>L4567*G4567</f>
        <v/>
      </c>
      <c r="P4567" s="9" t="n"/>
    </row>
    <row r="4568">
      <c r="G4568" s="8" t="n"/>
      <c r="M4568" s="8">
        <f>L4568*G4568</f>
        <v/>
      </c>
      <c r="P4568" s="9" t="n"/>
    </row>
    <row r="4569">
      <c r="G4569" s="8" t="n"/>
      <c r="M4569" s="8">
        <f>L4569*G4569</f>
        <v/>
      </c>
      <c r="P4569" s="9" t="n"/>
    </row>
    <row r="4570">
      <c r="G4570" s="8" t="n"/>
      <c r="M4570" s="8">
        <f>L4570*G4570</f>
        <v/>
      </c>
      <c r="P4570" s="9" t="n"/>
    </row>
    <row r="4571">
      <c r="G4571" s="8" t="n"/>
      <c r="M4571" s="8">
        <f>L4571*G4571</f>
        <v/>
      </c>
      <c r="P4571" s="9" t="n"/>
    </row>
    <row r="4572">
      <c r="G4572" s="8" t="n"/>
      <c r="M4572" s="8">
        <f>L4572*G4572</f>
        <v/>
      </c>
      <c r="P4572" s="9" t="n"/>
    </row>
    <row r="4573">
      <c r="G4573" s="8" t="n"/>
      <c r="M4573" s="8">
        <f>L4573*G4573</f>
        <v/>
      </c>
      <c r="P4573" s="9" t="n"/>
    </row>
    <row r="4574">
      <c r="G4574" s="8" t="n"/>
      <c r="M4574" s="8">
        <f>L4574*G4574</f>
        <v/>
      </c>
      <c r="P4574" s="9" t="n"/>
    </row>
    <row r="4575">
      <c r="G4575" s="8" t="n"/>
      <c r="M4575" s="8">
        <f>L4575*G4575</f>
        <v/>
      </c>
      <c r="P4575" s="9" t="n"/>
    </row>
    <row r="4576">
      <c r="G4576" s="8" t="n"/>
      <c r="M4576" s="8">
        <f>L4576*G4576</f>
        <v/>
      </c>
      <c r="P4576" s="9" t="n"/>
    </row>
    <row r="4577">
      <c r="G4577" s="8" t="n"/>
      <c r="M4577" s="8">
        <f>L4577*G4577</f>
        <v/>
      </c>
      <c r="P4577" s="9" t="n"/>
    </row>
    <row r="4578">
      <c r="G4578" s="8" t="n"/>
      <c r="M4578" s="8">
        <f>L4578*G4578</f>
        <v/>
      </c>
      <c r="P4578" s="9" t="n"/>
    </row>
    <row r="4579">
      <c r="G4579" s="8" t="n"/>
      <c r="M4579" s="8">
        <f>L4579*G4579</f>
        <v/>
      </c>
      <c r="P4579" s="9" t="n"/>
    </row>
    <row r="4580">
      <c r="G4580" s="8" t="n"/>
      <c r="M4580" s="8">
        <f>L4580*G4580</f>
        <v/>
      </c>
      <c r="P4580" s="9" t="n"/>
    </row>
    <row r="4581">
      <c r="G4581" s="8" t="n"/>
      <c r="M4581" s="8">
        <f>L4581*G4581</f>
        <v/>
      </c>
      <c r="P4581" s="9" t="n"/>
    </row>
    <row r="4582">
      <c r="G4582" s="8" t="n"/>
      <c r="M4582" s="8">
        <f>L4582*G4582</f>
        <v/>
      </c>
      <c r="P4582" s="9" t="n"/>
    </row>
    <row r="4583">
      <c r="G4583" s="8" t="n"/>
      <c r="M4583" s="8">
        <f>L4583*G4583</f>
        <v/>
      </c>
      <c r="P4583" s="9" t="n"/>
    </row>
    <row r="4584">
      <c r="G4584" s="8" t="n"/>
      <c r="M4584" s="8">
        <f>L4584*G4584</f>
        <v/>
      </c>
      <c r="P4584" s="9" t="n"/>
    </row>
    <row r="4585">
      <c r="G4585" s="8" t="n"/>
      <c r="M4585" s="8">
        <f>L4585*G4585</f>
        <v/>
      </c>
      <c r="P4585" s="9" t="n"/>
    </row>
    <row r="4586">
      <c r="G4586" s="8" t="n"/>
      <c r="M4586" s="8">
        <f>L4586*G4586</f>
        <v/>
      </c>
      <c r="P4586" s="9" t="n"/>
    </row>
    <row r="4587">
      <c r="G4587" s="8" t="n"/>
      <c r="M4587" s="8">
        <f>L4587*G4587</f>
        <v/>
      </c>
      <c r="P4587" s="9" t="n"/>
    </row>
    <row r="4588">
      <c r="G4588" s="8" t="n"/>
      <c r="M4588" s="8">
        <f>L4588*G4588</f>
        <v/>
      </c>
      <c r="P4588" s="9" t="n"/>
    </row>
    <row r="4589">
      <c r="G4589" s="8" t="n"/>
      <c r="M4589" s="8">
        <f>L4589*G4589</f>
        <v/>
      </c>
      <c r="P4589" s="9" t="n"/>
    </row>
    <row r="4590">
      <c r="G4590" s="8" t="n"/>
      <c r="M4590" s="8">
        <f>L4590*G4590</f>
        <v/>
      </c>
      <c r="P4590" s="9" t="n"/>
    </row>
    <row r="4591">
      <c r="G4591" s="8" t="n"/>
      <c r="M4591" s="8">
        <f>L4591*G4591</f>
        <v/>
      </c>
      <c r="P4591" s="9" t="n"/>
    </row>
    <row r="4592">
      <c r="G4592" s="8" t="n"/>
      <c r="M4592" s="8">
        <f>L4592*G4592</f>
        <v/>
      </c>
      <c r="P4592" s="9" t="n"/>
    </row>
    <row r="4593">
      <c r="G4593" s="8" t="n"/>
      <c r="M4593" s="8">
        <f>L4593*G4593</f>
        <v/>
      </c>
      <c r="P4593" s="9" t="n"/>
    </row>
    <row r="4594">
      <c r="G4594" s="8" t="n"/>
      <c r="M4594" s="8">
        <f>L4594*G4594</f>
        <v/>
      </c>
      <c r="P4594" s="9" t="n"/>
    </row>
    <row r="4595">
      <c r="G4595" s="8" t="n"/>
      <c r="M4595" s="8">
        <f>L4595*G4595</f>
        <v/>
      </c>
      <c r="P4595" s="9" t="n"/>
    </row>
    <row r="4596">
      <c r="G4596" s="8" t="n"/>
      <c r="M4596" s="8">
        <f>L4596*G4596</f>
        <v/>
      </c>
      <c r="P4596" s="9" t="n"/>
    </row>
    <row r="4597">
      <c r="G4597" s="8" t="n"/>
      <c r="M4597" s="8">
        <f>L4597*G4597</f>
        <v/>
      </c>
      <c r="P4597" s="9" t="n"/>
    </row>
    <row r="4598">
      <c r="G4598" s="8" t="n"/>
      <c r="M4598" s="8">
        <f>L4598*G4598</f>
        <v/>
      </c>
      <c r="P4598" s="9" t="n"/>
    </row>
    <row r="4599">
      <c r="G4599" s="8" t="n"/>
      <c r="M4599" s="8">
        <f>L4599*G4599</f>
        <v/>
      </c>
      <c r="P4599" s="9" t="n"/>
    </row>
    <row r="4600">
      <c r="G4600" s="8" t="n"/>
      <c r="M4600" s="8">
        <f>L4600*G4600</f>
        <v/>
      </c>
      <c r="P4600" s="9" t="n"/>
    </row>
    <row r="4601">
      <c r="G4601" s="8" t="n"/>
      <c r="M4601" s="8">
        <f>L4601*G4601</f>
        <v/>
      </c>
      <c r="P4601" s="9" t="n"/>
    </row>
    <row r="4602">
      <c r="G4602" s="8" t="n"/>
      <c r="M4602" s="8">
        <f>L4602*G4602</f>
        <v/>
      </c>
      <c r="P4602" s="9" t="n"/>
    </row>
    <row r="4603">
      <c r="G4603" s="8" t="n"/>
      <c r="M4603" s="8">
        <f>L4603*G4603</f>
        <v/>
      </c>
      <c r="P4603" s="9" t="n"/>
    </row>
    <row r="4604">
      <c r="G4604" s="8" t="n"/>
      <c r="M4604" s="8">
        <f>L4604*G4604</f>
        <v/>
      </c>
      <c r="P4604" s="9" t="n"/>
    </row>
    <row r="4605">
      <c r="G4605" s="8" t="n"/>
      <c r="M4605" s="8">
        <f>L4605*G4605</f>
        <v/>
      </c>
      <c r="P4605" s="9" t="n"/>
    </row>
    <row r="4606">
      <c r="G4606" s="8" t="n"/>
      <c r="M4606" s="8">
        <f>L4606*G4606</f>
        <v/>
      </c>
      <c r="P4606" s="9" t="n"/>
    </row>
    <row r="4607">
      <c r="G4607" s="8" t="n"/>
      <c r="M4607" s="8">
        <f>L4607*G4607</f>
        <v/>
      </c>
      <c r="P4607" s="9" t="n"/>
    </row>
    <row r="4608">
      <c r="G4608" s="8" t="n"/>
      <c r="M4608" s="8">
        <f>L4608*G4608</f>
        <v/>
      </c>
      <c r="P4608" s="9" t="n"/>
    </row>
    <row r="4609">
      <c r="G4609" s="8" t="n"/>
      <c r="M4609" s="8">
        <f>L4609*G4609</f>
        <v/>
      </c>
      <c r="P4609" s="9" t="n"/>
    </row>
    <row r="4610">
      <c r="G4610" s="8" t="n"/>
      <c r="M4610" s="8">
        <f>L4610*G4610</f>
        <v/>
      </c>
      <c r="P4610" s="9" t="n"/>
    </row>
    <row r="4611">
      <c r="G4611" s="8" t="n"/>
      <c r="M4611" s="8">
        <f>L4611*G4611</f>
        <v/>
      </c>
      <c r="P4611" s="9" t="n"/>
    </row>
    <row r="4612">
      <c r="G4612" s="8" t="n"/>
      <c r="M4612" s="8">
        <f>L4612*G4612</f>
        <v/>
      </c>
      <c r="P4612" s="9" t="n"/>
    </row>
    <row r="4613">
      <c r="G4613" s="8" t="n"/>
      <c r="M4613" s="8">
        <f>L4613*G4613</f>
        <v/>
      </c>
      <c r="P4613" s="9" t="n"/>
    </row>
    <row r="4614">
      <c r="G4614" s="8" t="n"/>
      <c r="M4614" s="8">
        <f>L4614*G4614</f>
        <v/>
      </c>
      <c r="P4614" s="9" t="n"/>
    </row>
    <row r="4615">
      <c r="G4615" s="8" t="n"/>
      <c r="M4615" s="8">
        <f>L4615*G4615</f>
        <v/>
      </c>
      <c r="P4615" s="9" t="n"/>
    </row>
    <row r="4616">
      <c r="G4616" s="8" t="n"/>
      <c r="M4616" s="8">
        <f>L4616*G4616</f>
        <v/>
      </c>
      <c r="P4616" s="9" t="n"/>
    </row>
    <row r="4617">
      <c r="G4617" s="8" t="n"/>
      <c r="M4617" s="8">
        <f>L4617*G4617</f>
        <v/>
      </c>
      <c r="P4617" s="9" t="n"/>
    </row>
    <row r="4618">
      <c r="G4618" s="8" t="n"/>
      <c r="M4618" s="8">
        <f>L4618*G4618</f>
        <v/>
      </c>
      <c r="P4618" s="9" t="n"/>
    </row>
    <row r="4619">
      <c r="G4619" s="8" t="n"/>
      <c r="M4619" s="8">
        <f>L4619*G4619</f>
        <v/>
      </c>
      <c r="P4619" s="9" t="n"/>
    </row>
    <row r="4620">
      <c r="G4620" s="8" t="n"/>
      <c r="M4620" s="8">
        <f>L4620*G4620</f>
        <v/>
      </c>
      <c r="P4620" s="9" t="n"/>
    </row>
    <row r="4621">
      <c r="G4621" s="8" t="n"/>
      <c r="M4621" s="8">
        <f>L4621*G4621</f>
        <v/>
      </c>
      <c r="P4621" s="9" t="n"/>
    </row>
    <row r="4622">
      <c r="G4622" s="8" t="n"/>
      <c r="M4622" s="8">
        <f>L4622*G4622</f>
        <v/>
      </c>
      <c r="P4622" s="9" t="n"/>
    </row>
    <row r="4623">
      <c r="G4623" s="8" t="n"/>
      <c r="M4623" s="8">
        <f>L4623*G4623</f>
        <v/>
      </c>
      <c r="P4623" s="9" t="n"/>
    </row>
    <row r="4624">
      <c r="G4624" s="8" t="n"/>
      <c r="M4624" s="8">
        <f>L4624*G4624</f>
        <v/>
      </c>
      <c r="P4624" s="9" t="n"/>
    </row>
    <row r="4625">
      <c r="G4625" s="8" t="n"/>
      <c r="M4625" s="8">
        <f>L4625*G4625</f>
        <v/>
      </c>
      <c r="P4625" s="9" t="n"/>
    </row>
    <row r="4626">
      <c r="G4626" s="8" t="n"/>
      <c r="M4626" s="8">
        <f>L4626*G4626</f>
        <v/>
      </c>
      <c r="P4626" s="9" t="n"/>
    </row>
    <row r="4627">
      <c r="G4627" s="8" t="n"/>
      <c r="M4627" s="8">
        <f>L4627*G4627</f>
        <v/>
      </c>
      <c r="P4627" s="9" t="n"/>
    </row>
    <row r="4628">
      <c r="G4628" s="8" t="n"/>
      <c r="M4628" s="8">
        <f>L4628*G4628</f>
        <v/>
      </c>
      <c r="P4628" s="9" t="n"/>
    </row>
    <row r="4629">
      <c r="G4629" s="8" t="n"/>
      <c r="M4629" s="8">
        <f>L4629*G4629</f>
        <v/>
      </c>
      <c r="P4629" s="9" t="n"/>
    </row>
    <row r="4630">
      <c r="G4630" s="8" t="n"/>
      <c r="M4630" s="8">
        <f>L4630*G4630</f>
        <v/>
      </c>
      <c r="P4630" s="9" t="n"/>
    </row>
    <row r="4631">
      <c r="G4631" s="8" t="n"/>
      <c r="M4631" s="8">
        <f>L4631*G4631</f>
        <v/>
      </c>
      <c r="P4631" s="9" t="n"/>
    </row>
    <row r="4632">
      <c r="G4632" s="8" t="n"/>
      <c r="M4632" s="8">
        <f>L4632*G4632</f>
        <v/>
      </c>
      <c r="P4632" s="9" t="n"/>
    </row>
    <row r="4633">
      <c r="G4633" s="8" t="n"/>
      <c r="M4633" s="8">
        <f>L4633*G4633</f>
        <v/>
      </c>
      <c r="P4633" s="9" t="n"/>
    </row>
    <row r="4634">
      <c r="G4634" s="8" t="n"/>
      <c r="M4634" s="8">
        <f>L4634*G4634</f>
        <v/>
      </c>
      <c r="P4634" s="9" t="n"/>
    </row>
    <row r="4635">
      <c r="G4635" s="8" t="n"/>
      <c r="M4635" s="8">
        <f>L4635*G4635</f>
        <v/>
      </c>
      <c r="P4635" s="9" t="n"/>
    </row>
    <row r="4636">
      <c r="G4636" s="8" t="n"/>
      <c r="M4636" s="8">
        <f>L4636*G4636</f>
        <v/>
      </c>
      <c r="P4636" s="9" t="n"/>
    </row>
    <row r="4637">
      <c r="G4637" s="8" t="n"/>
      <c r="M4637" s="8">
        <f>L4637*G4637</f>
        <v/>
      </c>
      <c r="P4637" s="9" t="n"/>
    </row>
    <row r="4638">
      <c r="G4638" s="8" t="n"/>
      <c r="M4638" s="8">
        <f>L4638*G4638</f>
        <v/>
      </c>
      <c r="P4638" s="9" t="n"/>
    </row>
    <row r="4639">
      <c r="G4639" s="8" t="n"/>
      <c r="M4639" s="8">
        <f>L4639*G4639</f>
        <v/>
      </c>
      <c r="P4639" s="9" t="n"/>
    </row>
    <row r="4640">
      <c r="G4640" s="8" t="n"/>
      <c r="M4640" s="8">
        <f>L4640*G4640</f>
        <v/>
      </c>
      <c r="P4640" s="9" t="n"/>
    </row>
    <row r="4641">
      <c r="G4641" s="8" t="n"/>
      <c r="M4641" s="8">
        <f>L4641*G4641</f>
        <v/>
      </c>
      <c r="P4641" s="9" t="n"/>
    </row>
    <row r="4642">
      <c r="G4642" s="8" t="n"/>
      <c r="M4642" s="8">
        <f>L4642*G4642</f>
        <v/>
      </c>
      <c r="P4642" s="9" t="n"/>
    </row>
    <row r="4643">
      <c r="G4643" s="8" t="n"/>
      <c r="M4643" s="8">
        <f>L4643*G4643</f>
        <v/>
      </c>
      <c r="P4643" s="9" t="n"/>
    </row>
    <row r="4644">
      <c r="G4644" s="8" t="n"/>
      <c r="M4644" s="8">
        <f>L4644*G4644</f>
        <v/>
      </c>
      <c r="P4644" s="9" t="n"/>
    </row>
    <row r="4645">
      <c r="G4645" s="8" t="n"/>
      <c r="M4645" s="8">
        <f>L4645*G4645</f>
        <v/>
      </c>
      <c r="P4645" s="9" t="n"/>
    </row>
    <row r="4646">
      <c r="G4646" s="8" t="n"/>
      <c r="M4646" s="8">
        <f>L4646*G4646</f>
        <v/>
      </c>
      <c r="P4646" s="9" t="n"/>
    </row>
    <row r="4647">
      <c r="G4647" s="8" t="n"/>
      <c r="M4647" s="8">
        <f>L4647*G4647</f>
        <v/>
      </c>
      <c r="P4647" s="9" t="n"/>
    </row>
    <row r="4648">
      <c r="G4648" s="8" t="n"/>
      <c r="M4648" s="8">
        <f>L4648*G4648</f>
        <v/>
      </c>
      <c r="P4648" s="9" t="n"/>
    </row>
    <row r="4649">
      <c r="G4649" s="8" t="n"/>
      <c r="M4649" s="8">
        <f>L4649*G4649</f>
        <v/>
      </c>
      <c r="P4649" s="9" t="n"/>
    </row>
    <row r="4650">
      <c r="G4650" s="8" t="n"/>
      <c r="M4650" s="8">
        <f>L4650*G4650</f>
        <v/>
      </c>
      <c r="P4650" s="9" t="n"/>
    </row>
    <row r="4651">
      <c r="G4651" s="8" t="n"/>
      <c r="M4651" s="8">
        <f>L4651*G4651</f>
        <v/>
      </c>
      <c r="P4651" s="9" t="n"/>
    </row>
    <row r="4652">
      <c r="G4652" s="8" t="n"/>
      <c r="M4652" s="8">
        <f>L4652*G4652</f>
        <v/>
      </c>
      <c r="P4652" s="9" t="n"/>
    </row>
    <row r="4653">
      <c r="G4653" s="8" t="n"/>
      <c r="M4653" s="8">
        <f>L4653*G4653</f>
        <v/>
      </c>
      <c r="P4653" s="9" t="n"/>
    </row>
    <row r="4654">
      <c r="G4654" s="8" t="n"/>
      <c r="M4654" s="8">
        <f>L4654*G4654</f>
        <v/>
      </c>
      <c r="P4654" s="9" t="n"/>
    </row>
    <row r="4655">
      <c r="G4655" s="8" t="n"/>
      <c r="M4655" s="8">
        <f>L4655*G4655</f>
        <v/>
      </c>
      <c r="P4655" s="9" t="n"/>
    </row>
    <row r="4656">
      <c r="G4656" s="8" t="n"/>
      <c r="M4656" s="8">
        <f>L4656*G4656</f>
        <v/>
      </c>
      <c r="P4656" s="9" t="n"/>
    </row>
    <row r="4657">
      <c r="G4657" s="8" t="n"/>
      <c r="M4657" s="8">
        <f>L4657*G4657</f>
        <v/>
      </c>
      <c r="P4657" s="9" t="n"/>
    </row>
    <row r="4658">
      <c r="G4658" s="8" t="n"/>
      <c r="M4658" s="8">
        <f>L4658*G4658</f>
        <v/>
      </c>
      <c r="P4658" s="9" t="n"/>
    </row>
    <row r="4659">
      <c r="G4659" s="8" t="n"/>
      <c r="M4659" s="8">
        <f>L4659*G4659</f>
        <v/>
      </c>
      <c r="P4659" s="9" t="n"/>
    </row>
    <row r="4660">
      <c r="G4660" s="8" t="n"/>
      <c r="M4660" s="8">
        <f>L4660*G4660</f>
        <v/>
      </c>
      <c r="P4660" s="9" t="n"/>
    </row>
    <row r="4661">
      <c r="G4661" s="8" t="n"/>
      <c r="M4661" s="8">
        <f>L4661*G4661</f>
        <v/>
      </c>
      <c r="P4661" s="9" t="n"/>
    </row>
    <row r="4662">
      <c r="G4662" s="8" t="n"/>
      <c r="M4662" s="8">
        <f>L4662*G4662</f>
        <v/>
      </c>
      <c r="P4662" s="9" t="n"/>
    </row>
    <row r="4663">
      <c r="G4663" s="8" t="n"/>
      <c r="M4663" s="8">
        <f>L4663*G4663</f>
        <v/>
      </c>
      <c r="P4663" s="9" t="n"/>
    </row>
    <row r="4664">
      <c r="G4664" s="8" t="n"/>
      <c r="M4664" s="8">
        <f>L4664*G4664</f>
        <v/>
      </c>
      <c r="P4664" s="9" t="n"/>
    </row>
    <row r="4665">
      <c r="G4665" s="8" t="n"/>
      <c r="M4665" s="8">
        <f>L4665*G4665</f>
        <v/>
      </c>
      <c r="P4665" s="9" t="n"/>
    </row>
    <row r="4666">
      <c r="G4666" s="8" t="n"/>
      <c r="M4666" s="8">
        <f>L4666*G4666</f>
        <v/>
      </c>
      <c r="P4666" s="9" t="n"/>
    </row>
    <row r="4667">
      <c r="G4667" s="8" t="n"/>
      <c r="M4667" s="8">
        <f>L4667*G4667</f>
        <v/>
      </c>
      <c r="P4667" s="9" t="n"/>
    </row>
    <row r="4668">
      <c r="G4668" s="8" t="n"/>
      <c r="M4668" s="8">
        <f>L4668*G4668</f>
        <v/>
      </c>
      <c r="P4668" s="9" t="n"/>
    </row>
    <row r="4669">
      <c r="G4669" s="8" t="n"/>
      <c r="M4669" s="8">
        <f>L4669*G4669</f>
        <v/>
      </c>
      <c r="P4669" s="9" t="n"/>
    </row>
    <row r="4670">
      <c r="G4670" s="8" t="n"/>
      <c r="M4670" s="8">
        <f>L4670*G4670</f>
        <v/>
      </c>
      <c r="P4670" s="9" t="n"/>
    </row>
    <row r="4671">
      <c r="G4671" s="8" t="n"/>
      <c r="M4671" s="8">
        <f>L4671*G4671</f>
        <v/>
      </c>
      <c r="P4671" s="9" t="n"/>
    </row>
    <row r="4672">
      <c r="G4672" s="8" t="n"/>
      <c r="M4672" s="8">
        <f>L4672*G4672</f>
        <v/>
      </c>
      <c r="P4672" s="9" t="n"/>
    </row>
    <row r="4673">
      <c r="G4673" s="8" t="n"/>
      <c r="M4673" s="8">
        <f>L4673*G4673</f>
        <v/>
      </c>
      <c r="P4673" s="9" t="n"/>
    </row>
    <row r="4674">
      <c r="G4674" s="8" t="n"/>
      <c r="M4674" s="8">
        <f>L4674*G4674</f>
        <v/>
      </c>
      <c r="P4674" s="9" t="n"/>
    </row>
    <row r="4675">
      <c r="G4675" s="8" t="n"/>
      <c r="M4675" s="8">
        <f>L4675*G4675</f>
        <v/>
      </c>
      <c r="P4675" s="9" t="n"/>
    </row>
    <row r="4676">
      <c r="G4676" s="8" t="n"/>
      <c r="M4676" s="8">
        <f>L4676*G4676</f>
        <v/>
      </c>
      <c r="P4676" s="9" t="n"/>
    </row>
    <row r="4677">
      <c r="G4677" s="8" t="n"/>
      <c r="M4677" s="8">
        <f>L4677*G4677</f>
        <v/>
      </c>
      <c r="P4677" s="9" t="n"/>
    </row>
    <row r="4678">
      <c r="G4678" s="8" t="n"/>
      <c r="M4678" s="8">
        <f>L4678*G4678</f>
        <v/>
      </c>
      <c r="P4678" s="9" t="n"/>
    </row>
    <row r="4679">
      <c r="G4679" s="8" t="n"/>
      <c r="M4679" s="8">
        <f>L4679*G4679</f>
        <v/>
      </c>
      <c r="P4679" s="9" t="n"/>
    </row>
    <row r="4680">
      <c r="G4680" s="8" t="n"/>
      <c r="M4680" s="8">
        <f>L4680*G4680</f>
        <v/>
      </c>
      <c r="P4680" s="9" t="n"/>
    </row>
    <row r="4681">
      <c r="G4681" s="8" t="n"/>
      <c r="M4681" s="8">
        <f>L4681*G4681</f>
        <v/>
      </c>
      <c r="P4681" s="9" t="n"/>
    </row>
    <row r="4682">
      <c r="G4682" s="8" t="n"/>
      <c r="M4682" s="8">
        <f>L4682*G4682</f>
        <v/>
      </c>
      <c r="P4682" s="9" t="n"/>
    </row>
    <row r="4683">
      <c r="G4683" s="8" t="n"/>
      <c r="M4683" s="8">
        <f>L4683*G4683</f>
        <v/>
      </c>
      <c r="P4683" s="9" t="n"/>
    </row>
    <row r="4684">
      <c r="G4684" s="8" t="n"/>
      <c r="M4684" s="8">
        <f>L4684*G4684</f>
        <v/>
      </c>
      <c r="P4684" s="9" t="n"/>
    </row>
    <row r="4685">
      <c r="G4685" s="8" t="n"/>
      <c r="M4685" s="8">
        <f>L4685*G4685</f>
        <v/>
      </c>
      <c r="P4685" s="9" t="n"/>
    </row>
    <row r="4686">
      <c r="G4686" s="8" t="n"/>
      <c r="M4686" s="8">
        <f>L4686*G4686</f>
        <v/>
      </c>
      <c r="P4686" s="9" t="n"/>
    </row>
    <row r="4687">
      <c r="G4687" s="8" t="n"/>
      <c r="M4687" s="8">
        <f>L4687*G4687</f>
        <v/>
      </c>
      <c r="P4687" s="9" t="n"/>
    </row>
    <row r="4688">
      <c r="G4688" s="8" t="n"/>
      <c r="M4688" s="8">
        <f>L4688*G4688</f>
        <v/>
      </c>
      <c r="P4688" s="9" t="n"/>
    </row>
    <row r="4689">
      <c r="G4689" s="8" t="n"/>
      <c r="M4689" s="8">
        <f>L4689*G4689</f>
        <v/>
      </c>
      <c r="P4689" s="9" t="n"/>
    </row>
    <row r="4690">
      <c r="G4690" s="8" t="n"/>
      <c r="M4690" s="8">
        <f>L4690*G4690</f>
        <v/>
      </c>
      <c r="P4690" s="9" t="n"/>
    </row>
    <row r="4691">
      <c r="G4691" s="8" t="n"/>
      <c r="M4691" s="8">
        <f>L4691*G4691</f>
        <v/>
      </c>
      <c r="P4691" s="9" t="n"/>
    </row>
    <row r="4692">
      <c r="G4692" s="8" t="n"/>
      <c r="M4692" s="8">
        <f>L4692*G4692</f>
        <v/>
      </c>
      <c r="P4692" s="9" t="n"/>
    </row>
    <row r="4693">
      <c r="G4693" s="8" t="n"/>
      <c r="M4693" s="8">
        <f>L4693*G4693</f>
        <v/>
      </c>
      <c r="P4693" s="9" t="n"/>
    </row>
    <row r="4694">
      <c r="G4694" s="8" t="n"/>
      <c r="M4694" s="8">
        <f>L4694*G4694</f>
        <v/>
      </c>
      <c r="P4694" s="9" t="n"/>
    </row>
    <row r="4695">
      <c r="G4695" s="8" t="n"/>
      <c r="M4695" s="8">
        <f>L4695*G4695</f>
        <v/>
      </c>
      <c r="P4695" s="9" t="n"/>
    </row>
    <row r="4696">
      <c r="G4696" s="8" t="n"/>
      <c r="M4696" s="8">
        <f>L4696*G4696</f>
        <v/>
      </c>
      <c r="P4696" s="9" t="n"/>
    </row>
    <row r="4697">
      <c r="G4697" s="8" t="n"/>
      <c r="M4697" s="8">
        <f>L4697*G4697</f>
        <v/>
      </c>
      <c r="P4697" s="9" t="n"/>
    </row>
    <row r="4698">
      <c r="G4698" s="8" t="n"/>
      <c r="M4698" s="8">
        <f>L4698*G4698</f>
        <v/>
      </c>
      <c r="P4698" s="9" t="n"/>
    </row>
    <row r="4699">
      <c r="G4699" s="8" t="n"/>
      <c r="M4699" s="8">
        <f>L4699*G4699</f>
        <v/>
      </c>
      <c r="P4699" s="9" t="n"/>
    </row>
    <row r="4700">
      <c r="G4700" s="8" t="n"/>
      <c r="M4700" s="8">
        <f>L4700*G4700</f>
        <v/>
      </c>
      <c r="P4700" s="9" t="n"/>
    </row>
    <row r="4701">
      <c r="G4701" s="8" t="n"/>
      <c r="M4701" s="8">
        <f>L4701*G4701</f>
        <v/>
      </c>
      <c r="P4701" s="9" t="n"/>
    </row>
    <row r="4702">
      <c r="G4702" s="8" t="n"/>
      <c r="M4702" s="8">
        <f>L4702*G4702</f>
        <v/>
      </c>
      <c r="P4702" s="9" t="n"/>
    </row>
    <row r="4703">
      <c r="G4703" s="8" t="n"/>
      <c r="M4703" s="8">
        <f>L4703*G4703</f>
        <v/>
      </c>
      <c r="P4703" s="9" t="n"/>
    </row>
    <row r="4704">
      <c r="G4704" s="8" t="n"/>
      <c r="M4704" s="8">
        <f>L4704*G4704</f>
        <v/>
      </c>
      <c r="P4704" s="9" t="n"/>
    </row>
    <row r="4705">
      <c r="G4705" s="8" t="n"/>
      <c r="M4705" s="8">
        <f>L4705*G4705</f>
        <v/>
      </c>
      <c r="P4705" s="9" t="n"/>
    </row>
    <row r="4706">
      <c r="G4706" s="8" t="n"/>
      <c r="M4706" s="8">
        <f>L4706*G4706</f>
        <v/>
      </c>
      <c r="P4706" s="9" t="n"/>
    </row>
    <row r="4707">
      <c r="G4707" s="8" t="n"/>
      <c r="M4707" s="8">
        <f>L4707*G4707</f>
        <v/>
      </c>
      <c r="P4707" s="9" t="n"/>
    </row>
    <row r="4708">
      <c r="G4708" s="8" t="n"/>
      <c r="M4708" s="8">
        <f>L4708*G4708</f>
        <v/>
      </c>
      <c r="P4708" s="9" t="n"/>
    </row>
    <row r="4709">
      <c r="G4709" s="8" t="n"/>
      <c r="M4709" s="8">
        <f>L4709*G4709</f>
        <v/>
      </c>
      <c r="P4709" s="9" t="n"/>
    </row>
    <row r="4710">
      <c r="G4710" s="8" t="n"/>
      <c r="M4710" s="8">
        <f>L4710*G4710</f>
        <v/>
      </c>
      <c r="P4710" s="9" t="n"/>
    </row>
    <row r="4711">
      <c r="G4711" s="8" t="n"/>
      <c r="M4711" s="8">
        <f>L4711*G4711</f>
        <v/>
      </c>
      <c r="P4711" s="9" t="n"/>
    </row>
    <row r="4712">
      <c r="G4712" s="8" t="n"/>
      <c r="M4712" s="8">
        <f>L4712*G4712</f>
        <v/>
      </c>
      <c r="P4712" s="9" t="n"/>
    </row>
    <row r="4713">
      <c r="G4713" s="8" t="n"/>
      <c r="M4713" s="8">
        <f>L4713*G4713</f>
        <v/>
      </c>
      <c r="P4713" s="9" t="n"/>
    </row>
    <row r="4714">
      <c r="G4714" s="8" t="n"/>
      <c r="M4714" s="8">
        <f>L4714*G4714</f>
        <v/>
      </c>
      <c r="P4714" s="9" t="n"/>
    </row>
    <row r="4715">
      <c r="G4715" s="8" t="n"/>
      <c r="M4715" s="8">
        <f>L4715*G4715</f>
        <v/>
      </c>
      <c r="P4715" s="9" t="n"/>
    </row>
    <row r="4716">
      <c r="G4716" s="8" t="n"/>
      <c r="M4716" s="8">
        <f>L4716*G4716</f>
        <v/>
      </c>
      <c r="P4716" s="9" t="n"/>
    </row>
    <row r="4717">
      <c r="G4717" s="8" t="n"/>
      <c r="M4717" s="8">
        <f>L4717*G4717</f>
        <v/>
      </c>
      <c r="P4717" s="9" t="n"/>
    </row>
    <row r="4718">
      <c r="G4718" s="8" t="n"/>
      <c r="M4718" s="8">
        <f>L4718*G4718</f>
        <v/>
      </c>
      <c r="P4718" s="9" t="n"/>
    </row>
    <row r="4719">
      <c r="G4719" s="8" t="n"/>
      <c r="M4719" s="8">
        <f>L4719*G4719</f>
        <v/>
      </c>
      <c r="P4719" s="9" t="n"/>
    </row>
    <row r="4720">
      <c r="G4720" s="8" t="n"/>
      <c r="M4720" s="8">
        <f>L4720*G4720</f>
        <v/>
      </c>
      <c r="P4720" s="9" t="n"/>
    </row>
    <row r="4721">
      <c r="G4721" s="8" t="n"/>
      <c r="M4721" s="8">
        <f>L4721*G4721</f>
        <v/>
      </c>
      <c r="P4721" s="9" t="n"/>
    </row>
    <row r="4722">
      <c r="G4722" s="8" t="n"/>
      <c r="M4722" s="8">
        <f>L4722*G4722</f>
        <v/>
      </c>
      <c r="P4722" s="9" t="n"/>
    </row>
    <row r="4723">
      <c r="G4723" s="8" t="n"/>
      <c r="M4723" s="8">
        <f>L4723*G4723</f>
        <v/>
      </c>
      <c r="P4723" s="9" t="n"/>
    </row>
    <row r="4724">
      <c r="G4724" s="8" t="n"/>
      <c r="M4724" s="8">
        <f>L4724*G4724</f>
        <v/>
      </c>
      <c r="P4724" s="9" t="n"/>
    </row>
    <row r="4725">
      <c r="G4725" s="8" t="n"/>
      <c r="M4725" s="8">
        <f>L4725*G4725</f>
        <v/>
      </c>
      <c r="P4725" s="9" t="n"/>
    </row>
    <row r="4726">
      <c r="G4726" s="8" t="n"/>
      <c r="M4726" s="8">
        <f>L4726*G4726</f>
        <v/>
      </c>
      <c r="P4726" s="9" t="n"/>
    </row>
    <row r="4727">
      <c r="G4727" s="8" t="n"/>
      <c r="M4727" s="8">
        <f>L4727*G4727</f>
        <v/>
      </c>
      <c r="P4727" s="9" t="n"/>
    </row>
    <row r="4728">
      <c r="G4728" s="8" t="n"/>
      <c r="M4728" s="8">
        <f>L4728*G4728</f>
        <v/>
      </c>
      <c r="P4728" s="9" t="n"/>
    </row>
    <row r="4729">
      <c r="G4729" s="8" t="n"/>
      <c r="M4729" s="8">
        <f>L4729*G4729</f>
        <v/>
      </c>
      <c r="P4729" s="9" t="n"/>
    </row>
    <row r="4730">
      <c r="G4730" s="8" t="n"/>
      <c r="M4730" s="8">
        <f>L4730*G4730</f>
        <v/>
      </c>
      <c r="P4730" s="9" t="n"/>
    </row>
    <row r="4731">
      <c r="G4731" s="8" t="n"/>
      <c r="M4731" s="8">
        <f>L4731*G4731</f>
        <v/>
      </c>
      <c r="P4731" s="9" t="n"/>
    </row>
    <row r="4732">
      <c r="G4732" s="8" t="n"/>
      <c r="M4732" s="8">
        <f>L4732*G4732</f>
        <v/>
      </c>
      <c r="P4732" s="9" t="n"/>
    </row>
    <row r="4733">
      <c r="G4733" s="8" t="n"/>
      <c r="M4733" s="8">
        <f>L4733*G4733</f>
        <v/>
      </c>
      <c r="P4733" s="9" t="n"/>
    </row>
    <row r="4734">
      <c r="G4734" s="8" t="n"/>
      <c r="M4734" s="8">
        <f>L4734*G4734</f>
        <v/>
      </c>
      <c r="P4734" s="9" t="n"/>
    </row>
    <row r="4735">
      <c r="G4735" s="8" t="n"/>
      <c r="M4735" s="8">
        <f>L4735*G4735</f>
        <v/>
      </c>
      <c r="P4735" s="9" t="n"/>
    </row>
    <row r="4736">
      <c r="G4736" s="8" t="n"/>
      <c r="M4736" s="8">
        <f>L4736*G4736</f>
        <v/>
      </c>
      <c r="P4736" s="9" t="n"/>
    </row>
    <row r="4737">
      <c r="G4737" s="8" t="n"/>
      <c r="M4737" s="8">
        <f>L4737*G4737</f>
        <v/>
      </c>
      <c r="P4737" s="9" t="n"/>
    </row>
    <row r="4738">
      <c r="G4738" s="8" t="n"/>
      <c r="M4738" s="8">
        <f>L4738*G4738</f>
        <v/>
      </c>
      <c r="P4738" s="9" t="n"/>
    </row>
    <row r="4739">
      <c r="G4739" s="8" t="n"/>
      <c r="M4739" s="8">
        <f>L4739*G4739</f>
        <v/>
      </c>
      <c r="P4739" s="9" t="n"/>
    </row>
    <row r="4740">
      <c r="G4740" s="8" t="n"/>
      <c r="M4740" s="8">
        <f>L4740*G4740</f>
        <v/>
      </c>
      <c r="P4740" s="9" t="n"/>
    </row>
    <row r="4741">
      <c r="G4741" s="8" t="n"/>
      <c r="M4741" s="8">
        <f>L4741*G4741</f>
        <v/>
      </c>
      <c r="P4741" s="9" t="n"/>
    </row>
    <row r="4742">
      <c r="G4742" s="8" t="n"/>
      <c r="M4742" s="8">
        <f>L4742*G4742</f>
        <v/>
      </c>
      <c r="P4742" s="9" t="n"/>
    </row>
    <row r="4743">
      <c r="G4743" s="8" t="n"/>
      <c r="M4743" s="8">
        <f>L4743*G4743</f>
        <v/>
      </c>
      <c r="P4743" s="9" t="n"/>
    </row>
    <row r="4744">
      <c r="G4744" s="8" t="n"/>
      <c r="M4744" s="8">
        <f>L4744*G4744</f>
        <v/>
      </c>
      <c r="P4744" s="9" t="n"/>
    </row>
    <row r="4745">
      <c r="G4745" s="8" t="n"/>
      <c r="M4745" s="8">
        <f>L4745*G4745</f>
        <v/>
      </c>
      <c r="P4745" s="9" t="n"/>
    </row>
    <row r="4746">
      <c r="G4746" s="8" t="n"/>
      <c r="M4746" s="8">
        <f>L4746*G4746</f>
        <v/>
      </c>
      <c r="P4746" s="9" t="n"/>
    </row>
    <row r="4747">
      <c r="G4747" s="8" t="n"/>
      <c r="M4747" s="8">
        <f>L4747*G4747</f>
        <v/>
      </c>
      <c r="P4747" s="9" t="n"/>
    </row>
    <row r="4748">
      <c r="G4748" s="8" t="n"/>
      <c r="M4748" s="8">
        <f>L4748*G4748</f>
        <v/>
      </c>
      <c r="P4748" s="9" t="n"/>
    </row>
    <row r="4749">
      <c r="G4749" s="8" t="n"/>
      <c r="M4749" s="8">
        <f>L4749*G4749</f>
        <v/>
      </c>
      <c r="P4749" s="9" t="n"/>
    </row>
    <row r="4750">
      <c r="G4750" s="8" t="n"/>
      <c r="M4750" s="8">
        <f>L4750*G4750</f>
        <v/>
      </c>
      <c r="P4750" s="9" t="n"/>
    </row>
    <row r="4751">
      <c r="G4751" s="8" t="n"/>
      <c r="M4751" s="8">
        <f>L4751*G4751</f>
        <v/>
      </c>
      <c r="P4751" s="9" t="n"/>
    </row>
    <row r="4752">
      <c r="G4752" s="8" t="n"/>
      <c r="M4752" s="8">
        <f>L4752*G4752</f>
        <v/>
      </c>
      <c r="P4752" s="9" t="n"/>
    </row>
    <row r="4753">
      <c r="G4753" s="8" t="n"/>
      <c r="M4753" s="8">
        <f>L4753*G4753</f>
        <v/>
      </c>
      <c r="P4753" s="9" t="n"/>
    </row>
    <row r="4754">
      <c r="G4754" s="8" t="n"/>
      <c r="M4754" s="8">
        <f>L4754*G4754</f>
        <v/>
      </c>
      <c r="P4754" s="9" t="n"/>
    </row>
    <row r="4755">
      <c r="G4755" s="8" t="n"/>
      <c r="M4755" s="8">
        <f>L4755*G4755</f>
        <v/>
      </c>
      <c r="P4755" s="9" t="n"/>
    </row>
    <row r="4756">
      <c r="G4756" s="8" t="n"/>
      <c r="M4756" s="8">
        <f>L4756*G4756</f>
        <v/>
      </c>
      <c r="P4756" s="9" t="n"/>
    </row>
    <row r="4757">
      <c r="G4757" s="8" t="n"/>
      <c r="M4757" s="8">
        <f>L4757*G4757</f>
        <v/>
      </c>
      <c r="P4757" s="9" t="n"/>
    </row>
    <row r="4758">
      <c r="G4758" s="8" t="n"/>
      <c r="M4758" s="8">
        <f>L4758*G4758</f>
        <v/>
      </c>
      <c r="P4758" s="9" t="n"/>
    </row>
    <row r="4759">
      <c r="G4759" s="8" t="n"/>
      <c r="M4759" s="8">
        <f>L4759*G4759</f>
        <v/>
      </c>
      <c r="P4759" s="9" t="n"/>
    </row>
    <row r="4760">
      <c r="G4760" s="8" t="n"/>
      <c r="M4760" s="8">
        <f>L4760*G4760</f>
        <v/>
      </c>
      <c r="P4760" s="9" t="n"/>
    </row>
    <row r="4761">
      <c r="G4761" s="8" t="n"/>
      <c r="M4761" s="8">
        <f>L4761*G4761</f>
        <v/>
      </c>
      <c r="P4761" s="9" t="n"/>
    </row>
    <row r="4762">
      <c r="G4762" s="8" t="n"/>
      <c r="M4762" s="8">
        <f>L4762*G4762</f>
        <v/>
      </c>
      <c r="P4762" s="9" t="n"/>
    </row>
    <row r="4763">
      <c r="G4763" s="8" t="n"/>
      <c r="M4763" s="8">
        <f>L4763*G4763</f>
        <v/>
      </c>
      <c r="P4763" s="9" t="n"/>
    </row>
    <row r="4764">
      <c r="G4764" s="8" t="n"/>
      <c r="M4764" s="8">
        <f>L4764*G4764</f>
        <v/>
      </c>
      <c r="P4764" s="9" t="n"/>
    </row>
    <row r="4765">
      <c r="G4765" s="8" t="n"/>
      <c r="M4765" s="8">
        <f>L4765*G4765</f>
        <v/>
      </c>
      <c r="P4765" s="9" t="n"/>
    </row>
    <row r="4766">
      <c r="G4766" s="8" t="n"/>
      <c r="M4766" s="8">
        <f>L4766*G4766</f>
        <v/>
      </c>
      <c r="P4766" s="9" t="n"/>
    </row>
    <row r="4767">
      <c r="G4767" s="8" t="n"/>
      <c r="M4767" s="8">
        <f>L4767*G4767</f>
        <v/>
      </c>
      <c r="P4767" s="9" t="n"/>
    </row>
    <row r="4768">
      <c r="G4768" s="8" t="n"/>
      <c r="M4768" s="8">
        <f>L4768*G4768</f>
        <v/>
      </c>
      <c r="P4768" s="9" t="n"/>
    </row>
    <row r="4769">
      <c r="G4769" s="8" t="n"/>
      <c r="M4769" s="8">
        <f>L4769*G4769</f>
        <v/>
      </c>
      <c r="P4769" s="9" t="n"/>
    </row>
    <row r="4770">
      <c r="G4770" s="8" t="n"/>
      <c r="M4770" s="8">
        <f>L4770*G4770</f>
        <v/>
      </c>
      <c r="P4770" s="9" t="n"/>
    </row>
    <row r="4771">
      <c r="G4771" s="8" t="n"/>
      <c r="M4771" s="8">
        <f>L4771*G4771</f>
        <v/>
      </c>
      <c r="P4771" s="9" t="n"/>
    </row>
    <row r="4772">
      <c r="G4772" s="8" t="n"/>
      <c r="M4772" s="8">
        <f>L4772*G4772</f>
        <v/>
      </c>
      <c r="P4772" s="9" t="n"/>
    </row>
    <row r="4773">
      <c r="G4773" s="8" t="n"/>
      <c r="M4773" s="8">
        <f>L4773*G4773</f>
        <v/>
      </c>
      <c r="P4773" s="9" t="n"/>
    </row>
    <row r="4774">
      <c r="G4774" s="8" t="n"/>
      <c r="M4774" s="8">
        <f>L4774*G4774</f>
        <v/>
      </c>
      <c r="P4774" s="9" t="n"/>
    </row>
    <row r="4775">
      <c r="G4775" s="8" t="n"/>
      <c r="M4775" s="8">
        <f>L4775*G4775</f>
        <v/>
      </c>
      <c r="P4775" s="9" t="n"/>
    </row>
    <row r="4776">
      <c r="G4776" s="8" t="n"/>
      <c r="M4776" s="8">
        <f>L4776*G4776</f>
        <v/>
      </c>
      <c r="P4776" s="9" t="n"/>
    </row>
    <row r="4777">
      <c r="G4777" s="8" t="n"/>
      <c r="M4777" s="8">
        <f>L4777*G4777</f>
        <v/>
      </c>
      <c r="P4777" s="9" t="n"/>
    </row>
    <row r="4778">
      <c r="G4778" s="8" t="n"/>
      <c r="M4778" s="8">
        <f>L4778*G4778</f>
        <v/>
      </c>
      <c r="P4778" s="9" t="n"/>
    </row>
    <row r="4779">
      <c r="G4779" s="8" t="n"/>
      <c r="M4779" s="8">
        <f>L4779*G4779</f>
        <v/>
      </c>
      <c r="P4779" s="9" t="n"/>
    </row>
    <row r="4780">
      <c r="G4780" s="8" t="n"/>
      <c r="M4780" s="8">
        <f>L4780*G4780</f>
        <v/>
      </c>
      <c r="P4780" s="9" t="n"/>
    </row>
    <row r="4781">
      <c r="G4781" s="8" t="n"/>
      <c r="M4781" s="8">
        <f>L4781*G4781</f>
        <v/>
      </c>
      <c r="P4781" s="9" t="n"/>
    </row>
    <row r="4782">
      <c r="G4782" s="8" t="n"/>
      <c r="M4782" s="8">
        <f>L4782*G4782</f>
        <v/>
      </c>
      <c r="P4782" s="9" t="n"/>
    </row>
    <row r="4783">
      <c r="G4783" s="8" t="n"/>
      <c r="M4783" s="8">
        <f>L4783*G4783</f>
        <v/>
      </c>
      <c r="P4783" s="9" t="n"/>
    </row>
    <row r="4784">
      <c r="G4784" s="8" t="n"/>
      <c r="M4784" s="8">
        <f>L4784*G4784</f>
        <v/>
      </c>
      <c r="P4784" s="9" t="n"/>
    </row>
    <row r="4785">
      <c r="G4785" s="8" t="n"/>
      <c r="M4785" s="8">
        <f>L4785*G4785</f>
        <v/>
      </c>
      <c r="P4785" s="9" t="n"/>
    </row>
    <row r="4786">
      <c r="G4786" s="8" t="n"/>
      <c r="M4786" s="8">
        <f>L4786*G4786</f>
        <v/>
      </c>
      <c r="P4786" s="9" t="n"/>
    </row>
    <row r="4787">
      <c r="G4787" s="8" t="n"/>
      <c r="M4787" s="8">
        <f>L4787*G4787</f>
        <v/>
      </c>
      <c r="P4787" s="9" t="n"/>
    </row>
    <row r="4788">
      <c r="G4788" s="8" t="n"/>
      <c r="M4788" s="8">
        <f>L4788*G4788</f>
        <v/>
      </c>
      <c r="P4788" s="9" t="n"/>
    </row>
    <row r="4789">
      <c r="G4789" s="8" t="n"/>
      <c r="M4789" s="8">
        <f>L4789*G4789</f>
        <v/>
      </c>
      <c r="P4789" s="9" t="n"/>
    </row>
    <row r="4790">
      <c r="G4790" s="8" t="n"/>
      <c r="M4790" s="8">
        <f>L4790*G4790</f>
        <v/>
      </c>
      <c r="P4790" s="9" t="n"/>
    </row>
    <row r="4791">
      <c r="G4791" s="8" t="n"/>
      <c r="M4791" s="8">
        <f>L4791*G4791</f>
        <v/>
      </c>
      <c r="P4791" s="9" t="n"/>
    </row>
    <row r="4792">
      <c r="G4792" s="8" t="n"/>
      <c r="M4792" s="8">
        <f>L4792*G4792</f>
        <v/>
      </c>
      <c r="P4792" s="9" t="n"/>
    </row>
    <row r="4793">
      <c r="G4793" s="8" t="n"/>
      <c r="M4793" s="8">
        <f>L4793*G4793</f>
        <v/>
      </c>
      <c r="P4793" s="9" t="n"/>
    </row>
    <row r="4794">
      <c r="G4794" s="8" t="n"/>
      <c r="M4794" s="8">
        <f>L4794*G4794</f>
        <v/>
      </c>
      <c r="P4794" s="9" t="n"/>
    </row>
    <row r="4795">
      <c r="G4795" s="8" t="n"/>
      <c r="M4795" s="8">
        <f>L4795*G4795</f>
        <v/>
      </c>
      <c r="P4795" s="9" t="n"/>
    </row>
    <row r="4796">
      <c r="G4796" s="8" t="n"/>
      <c r="M4796" s="8">
        <f>L4796*G4796</f>
        <v/>
      </c>
      <c r="P4796" s="9" t="n"/>
    </row>
    <row r="4797">
      <c r="G4797" s="8" t="n"/>
      <c r="M4797" s="8">
        <f>L4797*G4797</f>
        <v/>
      </c>
      <c r="P4797" s="9" t="n"/>
    </row>
    <row r="4798">
      <c r="G4798" s="8" t="n"/>
      <c r="M4798" s="8">
        <f>L4798*G4798</f>
        <v/>
      </c>
      <c r="P4798" s="9" t="n"/>
    </row>
    <row r="4799">
      <c r="G4799" s="8" t="n"/>
      <c r="M4799" s="8">
        <f>L4799*G4799</f>
        <v/>
      </c>
      <c r="P4799" s="9" t="n"/>
    </row>
    <row r="4800">
      <c r="G4800" s="8" t="n"/>
      <c r="M4800" s="8">
        <f>L4800*G4800</f>
        <v/>
      </c>
      <c r="P4800" s="9" t="n"/>
    </row>
    <row r="4801">
      <c r="G4801" s="8" t="n"/>
      <c r="M4801" s="8">
        <f>L4801*G4801</f>
        <v/>
      </c>
      <c r="P4801" s="9" t="n"/>
    </row>
    <row r="4802">
      <c r="G4802" s="8" t="n"/>
      <c r="M4802" s="8">
        <f>L4802*G4802</f>
        <v/>
      </c>
      <c r="P4802" s="9" t="n"/>
    </row>
    <row r="4803">
      <c r="G4803" s="8" t="n"/>
      <c r="M4803" s="8">
        <f>L4803*G4803</f>
        <v/>
      </c>
      <c r="P4803" s="9" t="n"/>
    </row>
    <row r="4804">
      <c r="G4804" s="8" t="n"/>
      <c r="M4804" s="8">
        <f>L4804*G4804</f>
        <v/>
      </c>
      <c r="P4804" s="9" t="n"/>
    </row>
    <row r="4805">
      <c r="G4805" s="8" t="n"/>
      <c r="M4805" s="8">
        <f>L4805*G4805</f>
        <v/>
      </c>
      <c r="P4805" s="9" t="n"/>
    </row>
    <row r="4806">
      <c r="G4806" s="8" t="n"/>
      <c r="M4806" s="8">
        <f>L4806*G4806</f>
        <v/>
      </c>
      <c r="P4806" s="9" t="n"/>
    </row>
    <row r="4807">
      <c r="G4807" s="8" t="n"/>
      <c r="M4807" s="8">
        <f>L4807*G4807</f>
        <v/>
      </c>
      <c r="P4807" s="9" t="n"/>
    </row>
    <row r="4808">
      <c r="G4808" s="8" t="n"/>
      <c r="M4808" s="8">
        <f>L4808*G4808</f>
        <v/>
      </c>
      <c r="P4808" s="9" t="n"/>
    </row>
    <row r="4809">
      <c r="G4809" s="8" t="n"/>
      <c r="M4809" s="8">
        <f>L4809*G4809</f>
        <v/>
      </c>
      <c r="P4809" s="9" t="n"/>
    </row>
    <row r="4810">
      <c r="G4810" s="8" t="n"/>
      <c r="M4810" s="8">
        <f>L4810*G4810</f>
        <v/>
      </c>
      <c r="P4810" s="9" t="n"/>
    </row>
    <row r="4811">
      <c r="G4811" s="8" t="n"/>
      <c r="M4811" s="8">
        <f>L4811*G4811</f>
        <v/>
      </c>
      <c r="P4811" s="9" t="n"/>
    </row>
    <row r="4812">
      <c r="G4812" s="8" t="n"/>
      <c r="M4812" s="8">
        <f>L4812*G4812</f>
        <v/>
      </c>
      <c r="P4812" s="9" t="n"/>
    </row>
    <row r="4813">
      <c r="G4813" s="8" t="n"/>
      <c r="M4813" s="8">
        <f>L4813*G4813</f>
        <v/>
      </c>
      <c r="P4813" s="9" t="n"/>
    </row>
    <row r="4814">
      <c r="G4814" s="8" t="n"/>
      <c r="M4814" s="8">
        <f>L4814*G4814</f>
        <v/>
      </c>
      <c r="P4814" s="9" t="n"/>
    </row>
    <row r="4815">
      <c r="G4815" s="8" t="n"/>
      <c r="M4815" s="8">
        <f>L4815*G4815</f>
        <v/>
      </c>
      <c r="P4815" s="9" t="n"/>
    </row>
    <row r="4816">
      <c r="G4816" s="8" t="n"/>
      <c r="M4816" s="8">
        <f>L4816*G4816</f>
        <v/>
      </c>
      <c r="P4816" s="9" t="n"/>
    </row>
    <row r="4817">
      <c r="G4817" s="8" t="n"/>
      <c r="M4817" s="8">
        <f>L4817*G4817</f>
        <v/>
      </c>
      <c r="P4817" s="9" t="n"/>
    </row>
    <row r="4818">
      <c r="G4818" s="8" t="n"/>
      <c r="M4818" s="8">
        <f>L4818*G4818</f>
        <v/>
      </c>
      <c r="P4818" s="9" t="n"/>
    </row>
    <row r="4819">
      <c r="G4819" s="8" t="n"/>
      <c r="M4819" s="8">
        <f>L4819*G4819</f>
        <v/>
      </c>
      <c r="P4819" s="9" t="n"/>
    </row>
    <row r="4820">
      <c r="G4820" s="8" t="n"/>
      <c r="M4820" s="8">
        <f>L4820*G4820</f>
        <v/>
      </c>
      <c r="P4820" s="9" t="n"/>
    </row>
    <row r="4821">
      <c r="G4821" s="8" t="n"/>
      <c r="M4821" s="8">
        <f>L4821*G4821</f>
        <v/>
      </c>
      <c r="P4821" s="9" t="n"/>
    </row>
    <row r="4822">
      <c r="G4822" s="8" t="n"/>
      <c r="M4822" s="8">
        <f>L4822*G4822</f>
        <v/>
      </c>
      <c r="P4822" s="9" t="n"/>
    </row>
    <row r="4823">
      <c r="G4823" s="8" t="n"/>
      <c r="M4823" s="8">
        <f>L4823*G4823</f>
        <v/>
      </c>
      <c r="P4823" s="9" t="n"/>
    </row>
    <row r="4824">
      <c r="G4824" s="8" t="n"/>
      <c r="M4824" s="8">
        <f>L4824*G4824</f>
        <v/>
      </c>
      <c r="P4824" s="9" t="n"/>
    </row>
    <row r="4825">
      <c r="G4825" s="8" t="n"/>
      <c r="M4825" s="8">
        <f>L4825*G4825</f>
        <v/>
      </c>
      <c r="P4825" s="9" t="n"/>
    </row>
    <row r="4826">
      <c r="G4826" s="8" t="n"/>
      <c r="M4826" s="8">
        <f>L4826*G4826</f>
        <v/>
      </c>
      <c r="P4826" s="9" t="n"/>
    </row>
    <row r="4827">
      <c r="G4827" s="8" t="n"/>
      <c r="M4827" s="8">
        <f>L4827*G4827</f>
        <v/>
      </c>
      <c r="P4827" s="9" t="n"/>
    </row>
    <row r="4828">
      <c r="G4828" s="8" t="n"/>
      <c r="M4828" s="8">
        <f>L4828*G4828</f>
        <v/>
      </c>
      <c r="P4828" s="9" t="n"/>
    </row>
    <row r="4829">
      <c r="G4829" s="8" t="n"/>
      <c r="M4829" s="8">
        <f>L4829*G4829</f>
        <v/>
      </c>
      <c r="P4829" s="9" t="n"/>
    </row>
    <row r="4830">
      <c r="G4830" s="8" t="n"/>
      <c r="M4830" s="8">
        <f>L4830*G4830</f>
        <v/>
      </c>
      <c r="P4830" s="9" t="n"/>
    </row>
    <row r="4831">
      <c r="G4831" s="8" t="n"/>
      <c r="M4831" s="8">
        <f>L4831*G4831</f>
        <v/>
      </c>
      <c r="P4831" s="9" t="n"/>
    </row>
    <row r="4832">
      <c r="G4832" s="8" t="n"/>
      <c r="M4832" s="8">
        <f>L4832*G4832</f>
        <v/>
      </c>
      <c r="P4832" s="9" t="n"/>
    </row>
    <row r="4833">
      <c r="G4833" s="8" t="n"/>
      <c r="M4833" s="8">
        <f>L4833*G4833</f>
        <v/>
      </c>
      <c r="P4833" s="9" t="n"/>
    </row>
    <row r="4834">
      <c r="G4834" s="8" t="n"/>
      <c r="M4834" s="8">
        <f>L4834*G4834</f>
        <v/>
      </c>
      <c r="P4834" s="9" t="n"/>
    </row>
    <row r="4835">
      <c r="G4835" s="8" t="n"/>
      <c r="M4835" s="8">
        <f>L4835*G4835</f>
        <v/>
      </c>
      <c r="P4835" s="9" t="n"/>
    </row>
    <row r="4836">
      <c r="G4836" s="8" t="n"/>
      <c r="M4836" s="8">
        <f>L4836*G4836</f>
        <v/>
      </c>
      <c r="P4836" s="9" t="n"/>
    </row>
    <row r="4837">
      <c r="G4837" s="8" t="n"/>
      <c r="M4837" s="8">
        <f>L4837*G4837</f>
        <v/>
      </c>
      <c r="P4837" s="9" t="n"/>
    </row>
    <row r="4838">
      <c r="G4838" s="8" t="n"/>
      <c r="M4838" s="8">
        <f>L4838*G4838</f>
        <v/>
      </c>
      <c r="P4838" s="9" t="n"/>
    </row>
    <row r="4839">
      <c r="G4839" s="8" t="n"/>
      <c r="M4839" s="8">
        <f>L4839*G4839</f>
        <v/>
      </c>
      <c r="P4839" s="9" t="n"/>
    </row>
    <row r="4840">
      <c r="G4840" s="8" t="n"/>
      <c r="M4840" s="8">
        <f>L4840*G4840</f>
        <v/>
      </c>
      <c r="P4840" s="9" t="n"/>
    </row>
    <row r="4841">
      <c r="G4841" s="8" t="n"/>
      <c r="M4841" s="8">
        <f>L4841*G4841</f>
        <v/>
      </c>
      <c r="P4841" s="9" t="n"/>
    </row>
    <row r="4842">
      <c r="G4842" s="8" t="n"/>
      <c r="M4842" s="8">
        <f>L4842*G4842</f>
        <v/>
      </c>
      <c r="P4842" s="9" t="n"/>
    </row>
    <row r="4843">
      <c r="G4843" s="8" t="n"/>
      <c r="M4843" s="8">
        <f>L4843*G4843</f>
        <v/>
      </c>
      <c r="P4843" s="9" t="n"/>
    </row>
    <row r="4844">
      <c r="G4844" s="8" t="n"/>
      <c r="M4844" s="8">
        <f>L4844*G4844</f>
        <v/>
      </c>
      <c r="P4844" s="9" t="n"/>
    </row>
    <row r="4845">
      <c r="G4845" s="8" t="n"/>
      <c r="M4845" s="8">
        <f>L4845*G4845</f>
        <v/>
      </c>
      <c r="P4845" s="9" t="n"/>
    </row>
    <row r="4846">
      <c r="G4846" s="8" t="n"/>
      <c r="M4846" s="8">
        <f>L4846*G4846</f>
        <v/>
      </c>
      <c r="P4846" s="9" t="n"/>
    </row>
    <row r="4847">
      <c r="G4847" s="8" t="n"/>
      <c r="M4847" s="8">
        <f>L4847*G4847</f>
        <v/>
      </c>
      <c r="P4847" s="9" t="n"/>
    </row>
    <row r="4848">
      <c r="G4848" s="8" t="n"/>
      <c r="M4848" s="8">
        <f>L4848*G4848</f>
        <v/>
      </c>
      <c r="P4848" s="9" t="n"/>
    </row>
    <row r="4849">
      <c r="G4849" s="8" t="n"/>
      <c r="M4849" s="8">
        <f>L4849*G4849</f>
        <v/>
      </c>
      <c r="P4849" s="9" t="n"/>
    </row>
    <row r="4850">
      <c r="G4850" s="8" t="n"/>
      <c r="M4850" s="8">
        <f>L4850*G4850</f>
        <v/>
      </c>
      <c r="P4850" s="9" t="n"/>
    </row>
    <row r="4851">
      <c r="G4851" s="8" t="n"/>
      <c r="M4851" s="8">
        <f>L4851*G4851</f>
        <v/>
      </c>
      <c r="P4851" s="9" t="n"/>
    </row>
    <row r="4852">
      <c r="G4852" s="8" t="n"/>
      <c r="M4852" s="8">
        <f>L4852*G4852</f>
        <v/>
      </c>
      <c r="P4852" s="9" t="n"/>
    </row>
    <row r="4853">
      <c r="G4853" s="8" t="n"/>
      <c r="M4853" s="8">
        <f>L4853*G4853</f>
        <v/>
      </c>
      <c r="P4853" s="9" t="n"/>
    </row>
    <row r="4854">
      <c r="G4854" s="8" t="n"/>
      <c r="M4854" s="8">
        <f>L4854*G4854</f>
        <v/>
      </c>
      <c r="P4854" s="9" t="n"/>
    </row>
    <row r="4855">
      <c r="G4855" s="8" t="n"/>
      <c r="M4855" s="8">
        <f>L4855*G4855</f>
        <v/>
      </c>
      <c r="P4855" s="9" t="n"/>
    </row>
    <row r="4856">
      <c r="G4856" s="8" t="n"/>
      <c r="M4856" s="8">
        <f>L4856*G4856</f>
        <v/>
      </c>
      <c r="P4856" s="9" t="n"/>
    </row>
    <row r="4857">
      <c r="G4857" s="8" t="n"/>
      <c r="M4857" s="8">
        <f>L4857*G4857</f>
        <v/>
      </c>
      <c r="P4857" s="9" t="n"/>
    </row>
    <row r="4858">
      <c r="G4858" s="8" t="n"/>
      <c r="M4858" s="8">
        <f>L4858*G4858</f>
        <v/>
      </c>
      <c r="P4858" s="9" t="n"/>
    </row>
    <row r="4859">
      <c r="G4859" s="8" t="n"/>
      <c r="M4859" s="8">
        <f>L4859*G4859</f>
        <v/>
      </c>
      <c r="P4859" s="9" t="n"/>
    </row>
    <row r="4860">
      <c r="G4860" s="8" t="n"/>
      <c r="M4860" s="8">
        <f>L4860*G4860</f>
        <v/>
      </c>
      <c r="P4860" s="9" t="n"/>
    </row>
    <row r="4861">
      <c r="G4861" s="8" t="n"/>
      <c r="M4861" s="8">
        <f>L4861*G4861</f>
        <v/>
      </c>
      <c r="P4861" s="9" t="n"/>
    </row>
    <row r="4862">
      <c r="G4862" s="8" t="n"/>
      <c r="M4862" s="8">
        <f>L4862*G4862</f>
        <v/>
      </c>
      <c r="P4862" s="9" t="n"/>
    </row>
    <row r="4863">
      <c r="G4863" s="8" t="n"/>
      <c r="M4863" s="8">
        <f>L4863*G4863</f>
        <v/>
      </c>
      <c r="P4863" s="9" t="n"/>
    </row>
    <row r="4864">
      <c r="G4864" s="8" t="n"/>
      <c r="M4864" s="8">
        <f>L4864*G4864</f>
        <v/>
      </c>
      <c r="P4864" s="9" t="n"/>
    </row>
    <row r="4865">
      <c r="G4865" s="8" t="n"/>
      <c r="M4865" s="8">
        <f>L4865*G4865</f>
        <v/>
      </c>
      <c r="P4865" s="9" t="n"/>
    </row>
    <row r="4866">
      <c r="G4866" s="8" t="n"/>
      <c r="M4866" s="8">
        <f>L4866*G4866</f>
        <v/>
      </c>
      <c r="P4866" s="9" t="n"/>
    </row>
    <row r="4867">
      <c r="G4867" s="8" t="n"/>
      <c r="M4867" s="8">
        <f>L4867*G4867</f>
        <v/>
      </c>
      <c r="P4867" s="9" t="n"/>
    </row>
    <row r="4868">
      <c r="G4868" s="8" t="n"/>
      <c r="M4868" s="8">
        <f>L4868*G4868</f>
        <v/>
      </c>
      <c r="P4868" s="9" t="n"/>
    </row>
    <row r="4869">
      <c r="G4869" s="8" t="n"/>
      <c r="M4869" s="8">
        <f>L4869*G4869</f>
        <v/>
      </c>
      <c r="P4869" s="9" t="n"/>
    </row>
    <row r="4870">
      <c r="G4870" s="8" t="n"/>
      <c r="M4870" s="8">
        <f>L4870*G4870</f>
        <v/>
      </c>
      <c r="P4870" s="9" t="n"/>
    </row>
    <row r="4871">
      <c r="G4871" s="8" t="n"/>
      <c r="M4871" s="8">
        <f>L4871*G4871</f>
        <v/>
      </c>
      <c r="P4871" s="9" t="n"/>
    </row>
    <row r="4872">
      <c r="G4872" s="8" t="n"/>
      <c r="M4872" s="8">
        <f>L4872*G4872</f>
        <v/>
      </c>
      <c r="P4872" s="9" t="n"/>
    </row>
    <row r="4873">
      <c r="G4873" s="8" t="n"/>
      <c r="M4873" s="8">
        <f>L4873*G4873</f>
        <v/>
      </c>
      <c r="P4873" s="9" t="n"/>
    </row>
    <row r="4874">
      <c r="G4874" s="8" t="n"/>
      <c r="M4874" s="8">
        <f>L4874*G4874</f>
        <v/>
      </c>
      <c r="P4874" s="9" t="n"/>
    </row>
    <row r="4875">
      <c r="G4875" s="8" t="n"/>
      <c r="M4875" s="8">
        <f>L4875*G4875</f>
        <v/>
      </c>
      <c r="P4875" s="9" t="n"/>
    </row>
    <row r="4876">
      <c r="G4876" s="8" t="n"/>
      <c r="M4876" s="8">
        <f>L4876*G4876</f>
        <v/>
      </c>
      <c r="P4876" s="9" t="n"/>
    </row>
    <row r="4877">
      <c r="G4877" s="8" t="n"/>
      <c r="M4877" s="8">
        <f>L4877*G4877</f>
        <v/>
      </c>
      <c r="P4877" s="9" t="n"/>
    </row>
    <row r="4878">
      <c r="G4878" s="8" t="n"/>
      <c r="M4878" s="8">
        <f>L4878*G4878</f>
        <v/>
      </c>
      <c r="P4878" s="9" t="n"/>
    </row>
    <row r="4879">
      <c r="G4879" s="8" t="n"/>
      <c r="M4879" s="8">
        <f>L4879*G4879</f>
        <v/>
      </c>
      <c r="P4879" s="9" t="n"/>
    </row>
    <row r="4880">
      <c r="G4880" s="8" t="n"/>
      <c r="M4880" s="8">
        <f>L4880*G4880</f>
        <v/>
      </c>
      <c r="P4880" s="9" t="n"/>
    </row>
    <row r="4881">
      <c r="G4881" s="8" t="n"/>
      <c r="M4881" s="8">
        <f>L4881*G4881</f>
        <v/>
      </c>
      <c r="P4881" s="9" t="n"/>
    </row>
    <row r="4882">
      <c r="G4882" s="8" t="n"/>
      <c r="M4882" s="8">
        <f>L4882*G4882</f>
        <v/>
      </c>
      <c r="P4882" s="9" t="n"/>
    </row>
    <row r="4883">
      <c r="G4883" s="8" t="n"/>
      <c r="M4883" s="8">
        <f>L4883*G4883</f>
        <v/>
      </c>
      <c r="P4883" s="9" t="n"/>
    </row>
    <row r="4884">
      <c r="G4884" s="8" t="n"/>
      <c r="M4884" s="8">
        <f>L4884*G4884</f>
        <v/>
      </c>
      <c r="P4884" s="9" t="n"/>
    </row>
    <row r="4885">
      <c r="G4885" s="8" t="n"/>
      <c r="M4885" s="8">
        <f>L4885*G4885</f>
        <v/>
      </c>
      <c r="P4885" s="9" t="n"/>
    </row>
    <row r="4886">
      <c r="G4886" s="8" t="n"/>
      <c r="M4886" s="8">
        <f>L4886*G4886</f>
        <v/>
      </c>
      <c r="P4886" s="9" t="n"/>
    </row>
    <row r="4887">
      <c r="G4887" s="8" t="n"/>
      <c r="M4887" s="8">
        <f>L4887*G4887</f>
        <v/>
      </c>
      <c r="P4887" s="9" t="n"/>
    </row>
    <row r="4888">
      <c r="G4888" s="8" t="n"/>
      <c r="M4888" s="8">
        <f>L4888*G4888</f>
        <v/>
      </c>
      <c r="P4888" s="9" t="n"/>
    </row>
    <row r="4889">
      <c r="G4889" s="8" t="n"/>
      <c r="M4889" s="8">
        <f>L4889*G4889</f>
        <v/>
      </c>
      <c r="P4889" s="9" t="n"/>
    </row>
    <row r="4890">
      <c r="G4890" s="8" t="n"/>
      <c r="M4890" s="8">
        <f>L4890*G4890</f>
        <v/>
      </c>
      <c r="P4890" s="9" t="n"/>
    </row>
    <row r="4891">
      <c r="G4891" s="8" t="n"/>
      <c r="M4891" s="8">
        <f>L4891*G4891</f>
        <v/>
      </c>
      <c r="P4891" s="9" t="n"/>
    </row>
    <row r="4892">
      <c r="G4892" s="8" t="n"/>
      <c r="M4892" s="8">
        <f>L4892*G4892</f>
        <v/>
      </c>
      <c r="P4892" s="9" t="n"/>
    </row>
    <row r="4893">
      <c r="G4893" s="8" t="n"/>
      <c r="M4893" s="8">
        <f>L4893*G4893</f>
        <v/>
      </c>
      <c r="P4893" s="9" t="n"/>
    </row>
    <row r="4894">
      <c r="G4894" s="8" t="n"/>
      <c r="M4894" s="8">
        <f>L4894*G4894</f>
        <v/>
      </c>
      <c r="P4894" s="9" t="n"/>
    </row>
    <row r="4895">
      <c r="G4895" s="8" t="n"/>
      <c r="M4895" s="8">
        <f>L4895*G4895</f>
        <v/>
      </c>
      <c r="P4895" s="9" t="n"/>
    </row>
    <row r="4896">
      <c r="G4896" s="8" t="n"/>
      <c r="M4896" s="8">
        <f>L4896*G4896</f>
        <v/>
      </c>
      <c r="P4896" s="9" t="n"/>
    </row>
    <row r="4897">
      <c r="G4897" s="8" t="n"/>
      <c r="M4897" s="8">
        <f>L4897*G4897</f>
        <v/>
      </c>
      <c r="P4897" s="9" t="n"/>
    </row>
    <row r="4898">
      <c r="G4898" s="8" t="n"/>
      <c r="M4898" s="8">
        <f>L4898*G4898</f>
        <v/>
      </c>
      <c r="P4898" s="9" t="n"/>
    </row>
    <row r="4899">
      <c r="G4899" s="8" t="n"/>
      <c r="M4899" s="8">
        <f>L4899*G4899</f>
        <v/>
      </c>
      <c r="P4899" s="9" t="n"/>
    </row>
    <row r="4900">
      <c r="G4900" s="8" t="n"/>
      <c r="M4900" s="8">
        <f>L4900*G4900</f>
        <v/>
      </c>
      <c r="P4900" s="9" t="n"/>
    </row>
    <row r="4901">
      <c r="G4901" s="8" t="n"/>
      <c r="M4901" s="8">
        <f>L4901*G4901</f>
        <v/>
      </c>
      <c r="P4901" s="9" t="n"/>
    </row>
    <row r="4902">
      <c r="G4902" s="8" t="n"/>
      <c r="M4902" s="8">
        <f>L4902*G4902</f>
        <v/>
      </c>
      <c r="P4902" s="9" t="n"/>
    </row>
    <row r="4903">
      <c r="G4903" s="8" t="n"/>
      <c r="M4903" s="8">
        <f>L4903*G4903</f>
        <v/>
      </c>
      <c r="P4903" s="9" t="n"/>
    </row>
    <row r="4904">
      <c r="G4904" s="8" t="n"/>
      <c r="M4904" s="8">
        <f>L4904*G4904</f>
        <v/>
      </c>
      <c r="P4904" s="9" t="n"/>
    </row>
    <row r="4905">
      <c r="G4905" s="8" t="n"/>
      <c r="M4905" s="8">
        <f>L4905*G4905</f>
        <v/>
      </c>
      <c r="P4905" s="9" t="n"/>
    </row>
    <row r="4906">
      <c r="G4906" s="8" t="n"/>
      <c r="M4906" s="8">
        <f>L4906*G4906</f>
        <v/>
      </c>
      <c r="P4906" s="9" t="n"/>
    </row>
    <row r="4907">
      <c r="G4907" s="8" t="n"/>
      <c r="M4907" s="8">
        <f>L4907*G4907</f>
        <v/>
      </c>
      <c r="P4907" s="9" t="n"/>
    </row>
    <row r="4908">
      <c r="G4908" s="8" t="n"/>
      <c r="M4908" s="8">
        <f>L4908*G4908</f>
        <v/>
      </c>
      <c r="P4908" s="9" t="n"/>
    </row>
    <row r="4909">
      <c r="G4909" s="8" t="n"/>
      <c r="M4909" s="8">
        <f>L4909*G4909</f>
        <v/>
      </c>
      <c r="P4909" s="9" t="n"/>
    </row>
    <row r="4910">
      <c r="G4910" s="8" t="n"/>
      <c r="M4910" s="8">
        <f>L4910*G4910</f>
        <v/>
      </c>
      <c r="P4910" s="9" t="n"/>
    </row>
    <row r="4911">
      <c r="G4911" s="8" t="n"/>
      <c r="M4911" s="8">
        <f>L4911*G4911</f>
        <v/>
      </c>
      <c r="P4911" s="9" t="n"/>
    </row>
    <row r="4912">
      <c r="G4912" s="8" t="n"/>
      <c r="M4912" s="8">
        <f>L4912*G4912</f>
        <v/>
      </c>
      <c r="P4912" s="9" t="n"/>
    </row>
    <row r="4913">
      <c r="G4913" s="8" t="n"/>
      <c r="M4913" s="8">
        <f>L4913*G4913</f>
        <v/>
      </c>
      <c r="P4913" s="9" t="n"/>
    </row>
    <row r="4914">
      <c r="G4914" s="8" t="n"/>
      <c r="M4914" s="8">
        <f>L4914*G4914</f>
        <v/>
      </c>
      <c r="P4914" s="9" t="n"/>
    </row>
    <row r="4915">
      <c r="G4915" s="8" t="n"/>
      <c r="M4915" s="8">
        <f>L4915*G4915</f>
        <v/>
      </c>
      <c r="P4915" s="9" t="n"/>
    </row>
    <row r="4916">
      <c r="G4916" s="8" t="n"/>
      <c r="M4916" s="8">
        <f>L4916*G4916</f>
        <v/>
      </c>
      <c r="P4916" s="9" t="n"/>
    </row>
    <row r="4917">
      <c r="G4917" s="8" t="n"/>
      <c r="M4917" s="8">
        <f>L4917*G4917</f>
        <v/>
      </c>
      <c r="P4917" s="9" t="n"/>
    </row>
    <row r="4918">
      <c r="G4918" s="8" t="n"/>
      <c r="M4918" s="8">
        <f>L4918*G4918</f>
        <v/>
      </c>
      <c r="P4918" s="9" t="n"/>
    </row>
    <row r="4919">
      <c r="G4919" s="8" t="n"/>
      <c r="M4919" s="8">
        <f>L4919*G4919</f>
        <v/>
      </c>
      <c r="P4919" s="9" t="n"/>
    </row>
    <row r="4920">
      <c r="G4920" s="8" t="n"/>
      <c r="M4920" s="8">
        <f>L4920*G4920</f>
        <v/>
      </c>
      <c r="P4920" s="9" t="n"/>
    </row>
    <row r="4921">
      <c r="G4921" s="8" t="n"/>
      <c r="M4921" s="8">
        <f>L4921*G4921</f>
        <v/>
      </c>
      <c r="P4921" s="9" t="n"/>
    </row>
    <row r="4922">
      <c r="G4922" s="8" t="n"/>
      <c r="M4922" s="8">
        <f>L4922*G4922</f>
        <v/>
      </c>
      <c r="P4922" s="9" t="n"/>
    </row>
    <row r="4923">
      <c r="G4923" s="8" t="n"/>
      <c r="M4923" s="8">
        <f>L4923*G4923</f>
        <v/>
      </c>
      <c r="P4923" s="9" t="n"/>
    </row>
    <row r="4924">
      <c r="G4924" s="8" t="n"/>
      <c r="M4924" s="8">
        <f>L4924*G4924</f>
        <v/>
      </c>
      <c r="P4924" s="9" t="n"/>
    </row>
    <row r="4925">
      <c r="G4925" s="8" t="n"/>
      <c r="M4925" s="8">
        <f>L4925*G4925</f>
        <v/>
      </c>
      <c r="P4925" s="9" t="n"/>
    </row>
    <row r="4926">
      <c r="G4926" s="8" t="n"/>
      <c r="M4926" s="8">
        <f>L4926*G4926</f>
        <v/>
      </c>
      <c r="P4926" s="9" t="n"/>
    </row>
    <row r="4927">
      <c r="G4927" s="8" t="n"/>
      <c r="M4927" s="8">
        <f>L4927*G4927</f>
        <v/>
      </c>
      <c r="P4927" s="9" t="n"/>
    </row>
    <row r="4928">
      <c r="G4928" s="8" t="n"/>
      <c r="M4928" s="8">
        <f>L4928*G4928</f>
        <v/>
      </c>
      <c r="P4928" s="9" t="n"/>
    </row>
    <row r="4929">
      <c r="G4929" s="8" t="n"/>
      <c r="M4929" s="8">
        <f>L4929*G4929</f>
        <v/>
      </c>
      <c r="P4929" s="9" t="n"/>
    </row>
    <row r="4930">
      <c r="G4930" s="8" t="n"/>
      <c r="M4930" s="8">
        <f>L4930*G4930</f>
        <v/>
      </c>
      <c r="P4930" s="9" t="n"/>
    </row>
    <row r="4931">
      <c r="G4931" s="8" t="n"/>
      <c r="M4931" s="8">
        <f>L4931*G4931</f>
        <v/>
      </c>
      <c r="P4931" s="9" t="n"/>
    </row>
    <row r="4932">
      <c r="G4932" s="8" t="n"/>
      <c r="M4932" s="8">
        <f>L4932*G4932</f>
        <v/>
      </c>
      <c r="P4932" s="9" t="n"/>
    </row>
    <row r="4933">
      <c r="G4933" s="8" t="n"/>
      <c r="M4933" s="8">
        <f>L4933*G4933</f>
        <v/>
      </c>
      <c r="P4933" s="9" t="n"/>
    </row>
    <row r="4934">
      <c r="G4934" s="8" t="n"/>
      <c r="M4934" s="8">
        <f>L4934*G4934</f>
        <v/>
      </c>
      <c r="P4934" s="9" t="n"/>
    </row>
    <row r="4935">
      <c r="G4935" s="8" t="n"/>
      <c r="M4935" s="8">
        <f>L4935*G4935</f>
        <v/>
      </c>
      <c r="P4935" s="9" t="n"/>
    </row>
    <row r="4936">
      <c r="G4936" s="8" t="n"/>
      <c r="M4936" s="8">
        <f>L4936*G4936</f>
        <v/>
      </c>
      <c r="P4936" s="9" t="n"/>
    </row>
    <row r="4937">
      <c r="G4937" s="8" t="n"/>
      <c r="M4937" s="8">
        <f>L4937*G4937</f>
        <v/>
      </c>
      <c r="P4937" s="9" t="n"/>
    </row>
    <row r="4938">
      <c r="G4938" s="8" t="n"/>
      <c r="M4938" s="8">
        <f>L4938*G4938</f>
        <v/>
      </c>
      <c r="P4938" s="9" t="n"/>
    </row>
    <row r="4939">
      <c r="G4939" s="8" t="n"/>
      <c r="M4939" s="8">
        <f>L4939*G4939</f>
        <v/>
      </c>
      <c r="P4939" s="9" t="n"/>
    </row>
    <row r="4940">
      <c r="G4940" s="8" t="n"/>
      <c r="M4940" s="8">
        <f>L4940*G4940</f>
        <v/>
      </c>
      <c r="P4940" s="9" t="n"/>
    </row>
    <row r="4941">
      <c r="G4941" s="8" t="n"/>
      <c r="M4941" s="8">
        <f>L4941*G4941</f>
        <v/>
      </c>
      <c r="P4941" s="9" t="n"/>
    </row>
    <row r="4942">
      <c r="G4942" s="8" t="n"/>
      <c r="M4942" s="8">
        <f>L4942*G4942</f>
        <v/>
      </c>
      <c r="P4942" s="9" t="n"/>
    </row>
    <row r="4943">
      <c r="G4943" s="8" t="n"/>
      <c r="M4943" s="8">
        <f>L4943*G4943</f>
        <v/>
      </c>
      <c r="P4943" s="9" t="n"/>
    </row>
    <row r="4944">
      <c r="G4944" s="8" t="n"/>
      <c r="M4944" s="8">
        <f>L4944*G4944</f>
        <v/>
      </c>
      <c r="P4944" s="9" t="n"/>
    </row>
    <row r="4945">
      <c r="G4945" s="8" t="n"/>
      <c r="M4945" s="8">
        <f>L4945*G4945</f>
        <v/>
      </c>
      <c r="P4945" s="9" t="n"/>
    </row>
    <row r="4946">
      <c r="G4946" s="8" t="n"/>
      <c r="M4946" s="8">
        <f>L4946*G4946</f>
        <v/>
      </c>
      <c r="P4946" s="9" t="n"/>
    </row>
    <row r="4947">
      <c r="G4947" s="8" t="n"/>
      <c r="M4947" s="8">
        <f>L4947*G4947</f>
        <v/>
      </c>
      <c r="P4947" s="9" t="n"/>
    </row>
    <row r="4948">
      <c r="G4948" s="8" t="n"/>
      <c r="M4948" s="8">
        <f>L4948*G4948</f>
        <v/>
      </c>
      <c r="P4948" s="9" t="n"/>
    </row>
    <row r="4949">
      <c r="G4949" s="8" t="n"/>
      <c r="M4949" s="8">
        <f>L4949*G4949</f>
        <v/>
      </c>
      <c r="P4949" s="9" t="n"/>
    </row>
    <row r="4950">
      <c r="G4950" s="8" t="n"/>
      <c r="M4950" s="8">
        <f>L4950*G4950</f>
        <v/>
      </c>
      <c r="P4950" s="9" t="n"/>
    </row>
    <row r="4951">
      <c r="G4951" s="8" t="n"/>
      <c r="M4951" s="8">
        <f>L4951*G4951</f>
        <v/>
      </c>
      <c r="P4951" s="9" t="n"/>
    </row>
    <row r="4952">
      <c r="G4952" s="8" t="n"/>
      <c r="M4952" s="8">
        <f>L4952*G4952</f>
        <v/>
      </c>
      <c r="P4952" s="9" t="n"/>
    </row>
    <row r="4953">
      <c r="G4953" s="8" t="n"/>
      <c r="M4953" s="8">
        <f>L4953*G4953</f>
        <v/>
      </c>
      <c r="P4953" s="9" t="n"/>
    </row>
    <row r="4954">
      <c r="G4954" s="8" t="n"/>
      <c r="M4954" s="8">
        <f>L4954*G4954</f>
        <v/>
      </c>
      <c r="P4954" s="9" t="n"/>
    </row>
    <row r="4955">
      <c r="G4955" s="8" t="n"/>
      <c r="M4955" s="8">
        <f>L4955*G4955</f>
        <v/>
      </c>
      <c r="P4955" s="9" t="n"/>
    </row>
    <row r="4956">
      <c r="G4956" s="8" t="n"/>
      <c r="M4956" s="8">
        <f>L4956*G4956</f>
        <v/>
      </c>
      <c r="P4956" s="9" t="n"/>
    </row>
    <row r="4957">
      <c r="G4957" s="8" t="n"/>
      <c r="M4957" s="8">
        <f>L4957*G4957</f>
        <v/>
      </c>
      <c r="P4957" s="9" t="n"/>
    </row>
    <row r="4958">
      <c r="G4958" s="8" t="n"/>
      <c r="M4958" s="8">
        <f>L4958*G4958</f>
        <v/>
      </c>
      <c r="P4958" s="9" t="n"/>
    </row>
    <row r="4959">
      <c r="G4959" s="8" t="n"/>
      <c r="M4959" s="8">
        <f>L4959*G4959</f>
        <v/>
      </c>
      <c r="P4959" s="9" t="n"/>
    </row>
    <row r="4960">
      <c r="G4960" s="8" t="n"/>
      <c r="M4960" s="8">
        <f>L4960*G4960</f>
        <v/>
      </c>
      <c r="P4960" s="9" t="n"/>
    </row>
    <row r="4961">
      <c r="G4961" s="8" t="n"/>
      <c r="M4961" s="8">
        <f>L4961*G4961</f>
        <v/>
      </c>
      <c r="P4961" s="9" t="n"/>
    </row>
    <row r="4962">
      <c r="G4962" s="8" t="n"/>
      <c r="M4962" s="8">
        <f>L4962*G4962</f>
        <v/>
      </c>
      <c r="P4962" s="9" t="n"/>
    </row>
    <row r="4963">
      <c r="G4963" s="8" t="n"/>
      <c r="M4963" s="8">
        <f>L4963*G4963</f>
        <v/>
      </c>
      <c r="P4963" s="9" t="n"/>
    </row>
    <row r="4964">
      <c r="G4964" s="8" t="n"/>
      <c r="M4964" s="8">
        <f>L4964*G4964</f>
        <v/>
      </c>
      <c r="P4964" s="9" t="n"/>
    </row>
    <row r="4965">
      <c r="G4965" s="8" t="n"/>
      <c r="M4965" s="8">
        <f>L4965*G4965</f>
        <v/>
      </c>
      <c r="P4965" s="9" t="n"/>
    </row>
    <row r="4966">
      <c r="G4966" s="8" t="n"/>
      <c r="M4966" s="8">
        <f>L4966*G4966</f>
        <v/>
      </c>
      <c r="P4966" s="9" t="n"/>
    </row>
    <row r="4967">
      <c r="G4967" s="8" t="n"/>
      <c r="M4967" s="8">
        <f>L4967*G4967</f>
        <v/>
      </c>
      <c r="P4967" s="9" t="n"/>
    </row>
    <row r="4968">
      <c r="G4968" s="8" t="n"/>
      <c r="M4968" s="8">
        <f>L4968*G4968</f>
        <v/>
      </c>
      <c r="P4968" s="9" t="n"/>
    </row>
    <row r="4969">
      <c r="G4969" s="8" t="n"/>
      <c r="M4969" s="8">
        <f>L4969*G4969</f>
        <v/>
      </c>
      <c r="P4969" s="9" t="n"/>
    </row>
    <row r="4970">
      <c r="G4970" s="8" t="n"/>
      <c r="M4970" s="8">
        <f>L4970*G4970</f>
        <v/>
      </c>
      <c r="P4970" s="9" t="n"/>
    </row>
    <row r="4971">
      <c r="G4971" s="8" t="n"/>
      <c r="M4971" s="8">
        <f>L4971*G4971</f>
        <v/>
      </c>
      <c r="P4971" s="9" t="n"/>
    </row>
    <row r="4972">
      <c r="G4972" s="8" t="n"/>
      <c r="M4972" s="8">
        <f>L4972*G4972</f>
        <v/>
      </c>
      <c r="P4972" s="9" t="n"/>
    </row>
    <row r="4973">
      <c r="G4973" s="8" t="n"/>
      <c r="M4973" s="8">
        <f>L4973*G4973</f>
        <v/>
      </c>
      <c r="P4973" s="9" t="n"/>
    </row>
    <row r="4974">
      <c r="G4974" s="8" t="n"/>
      <c r="M4974" s="8">
        <f>L4974*G4974</f>
        <v/>
      </c>
      <c r="P4974" s="9" t="n"/>
    </row>
    <row r="4975">
      <c r="G4975" s="8" t="n"/>
      <c r="M4975" s="8">
        <f>L4975*G4975</f>
        <v/>
      </c>
      <c r="P4975" s="9" t="n"/>
    </row>
    <row r="4976">
      <c r="G4976" s="8" t="n"/>
      <c r="M4976" s="8">
        <f>L4976*G4976</f>
        <v/>
      </c>
      <c r="P4976" s="9" t="n"/>
    </row>
    <row r="4977">
      <c r="G4977" s="8" t="n"/>
      <c r="M4977" s="8">
        <f>L4977*G4977</f>
        <v/>
      </c>
      <c r="P4977" s="9" t="n"/>
    </row>
    <row r="4978">
      <c r="G4978" s="8" t="n"/>
      <c r="M4978" s="8">
        <f>L4978*G4978</f>
        <v/>
      </c>
      <c r="P4978" s="9" t="n"/>
    </row>
    <row r="4979">
      <c r="G4979" s="8" t="n"/>
      <c r="M4979" s="8">
        <f>L4979*G4979</f>
        <v/>
      </c>
      <c r="P4979" s="9" t="n"/>
    </row>
    <row r="4980">
      <c r="G4980" s="8" t="n"/>
      <c r="M4980" s="8">
        <f>L4980*G4980</f>
        <v/>
      </c>
      <c r="P4980" s="9" t="n"/>
    </row>
    <row r="4981">
      <c r="G4981" s="8" t="n"/>
      <c r="M4981" s="8">
        <f>L4981*G4981</f>
        <v/>
      </c>
      <c r="P4981" s="9" t="n"/>
    </row>
    <row r="4982">
      <c r="G4982" s="8" t="n"/>
      <c r="M4982" s="8">
        <f>L4982*G4982</f>
        <v/>
      </c>
      <c r="P4982" s="9" t="n"/>
    </row>
    <row r="4983">
      <c r="G4983" s="8" t="n"/>
      <c r="M4983" s="8">
        <f>L4983*G4983</f>
        <v/>
      </c>
      <c r="P4983" s="9" t="n"/>
    </row>
    <row r="4984">
      <c r="G4984" s="8" t="n"/>
      <c r="M4984" s="8">
        <f>L4984*G4984</f>
        <v/>
      </c>
      <c r="P4984" s="9" t="n"/>
    </row>
    <row r="4985">
      <c r="G4985" s="8" t="n"/>
      <c r="M4985" s="8">
        <f>L4985*G4985</f>
        <v/>
      </c>
      <c r="P4985" s="9" t="n"/>
    </row>
    <row r="4986">
      <c r="G4986" s="8" t="n"/>
      <c r="M4986" s="8">
        <f>L4986*G4986</f>
        <v/>
      </c>
      <c r="P4986" s="9" t="n"/>
    </row>
    <row r="4987">
      <c r="G4987" s="8" t="n"/>
      <c r="M4987" s="8">
        <f>L4987*G4987</f>
        <v/>
      </c>
      <c r="P4987" s="9" t="n"/>
    </row>
    <row r="4988">
      <c r="G4988" s="8" t="n"/>
      <c r="M4988" s="8">
        <f>L4988*G4988</f>
        <v/>
      </c>
      <c r="P4988" s="9" t="n"/>
    </row>
    <row r="4989">
      <c r="G4989" s="8" t="n"/>
      <c r="M4989" s="8">
        <f>L4989*G4989</f>
        <v/>
      </c>
      <c r="P4989" s="9" t="n"/>
    </row>
    <row r="4990">
      <c r="G4990" s="8" t="n"/>
      <c r="M4990" s="8">
        <f>L4990*G4990</f>
        <v/>
      </c>
      <c r="P4990" s="9" t="n"/>
    </row>
    <row r="4991">
      <c r="G4991" s="8" t="n"/>
      <c r="M4991" s="8">
        <f>L4991*G4991</f>
        <v/>
      </c>
      <c r="P4991" s="9" t="n"/>
    </row>
    <row r="4992">
      <c r="G4992" s="8" t="n"/>
      <c r="M4992" s="8">
        <f>L4992*G4992</f>
        <v/>
      </c>
      <c r="P4992" s="9" t="n"/>
    </row>
    <row r="4993">
      <c r="G4993" s="8" t="n"/>
      <c r="M4993" s="8">
        <f>L4993*G4993</f>
        <v/>
      </c>
      <c r="P4993" s="9" t="n"/>
    </row>
    <row r="4994">
      <c r="G4994" s="8" t="n"/>
      <c r="M4994" s="8">
        <f>L4994*G4994</f>
        <v/>
      </c>
      <c r="P4994" s="9" t="n"/>
    </row>
    <row r="4995">
      <c r="G4995" s="8" t="n"/>
      <c r="M4995" s="8">
        <f>L4995*G4995</f>
        <v/>
      </c>
      <c r="P4995" s="9" t="n"/>
    </row>
    <row r="4996">
      <c r="G4996" s="8" t="n"/>
      <c r="M4996" s="8">
        <f>L4996*G4996</f>
        <v/>
      </c>
      <c r="P4996" s="9" t="n"/>
    </row>
    <row r="4997">
      <c r="G4997" s="8" t="n"/>
      <c r="M4997" s="8">
        <f>L4997*G4997</f>
        <v/>
      </c>
      <c r="P4997" s="9" t="n"/>
    </row>
    <row r="4998">
      <c r="G4998" s="8" t="n"/>
      <c r="M4998" s="8">
        <f>L4998*G4998</f>
        <v/>
      </c>
      <c r="P4998" s="9" t="n"/>
    </row>
    <row r="4999">
      <c r="G4999" s="8" t="n"/>
      <c r="M4999" s="8">
        <f>L4999*G4999</f>
        <v/>
      </c>
      <c r="P4999" s="9" t="n"/>
    </row>
    <row r="5000">
      <c r="G5000" s="8" t="n"/>
      <c r="M5000" s="8">
        <f>L5000*G5000</f>
        <v/>
      </c>
      <c r="P5000" s="9" t="n"/>
    </row>
    <row r="5001">
      <c r="G5001" s="8" t="n"/>
      <c r="M5001" s="8">
        <f>L5001*G5001</f>
        <v/>
      </c>
      <c r="P5001" s="9" t="n"/>
    </row>
    <row r="5002">
      <c r="G5002" s="8" t="n"/>
      <c r="M5002" s="8">
        <f>L5002*G5002</f>
        <v/>
      </c>
      <c r="P5002" s="9" t="n"/>
    </row>
    <row r="5003">
      <c r="G5003" s="8" t="n"/>
      <c r="M5003" s="8">
        <f>L5003*G5003</f>
        <v/>
      </c>
      <c r="P5003" s="9" t="n"/>
    </row>
    <row r="5004">
      <c r="G5004" s="8" t="n"/>
      <c r="M5004" s="8">
        <f>L5004*G5004</f>
        <v/>
      </c>
      <c r="P5004" s="9" t="n"/>
    </row>
    <row r="5005">
      <c r="G5005" s="8" t="n"/>
      <c r="M5005" s="8">
        <f>L5005*G5005</f>
        <v/>
      </c>
      <c r="P5005" s="9" t="n"/>
    </row>
    <row r="5006">
      <c r="G5006" s="8" t="n"/>
      <c r="M5006" s="8">
        <f>L5006*G5006</f>
        <v/>
      </c>
      <c r="P5006" s="9" t="n"/>
    </row>
    <row r="5007">
      <c r="G5007" s="8" t="n"/>
      <c r="M5007" s="8">
        <f>L5007*G5007</f>
        <v/>
      </c>
      <c r="P5007" s="9" t="n"/>
    </row>
    <row r="5008">
      <c r="G5008" s="8" t="n"/>
      <c r="M5008" s="8">
        <f>L5008*G5008</f>
        <v/>
      </c>
      <c r="P5008" s="9" t="n"/>
    </row>
    <row r="5009">
      <c r="G5009" s="8" t="n"/>
      <c r="M5009" s="8">
        <f>L5009*G5009</f>
        <v/>
      </c>
      <c r="P5009" s="9" t="n"/>
    </row>
    <row r="5010">
      <c r="G5010" s="8" t="n"/>
      <c r="M5010" s="8">
        <f>L5010*G5010</f>
        <v/>
      </c>
      <c r="P5010" s="9" t="n"/>
    </row>
    <row r="5011">
      <c r="G5011" s="8" t="n"/>
      <c r="M5011" s="8">
        <f>L5011*G5011</f>
        <v/>
      </c>
      <c r="P5011" s="9" t="n"/>
    </row>
    <row r="5012">
      <c r="G5012" s="8" t="n"/>
      <c r="M5012" s="8">
        <f>L5012*G5012</f>
        <v/>
      </c>
      <c r="P5012" s="9" t="n"/>
    </row>
    <row r="5013">
      <c r="G5013" s="8" t="n"/>
      <c r="M5013" s="8">
        <f>L5013*G5013</f>
        <v/>
      </c>
      <c r="P5013" s="9" t="n"/>
    </row>
    <row r="5014">
      <c r="G5014" s="8" t="n"/>
      <c r="M5014" s="8">
        <f>L5014*G5014</f>
        <v/>
      </c>
      <c r="P5014" s="9" t="n"/>
    </row>
    <row r="5015">
      <c r="G5015" s="8" t="n"/>
      <c r="M5015" s="8">
        <f>L5015*G5015</f>
        <v/>
      </c>
      <c r="P5015" s="9" t="n"/>
    </row>
    <row r="5016">
      <c r="G5016" s="8" t="n"/>
      <c r="M5016" s="8">
        <f>L5016*G5016</f>
        <v/>
      </c>
      <c r="P5016" s="9" t="n"/>
    </row>
    <row r="5017">
      <c r="G5017" s="8" t="n"/>
      <c r="M5017" s="8">
        <f>L5017*G5017</f>
        <v/>
      </c>
      <c r="P5017" s="9" t="n"/>
    </row>
    <row r="5018">
      <c r="G5018" s="8" t="n"/>
      <c r="M5018" s="8">
        <f>L5018*G5018</f>
        <v/>
      </c>
      <c r="P5018" s="9" t="n"/>
    </row>
    <row r="5019">
      <c r="G5019" s="8" t="n"/>
      <c r="M5019" s="8">
        <f>L5019*G5019</f>
        <v/>
      </c>
      <c r="P5019" s="9" t="n"/>
    </row>
    <row r="5020">
      <c r="G5020" s="8" t="n"/>
      <c r="M5020" s="8">
        <f>L5020*G5020</f>
        <v/>
      </c>
      <c r="P5020" s="9" t="n"/>
    </row>
    <row r="5021">
      <c r="G5021" s="8" t="n"/>
      <c r="M5021" s="8">
        <f>L5021*G5021</f>
        <v/>
      </c>
      <c r="P5021" s="9" t="n"/>
    </row>
    <row r="5022">
      <c r="G5022" s="8" t="n"/>
      <c r="M5022" s="8">
        <f>L5022*G5022</f>
        <v/>
      </c>
      <c r="P5022" s="9" t="n"/>
    </row>
    <row r="5023">
      <c r="G5023" s="8" t="n"/>
      <c r="M5023" s="8">
        <f>L5023*G5023</f>
        <v/>
      </c>
      <c r="P5023" s="9" t="n"/>
    </row>
    <row r="5024">
      <c r="G5024" s="8" t="n"/>
      <c r="M5024" s="8">
        <f>L5024*G5024</f>
        <v/>
      </c>
      <c r="P5024" s="9" t="n"/>
    </row>
    <row r="5025">
      <c r="G5025" s="8" t="n"/>
      <c r="M5025" s="8">
        <f>L5025*G5025</f>
        <v/>
      </c>
      <c r="P5025" s="9" t="n"/>
    </row>
    <row r="5026">
      <c r="G5026" s="8" t="n"/>
      <c r="M5026" s="8">
        <f>L5026*G5026</f>
        <v/>
      </c>
      <c r="P5026" s="9" t="n"/>
    </row>
    <row r="5027">
      <c r="G5027" s="8" t="n"/>
      <c r="M5027" s="8">
        <f>L5027*G5027</f>
        <v/>
      </c>
      <c r="P5027" s="9" t="n"/>
    </row>
    <row r="5028">
      <c r="G5028" s="8" t="n"/>
      <c r="M5028" s="8">
        <f>L5028*G5028</f>
        <v/>
      </c>
      <c r="P5028" s="9" t="n"/>
    </row>
    <row r="5029">
      <c r="A5029" s="0" t="inlineStr">
        <is>
          <t>Oracle's Attendants / Ajudantes do Oráculo</t>
        </is>
      </c>
      <c r="B5029" s="0" t="inlineStr">
        <is>
          <t>Creature — Human Soldier / Criatura — Soldado Humano</t>
        </is>
      </c>
      <c r="C5029" s="0" t="inlineStr">
        <is>
          <t>Rare / Rara</t>
        </is>
      </c>
      <c r="D5029" s="0" t="inlineStr">
        <is>
          <t>{T}: All damage that would be dealt to target creature this turn by a source of your choice is dealt to this creature instead. / {T}: Todo o dano que seria causado à criatura alvo neste turno por uma fonte a sua escolha, em vez disso, é causado a Ajudantes do Oráculo.</t>
        </is>
      </c>
      <c r="E5029" s="0" t="inlineStr">
        <is>
          <t>{3}{W}</t>
        </is>
      </c>
      <c r="F5029" s="0" t="inlineStr">
        <is>
          <t>Branco</t>
        </is>
      </c>
      <c r="G5029" s="0" t="inlineStr"/>
      <c r="H5029" s="0" t="inlineStr">
        <is>
          <t>Eighth Edition (8ED)</t>
        </is>
      </c>
      <c r="I5029" s="0" t="inlineStr">
        <is>
          <t>Não</t>
        </is>
      </c>
      <c r="J5029" s="0" t="inlineStr">
        <is>
          <t>2003</t>
        </is>
      </c>
      <c r="K5029" s="0" t="inlineStr">
        <is>
          <t>1/5</t>
        </is>
      </c>
      <c r="L5029" s="0" t="inlineStr">
        <is>
          <t>1</t>
        </is>
      </c>
    </row>
    <row r="5030">
      <c r="A5030" s="0" t="inlineStr">
        <is>
          <t>Samite Healer / Curandeiro Samita</t>
        </is>
      </c>
      <c r="B5030" s="0" t="inlineStr">
        <is>
          <t>Creature — Human Cleric / Criatura — Clérigo Humano</t>
        </is>
      </c>
      <c r="C5030" s="0" t="inlineStr">
        <is>
          <t>Common / Comum</t>
        </is>
      </c>
      <c r="D5030" s="0" t="inlineStr">
        <is>
          <t>{T}: Prevent the next 1 damage that would be dealt to any target this turn. / {T}: Previne o próximo 1 ponto de dano que seria causado à criatura ou ao jogador alvo neste turno.</t>
        </is>
      </c>
      <c r="E5030" s="0" t="inlineStr">
        <is>
          <t>{1}{W}</t>
        </is>
      </c>
      <c r="F5030" s="0" t="inlineStr">
        <is>
          <t>Branco</t>
        </is>
      </c>
      <c r="G5030" s="0" t="inlineStr"/>
      <c r="H5030" s="0" t="inlineStr">
        <is>
          <t>Eighth Edition (8ED)</t>
        </is>
      </c>
      <c r="I5030" s="0" t="inlineStr">
        <is>
          <t>Não</t>
        </is>
      </c>
      <c r="J5030" s="0" t="inlineStr">
        <is>
          <t>2003</t>
        </is>
      </c>
      <c r="K5030" s="0" t="inlineStr">
        <is>
          <t>1/1</t>
        </is>
      </c>
      <c r="L5030" s="0" t="inlineStr">
        <is>
          <t>1</t>
        </is>
      </c>
    </row>
    <row r="5031">
      <c r="A5031" s="0" t="inlineStr">
        <is>
          <t>Green Ward / Defesa Verde</t>
        </is>
      </c>
      <c r="B5031" s="0" t="inlineStr">
        <is>
          <t>Enchantment — Aura</t>
        </is>
      </c>
      <c r="C5031" s="0" t="inlineStr">
        <is>
          <t>Uncommon / Incomum</t>
        </is>
      </c>
      <c r="D5031" s="0" t="inlineStr">
        <is>
          <t>Enchant creature Enchanted creature has protection from green. This effect doesn't remove this Aura.</t>
        </is>
      </c>
      <c r="E5031" s="0" t="inlineStr">
        <is>
          <t>{W}</t>
        </is>
      </c>
      <c r="F5031" s="0" t="inlineStr">
        <is>
          <t>Branco</t>
        </is>
      </c>
      <c r="G5031" s="0" t="inlineStr"/>
      <c r="H5031" s="0" t="inlineStr">
        <is>
          <t>Fourth Edition (4ED)</t>
        </is>
      </c>
      <c r="I5031" s="0" t="inlineStr">
        <is>
          <t>Não</t>
        </is>
      </c>
      <c r="J5031" s="0" t="inlineStr">
        <is>
          <t>1995</t>
        </is>
      </c>
      <c r="K5031" s="0" t="inlineStr"/>
      <c r="L5031" s="0" t="inlineStr">
        <is>
          <t>1</t>
        </is>
      </c>
    </row>
    <row r="5032">
      <c r="A5032" s="0" t="inlineStr">
        <is>
          <t>Personal Incarnation / Encarnação Pessoal</t>
        </is>
      </c>
      <c r="B5032" s="0" t="inlineStr">
        <is>
          <t>Creature — Avatar Incarnation</t>
        </is>
      </c>
      <c r="C5032" s="0" t="inlineStr">
        <is>
          <t>Rare / Rara</t>
        </is>
      </c>
      <c r="D5032" s="0" t="inlineStr">
        <is>
          <t>{0}: The next 1 damage that would be dealt to this creature this turn is dealt to its owner instead. Only this creatures owner may activate this ability. When this creature dies, its owner loses half their life, rounded up.</t>
        </is>
      </c>
      <c r="E5032" s="0" t="inlineStr">
        <is>
          <t>{3}{W}{W}{W}</t>
        </is>
      </c>
      <c r="F5032" s="0" t="inlineStr">
        <is>
          <t>Branco</t>
        </is>
      </c>
      <c r="G5032" s="0" t="inlineStr"/>
      <c r="H5032" s="0" t="inlineStr">
        <is>
          <t>Fourth Edition (4ED)</t>
        </is>
      </c>
      <c r="I5032" s="0" t="inlineStr">
        <is>
          <t>Não</t>
        </is>
      </c>
      <c r="J5032" s="0" t="inlineStr">
        <is>
          <t>1995</t>
        </is>
      </c>
      <c r="K5032" s="0" t="inlineStr">
        <is>
          <t>6/6</t>
        </is>
      </c>
      <c r="L5032" s="0" t="inlineStr">
        <is>
          <t>1</t>
        </is>
      </c>
    </row>
    <row r="5033">
      <c r="A5033" s="0" t="inlineStr">
        <is>
          <t>Cleric</t>
        </is>
      </c>
      <c r="B5033" s="0" t="inlineStr">
        <is>
          <t>Token Enchantment Creature — Cleric</t>
        </is>
      </c>
      <c r="C5033" s="0" t="inlineStr">
        <is>
          <t>Common / Comum</t>
        </is>
      </c>
      <c r="D5033" s="0" t="inlineStr"/>
      <c r="E5033" s="0" t="inlineStr"/>
      <c r="F5033" s="0" t="inlineStr">
        <is>
          <t>Branco</t>
        </is>
      </c>
      <c r="G5033" s="0" t="inlineStr"/>
      <c r="H5033" s="0" t="inlineStr">
        <is>
          <t>Theros Tokens (TTHS)</t>
        </is>
      </c>
      <c r="I5033" s="0" t="inlineStr">
        <is>
          <t>Não</t>
        </is>
      </c>
      <c r="J5033" s="0" t="inlineStr">
        <is>
          <t>2013</t>
        </is>
      </c>
      <c r="K5033" s="0" t="inlineStr">
        <is>
          <t>2/1</t>
        </is>
      </c>
      <c r="L5033" s="0" t="inlineStr">
        <is>
          <t>1</t>
        </is>
      </c>
    </row>
    <row r="5034">
      <c r="A5034" s="0" t="inlineStr">
        <is>
          <t>Aang and Katara // Aang and Katara</t>
        </is>
      </c>
      <c r="B5034" s="0" t="inlineStr">
        <is>
          <t>Card // Card</t>
        </is>
      </c>
      <c r="C5034" s="0" t="inlineStr">
        <is>
          <t>Common / Comum</t>
        </is>
      </c>
      <c r="D5034" s="0" t="inlineStr"/>
      <c r="E5034" s="0" t="inlineStr"/>
      <c r="F5034" s="0" t="inlineStr">
        <is>
          <t>Incolor</t>
        </is>
      </c>
      <c r="G5034" s="0" t="inlineStr"/>
      <c r="H5034" s="0" t="inlineStr">
        <is>
          <t>Avatar: the Last Airbender Eternal Art Series (ATLE)</t>
        </is>
      </c>
      <c r="I5034" s="0" t="inlineStr">
        <is>
          <t>Não</t>
        </is>
      </c>
      <c r="J5034" s="0" t="inlineStr">
        <is>
          <t>2025</t>
        </is>
      </c>
      <c r="K5034" s="0" t="inlineStr"/>
      <c r="L5034" s="0" t="inlineStr">
        <is>
          <t>1</t>
        </is>
      </c>
    </row>
    <row r="5035">
      <c r="A5035" s="0" t="inlineStr">
        <is>
          <t>Farrel's Zealot</t>
        </is>
      </c>
      <c r="B5035" s="0" t="inlineStr">
        <is>
          <t>Creature — Human</t>
        </is>
      </c>
      <c r="C5035" s="0" t="inlineStr">
        <is>
          <t>Common / Comum</t>
        </is>
      </c>
      <c r="D5035" s="0" t="inlineStr">
        <is>
          <t>Whenever this creature attacks and isn't blocked, you may have it deal 3 damage to target creature. If you do, this creature assigns no combat damage this turn.</t>
        </is>
      </c>
      <c r="E5035" s="0" t="inlineStr">
        <is>
          <t>{1}{W}{W}</t>
        </is>
      </c>
      <c r="F5035" s="0" t="inlineStr">
        <is>
          <t>Branco</t>
        </is>
      </c>
      <c r="G5035" s="0" t="inlineStr"/>
      <c r="H5035" s="0" t="inlineStr">
        <is>
          <t>Fallen Empires (FEM)</t>
        </is>
      </c>
      <c r="I5035" s="0" t="inlineStr">
        <is>
          <t>Não</t>
        </is>
      </c>
      <c r="J5035" s="0" t="inlineStr">
        <is>
          <t>1994</t>
        </is>
      </c>
      <c r="K5035" s="0" t="inlineStr">
        <is>
          <t>2/2</t>
        </is>
      </c>
      <c r="L5035" s="0" t="inlineStr">
        <is>
          <t>1</t>
        </is>
      </c>
    </row>
    <row r="5036">
      <c r="A5036" s="0" t="inlineStr">
        <is>
          <t>Icatian Phalanx / Falange Icatiana</t>
        </is>
      </c>
      <c r="B5036" s="0" t="inlineStr">
        <is>
          <t>Creature — Human Soldier</t>
        </is>
      </c>
      <c r="C5036" s="0" t="inlineStr">
        <is>
          <t>Uncommon / Incomum</t>
        </is>
      </c>
      <c r="D5036" s="0" t="inlineStr">
        <is>
          <t>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5036" s="0" t="inlineStr">
        <is>
          <t>{4}{W}</t>
        </is>
      </c>
      <c r="F5036" s="0" t="inlineStr">
        <is>
          <t>Branco</t>
        </is>
      </c>
      <c r="G5036" s="0" t="inlineStr"/>
      <c r="H5036" s="0" t="inlineStr">
        <is>
          <t>Fallen Empires (FEM)</t>
        </is>
      </c>
      <c r="I5036" s="0" t="inlineStr">
        <is>
          <t>Não</t>
        </is>
      </c>
      <c r="J5036" s="0" t="inlineStr">
        <is>
          <t>1994</t>
        </is>
      </c>
      <c r="K5036" s="0" t="inlineStr">
        <is>
          <t>2/4</t>
        </is>
      </c>
      <c r="L5036" s="0" t="inlineStr">
        <is>
          <t>1</t>
        </is>
      </c>
    </row>
    <row r="5037">
      <c r="A5037" s="0" t="inlineStr">
        <is>
          <t>Opportunity / Oportunidade</t>
        </is>
      </c>
      <c r="B5037" s="0" t="inlineStr">
        <is>
          <t>Instant / Mágica Instantânea</t>
        </is>
      </c>
      <c r="C5037" s="0" t="inlineStr">
        <is>
          <t>Uncommon / Incomum</t>
        </is>
      </c>
      <c r="D5037" s="0" t="inlineStr">
        <is>
          <t>Target player draws four cards. / O jogador alvo compra quatro cards.</t>
        </is>
      </c>
      <c r="E5037" s="0" t="inlineStr">
        <is>
          <t>{4}{U}{U}</t>
        </is>
      </c>
      <c r="F5037" s="0" t="inlineStr">
        <is>
          <t>Azul</t>
        </is>
      </c>
      <c r="G5037" s="0" t="inlineStr"/>
      <c r="H5037" s="0" t="inlineStr">
        <is>
          <t>Urza's Legacy (ULG)</t>
        </is>
      </c>
      <c r="I5037" s="0" t="inlineStr">
        <is>
          <t>Não</t>
        </is>
      </c>
      <c r="J5037" s="0" t="inlineStr">
        <is>
          <t>1999</t>
        </is>
      </c>
      <c r="K5037" s="0" t="inlineStr"/>
      <c r="L5037" s="0" t="inlineStr">
        <is>
          <t>1</t>
        </is>
      </c>
    </row>
    <row r="5038">
      <c r="A5038" s="0" t="inlineStr">
        <is>
          <t>Wall</t>
        </is>
      </c>
      <c r="B5038" s="0" t="inlineStr">
        <is>
          <t>Token Creature — Wall</t>
        </is>
      </c>
      <c r="C5038" s="0" t="inlineStr">
        <is>
          <t>Common / Comum</t>
        </is>
      </c>
      <c r="D5038" s="0" t="inlineStr">
        <is>
          <t>Defender</t>
        </is>
      </c>
      <c r="E5038" s="0" t="inlineStr"/>
      <c r="F5038" s="0" t="inlineStr">
        <is>
          <t>Branco</t>
        </is>
      </c>
      <c r="G5038" s="0" t="inlineStr"/>
      <c r="H5038" s="0" t="inlineStr">
        <is>
          <t>War of the Spark Tokens (TWAR)</t>
        </is>
      </c>
      <c r="I5038" s="0" t="inlineStr">
        <is>
          <t>Não</t>
        </is>
      </c>
      <c r="J5038" s="0" t="inlineStr">
        <is>
          <t>2019</t>
        </is>
      </c>
      <c r="K5038" s="0" t="inlineStr">
        <is>
          <t>0/3</t>
        </is>
      </c>
      <c r="L5038" s="0" t="inlineStr">
        <is>
          <t>1</t>
        </is>
      </c>
    </row>
    <row r="5039">
      <c r="A5039" s="0" t="inlineStr">
        <is>
          <t>D'Avenant Archer / Arqueiro DíAvenant</t>
        </is>
      </c>
      <c r="B5039" s="0" t="inlineStr">
        <is>
          <t>Creature — Human Soldier Archer</t>
        </is>
      </c>
      <c r="C5039" s="0" t="inlineStr">
        <is>
          <t>Common / Comum</t>
        </is>
      </c>
      <c r="D5039" s="0" t="inlineStr">
        <is>
          <t>{T}: This creature deals 1 damage to target attacking or blocking creature.</t>
        </is>
      </c>
      <c r="E5039" s="0" t="inlineStr">
        <is>
          <t>{2}{W}</t>
        </is>
      </c>
      <c r="F5039" s="0" t="inlineStr">
        <is>
          <t>Branco</t>
        </is>
      </c>
      <c r="G5039" s="0" t="inlineStr"/>
      <c r="H5039" s="0" t="inlineStr">
        <is>
          <t>Chronicles (CHR)</t>
        </is>
      </c>
      <c r="I5039" s="0" t="inlineStr">
        <is>
          <t>Não</t>
        </is>
      </c>
      <c r="J5039" s="0" t="inlineStr">
        <is>
          <t>1995</t>
        </is>
      </c>
      <c r="K5039" s="0" t="inlineStr">
        <is>
          <t>1/2</t>
        </is>
      </c>
      <c r="L5039" s="0" t="inlineStr">
        <is>
          <t>1</t>
        </is>
      </c>
    </row>
    <row r="5040">
      <c r="A5040" s="0" t="inlineStr">
        <is>
          <t>Veteran Bodyguard</t>
        </is>
      </c>
      <c r="B5040" s="0" t="inlineStr">
        <is>
          <t>Creature — Human</t>
        </is>
      </c>
      <c r="C5040" s="0" t="inlineStr">
        <is>
          <t>Rare / Rara</t>
        </is>
      </c>
      <c r="D5040" s="0" t="inlineStr">
        <is>
          <t>As long as this creature is untapped, all damage that would be dealt to you by unblocked creatures is dealt to this creature instead.</t>
        </is>
      </c>
      <c r="E5040" s="0" t="inlineStr">
        <is>
          <t>{3}{W}{W}</t>
        </is>
      </c>
      <c r="F5040" s="0" t="inlineStr">
        <is>
          <t>Branco</t>
        </is>
      </c>
      <c r="G5040" s="0" t="inlineStr"/>
      <c r="H5040" s="0" t="inlineStr">
        <is>
          <t>Limited Edition Alpha (LEA)</t>
        </is>
      </c>
      <c r="I5040" s="0" t="inlineStr">
        <is>
          <t>Não</t>
        </is>
      </c>
      <c r="J5040" s="0" t="inlineStr">
        <is>
          <t>1993</t>
        </is>
      </c>
      <c r="K5040" s="0" t="inlineStr">
        <is>
          <t>2/5</t>
        </is>
      </c>
      <c r="L5040" s="0" t="inlineStr">
        <is>
          <t>1</t>
        </is>
      </c>
    </row>
    <row r="5041">
      <c r="A5041" s="0" t="inlineStr">
        <is>
          <t>Mesa Pegasus / Pégasso de Meseta</t>
        </is>
      </c>
      <c r="B5041" s="0" t="inlineStr">
        <is>
          <t>Creature — Pegasus</t>
        </is>
      </c>
      <c r="C5041" s="0" t="inlineStr">
        <is>
          <t>Common / Comum</t>
        </is>
      </c>
      <c r="D5041" s="0" t="inlineStr">
        <is>
          <t>Flying; 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5041" s="0" t="inlineStr">
        <is>
          <t>{1}{W}</t>
        </is>
      </c>
      <c r="F5041" s="0" t="inlineStr">
        <is>
          <t>Branco</t>
        </is>
      </c>
      <c r="G5041" s="0" t="inlineStr"/>
      <c r="H5041" s="0" t="inlineStr">
        <is>
          <t>Fourth Edition (4ED)</t>
        </is>
      </c>
      <c r="I5041" s="0" t="inlineStr">
        <is>
          <t>Não</t>
        </is>
      </c>
      <c r="J5041" s="0" t="inlineStr">
        <is>
          <t>1995</t>
        </is>
      </c>
      <c r="K5041" s="0" t="inlineStr">
        <is>
          <t>1/1</t>
        </is>
      </c>
      <c r="L5041" s="0" t="inlineStr">
        <is>
          <t>1</t>
        </is>
      </c>
    </row>
    <row r="5042">
      <c r="A5042" s="0" t="inlineStr">
        <is>
          <t>White Knight / Cavaleiro Branco</t>
        </is>
      </c>
      <c r="B5042" s="0" t="inlineStr">
        <is>
          <t>Creature — Human Knight / Criatura — Humano Cavaleiro</t>
        </is>
      </c>
      <c r="C5042" s="0" t="inlineStr">
        <is>
          <t>Uncommon / Incomum</t>
        </is>
      </c>
      <c r="D5042" s="0" t="inlineStr">
        <is>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is>
      </c>
      <c r="E5042" s="0" t="inlineStr">
        <is>
          <t>{W}{W}</t>
        </is>
      </c>
      <c r="F5042" s="0" t="inlineStr">
        <is>
          <t>Branco</t>
        </is>
      </c>
      <c r="G5042" s="0" t="inlineStr"/>
      <c r="H5042" s="0" t="inlineStr">
        <is>
          <t>Fourth Edition (4ED)</t>
        </is>
      </c>
      <c r="I5042" s="0" t="inlineStr">
        <is>
          <t>Não</t>
        </is>
      </c>
      <c r="J5042" s="0" t="inlineStr">
        <is>
          <t>1995</t>
        </is>
      </c>
      <c r="K5042" s="0" t="inlineStr">
        <is>
          <t>2/2</t>
        </is>
      </c>
      <c r="L5042" s="0" t="inlineStr">
        <is>
          <t>1</t>
        </is>
      </c>
    </row>
    <row r="5043">
      <c r="A5043" s="0" t="inlineStr">
        <is>
          <t>Serra</t>
        </is>
      </c>
      <c r="B5043" s="0" t="inlineStr">
        <is>
          <t>Vanguard</t>
        </is>
      </c>
      <c r="C5043" s="0" t="inlineStr">
        <is>
          <t>Rare / Rara</t>
        </is>
      </c>
      <c r="D5043" s="0" t="inlineStr">
        <is>
          <t>Creatures you control get +0/+2.</t>
        </is>
      </c>
      <c r="E5043" s="0" t="inlineStr"/>
      <c r="F5043" s="0" t="inlineStr">
        <is>
          <t>Incolor</t>
        </is>
      </c>
      <c r="G5043" s="0" t="inlineStr"/>
      <c r="H5043" s="0" t="inlineStr">
        <is>
          <t>Vanguard Series (PVAN)</t>
        </is>
      </c>
      <c r="I5043" s="0" t="inlineStr">
        <is>
          <t>Não</t>
        </is>
      </c>
      <c r="J5043" s="0" t="inlineStr">
        <is>
          <t>1997</t>
        </is>
      </c>
      <c r="K5043" s="0" t="inlineStr"/>
      <c r="L5043" s="0" t="inlineStr">
        <is>
          <t>1</t>
        </is>
      </c>
    </row>
    <row r="5044">
      <c r="A5044" s="0" t="inlineStr">
        <is>
          <t>Circle of Protection: Blue / Círculo de Proteção: Azul</t>
        </is>
      </c>
      <c r="B5044" s="0" t="inlineStr">
        <is>
          <t>Enchantment / Encantamento</t>
        </is>
      </c>
      <c r="C5044" s="0" t="inlineStr">
        <is>
          <t>Common / Comum</t>
        </is>
      </c>
      <c r="D5044" s="0" t="inlineStr">
        <is>
          <t>{1}: The next time a blue source of your choice would deal damage to you this turn, prevent that damage. / {1}: Na próxima vez em que uma fonte azul a sua escolha lhe fosse causar dano neste turno, previna aquele dano.</t>
        </is>
      </c>
      <c r="E5044" s="0" t="inlineStr">
        <is>
          <t>{1}{W}</t>
        </is>
      </c>
      <c r="F5044" s="0" t="inlineStr">
        <is>
          <t>Branco</t>
        </is>
      </c>
      <c r="G5044" s="0" t="inlineStr"/>
      <c r="H5044" s="0" t="inlineStr">
        <is>
          <t>Seventh Edition (7ED)</t>
        </is>
      </c>
      <c r="I5044" s="0" t="inlineStr">
        <is>
          <t>Não</t>
        </is>
      </c>
      <c r="J5044" s="0" t="inlineStr">
        <is>
          <t>2001</t>
        </is>
      </c>
      <c r="K5044" s="0" t="inlineStr"/>
      <c r="L5044" s="0" t="inlineStr">
        <is>
          <t>1</t>
        </is>
      </c>
    </row>
    <row r="5045">
      <c r="A5045" s="0" t="inlineStr">
        <is>
          <t>Circle of Protection: White / Círculo de Proteção: Branco</t>
        </is>
      </c>
      <c r="B5045" s="0" t="inlineStr">
        <is>
          <t>Enchantment / Encantamento</t>
        </is>
      </c>
      <c r="C5045" s="0" t="inlineStr">
        <is>
          <t>Common / Comum</t>
        </is>
      </c>
      <c r="D5045" s="0" t="inlineStr">
        <is>
          <t>{1}: The next time a white source of your choice would deal damage to you this turn, prevent that damage. / {1}: Na próxima vez em que uma fonte branca a sua escolha lhe fosse causar dano neste turno, previna aquele dano.</t>
        </is>
      </c>
      <c r="E5045" s="0" t="inlineStr">
        <is>
          <t>{1}{W}</t>
        </is>
      </c>
      <c r="F5045" s="0" t="inlineStr">
        <is>
          <t>Branco</t>
        </is>
      </c>
      <c r="G5045" s="0" t="inlineStr"/>
      <c r="H5045" s="0" t="inlineStr">
        <is>
          <t>Limited Edition Alpha (LEA)</t>
        </is>
      </c>
      <c r="I5045" s="0" t="inlineStr">
        <is>
          <t>Não</t>
        </is>
      </c>
      <c r="J5045" s="0" t="inlineStr">
        <is>
          <t>1993</t>
        </is>
      </c>
      <c r="K5045" s="0" t="inlineStr"/>
      <c r="L5045" s="0" t="inlineStr">
        <is>
          <t>1</t>
        </is>
      </c>
    </row>
    <row r="5046">
      <c r="A5046" s="0" t="inlineStr">
        <is>
          <t>Personal Incarnation / Encarnação Pessoal</t>
        </is>
      </c>
      <c r="B5046" s="0" t="inlineStr">
        <is>
          <t>Creature — Avatar Incarnation</t>
        </is>
      </c>
      <c r="C5046" s="0" t="inlineStr">
        <is>
          <t>Rare / Rara</t>
        </is>
      </c>
      <c r="D5046" s="0" t="inlineStr">
        <is>
          <t>{0}: The next 1 damage that would be dealt to this creature this turn is dealt to its owner instead. Only this creatures owner may activate this ability. When this creature dies, its owner loses half their life, rounded up.</t>
        </is>
      </c>
      <c r="E5046" s="0" t="inlineStr">
        <is>
          <t>{3}{W}{W}{W}</t>
        </is>
      </c>
      <c r="F5046" s="0" t="inlineStr">
        <is>
          <t>Branco</t>
        </is>
      </c>
      <c r="G5046" s="0" t="inlineStr"/>
      <c r="H5046" s="0" t="inlineStr">
        <is>
          <t>Limited Edition Alpha (LEA)</t>
        </is>
      </c>
      <c r="I5046" s="0" t="inlineStr">
        <is>
          <t>Não</t>
        </is>
      </c>
      <c r="J5046" s="0" t="inlineStr">
        <is>
          <t>1993</t>
        </is>
      </c>
      <c r="K5046" s="0" t="inlineStr">
        <is>
          <t>6/6</t>
        </is>
      </c>
      <c r="L5046" s="0" t="inlineStr">
        <is>
          <t>1</t>
        </is>
      </c>
    </row>
    <row r="5047">
      <c r="A5047" s="0" t="inlineStr">
        <is>
          <t>Lance</t>
        </is>
      </c>
      <c r="B5047" s="0" t="inlineStr">
        <is>
          <t>Enchantment — Aura</t>
        </is>
      </c>
      <c r="C5047" s="0" t="inlineStr">
        <is>
          <t>Uncommon / Incomum</t>
        </is>
      </c>
      <c r="D5047" s="0" t="inlineStr">
        <is>
          <t>Enchant creature Enchanted creature has first strike.</t>
        </is>
      </c>
      <c r="E5047" s="0" t="inlineStr">
        <is>
          <t>{W}</t>
        </is>
      </c>
      <c r="F5047" s="0" t="inlineStr">
        <is>
          <t>Branco</t>
        </is>
      </c>
      <c r="G5047" s="0" t="inlineStr"/>
      <c r="H5047" s="0" t="inlineStr">
        <is>
          <t>Limited Edition Alpha (LEA)</t>
        </is>
      </c>
      <c r="I5047" s="0" t="inlineStr">
        <is>
          <t>Não</t>
        </is>
      </c>
      <c r="J5047" s="0" t="inlineStr">
        <is>
          <t>1993</t>
        </is>
      </c>
      <c r="K5047" s="0" t="inlineStr"/>
      <c r="L5047" s="0" t="inlineStr">
        <is>
          <t>1</t>
        </is>
      </c>
    </row>
    <row r="5048">
      <c r="A5048" s="0" t="inlineStr">
        <is>
          <t>Blue Ward / Defesa Azul</t>
        </is>
      </c>
      <c r="B5048" s="0" t="inlineStr">
        <is>
          <t>Enchantment — Aura</t>
        </is>
      </c>
      <c r="C5048" s="0" t="inlineStr">
        <is>
          <t>Uncommon / Incomum</t>
        </is>
      </c>
      <c r="D5048" s="0" t="inlineStr">
        <is>
          <t>Enchant creature Enchanted creature has protection from blue. This effect doesn't remove this Aura.</t>
        </is>
      </c>
      <c r="E5048" s="0" t="inlineStr">
        <is>
          <t>{W}</t>
        </is>
      </c>
      <c r="F5048" s="0" t="inlineStr">
        <is>
          <t>Branco</t>
        </is>
      </c>
      <c r="G5048" s="0" t="inlineStr"/>
      <c r="H5048" s="0" t="inlineStr">
        <is>
          <t>Limited Edition Alpha (LEA)</t>
        </is>
      </c>
      <c r="I5048" s="0" t="inlineStr">
        <is>
          <t>Não</t>
        </is>
      </c>
      <c r="J5048" s="0" t="inlineStr">
        <is>
          <t>1993</t>
        </is>
      </c>
      <c r="K5048" s="0" t="inlineStr"/>
      <c r="L5048" s="0" t="inlineStr">
        <is>
          <t>1</t>
        </is>
      </c>
    </row>
    <row r="5049">
      <c r="A5049" s="0" t="inlineStr">
        <is>
          <t>Guardian Angel</t>
        </is>
      </c>
      <c r="B5049" s="0" t="inlineStr">
        <is>
          <t>Instant</t>
        </is>
      </c>
      <c r="C5049" s="0" t="inlineStr">
        <is>
          <t>Common / Comum</t>
        </is>
      </c>
      <c r="D5049" s="0" t="inlineStr">
        <is>
          <t>Prevent the next X damage that would be dealt to any target this turn. Until end of turn, you may pay {1} any time you could cast an instant. If you do, prevent the next 1 damage that would be dealt to that permanent or player this turn.</t>
        </is>
      </c>
      <c r="E5049" s="0" t="inlineStr">
        <is>
          <t>{X}{W}</t>
        </is>
      </c>
      <c r="F5049" s="0" t="inlineStr">
        <is>
          <t>Branco</t>
        </is>
      </c>
      <c r="G5049" s="0" t="inlineStr"/>
      <c r="H5049" s="0" t="inlineStr">
        <is>
          <t>Limited Edition Alpha (LEA)</t>
        </is>
      </c>
      <c r="I5049" s="0" t="inlineStr">
        <is>
          <t>Não</t>
        </is>
      </c>
      <c r="J5049" s="0" t="inlineStr">
        <is>
          <t>1993</t>
        </is>
      </c>
      <c r="K5049" s="0" t="inlineStr"/>
      <c r="L5049" s="0" t="inlineStr">
        <is>
          <t>1</t>
        </is>
      </c>
    </row>
    <row r="5050">
      <c r="A5050" s="0" t="inlineStr">
        <is>
          <t>Castle / Castelo</t>
        </is>
      </c>
      <c r="B5050" s="0" t="inlineStr">
        <is>
          <t>Enchantment</t>
        </is>
      </c>
      <c r="C5050" s="0" t="inlineStr">
        <is>
          <t>Uncommon / Incomum</t>
        </is>
      </c>
      <c r="D5050" s="0" t="inlineStr">
        <is>
          <t>Untapped creatures you control get +0/+2.</t>
        </is>
      </c>
      <c r="E5050" s="0" t="inlineStr">
        <is>
          <t>{3}{W}</t>
        </is>
      </c>
      <c r="F5050" s="0" t="inlineStr">
        <is>
          <t>Branco</t>
        </is>
      </c>
      <c r="G5050" s="0" t="inlineStr"/>
      <c r="H5050" s="0" t="inlineStr">
        <is>
          <t>Limited Edition Alpha (LEA)</t>
        </is>
      </c>
      <c r="I5050" s="0" t="inlineStr">
        <is>
          <t>Não</t>
        </is>
      </c>
      <c r="J5050" s="0" t="inlineStr">
        <is>
          <t>1993</t>
        </is>
      </c>
      <c r="K5050" s="0" t="inlineStr"/>
      <c r="L5050" s="0" t="inlineStr">
        <is>
          <t>1</t>
        </is>
      </c>
    </row>
    <row r="5051">
      <c r="A5051" s="0" t="inlineStr">
        <is>
          <t>Holy Strength / Força Divina</t>
        </is>
      </c>
      <c r="B5051" s="0" t="inlineStr">
        <is>
          <t>Enchantment — Aura / Encantamento — Aura</t>
        </is>
      </c>
      <c r="C5051" s="0" t="inlineStr">
        <is>
          <t>Common / Comum</t>
        </is>
      </c>
      <c r="D5051" s="0" t="inlineStr">
        <is>
          <t>Enchant creature Enchanted creature gets +1/+2. / Encantar criatura A criatura encantada recebe +1/+2.</t>
        </is>
      </c>
      <c r="E5051" s="0" t="inlineStr">
        <is>
          <t>{W}</t>
        </is>
      </c>
      <c r="F5051" s="0" t="inlineStr">
        <is>
          <t>Branco</t>
        </is>
      </c>
      <c r="G5051" s="0" t="inlineStr"/>
      <c r="H5051" s="0" t="inlineStr">
        <is>
          <t>Limited Edition Alpha (LEA)</t>
        </is>
      </c>
      <c r="I5051" s="0" t="inlineStr">
        <is>
          <t>Não</t>
        </is>
      </c>
      <c r="J5051" s="0" t="inlineStr">
        <is>
          <t>1993</t>
        </is>
      </c>
      <c r="K5051" s="0" t="inlineStr"/>
      <c r="L5051" s="0" t="inlineStr">
        <is>
          <t>1</t>
        </is>
      </c>
    </row>
    <row r="5052">
      <c r="A5052" s="0" t="inlineStr">
        <is>
          <t>Holy Armor / Armadura Divina</t>
        </is>
      </c>
      <c r="B5052" s="0" t="inlineStr">
        <is>
          <t>Enchantment — Aura</t>
        </is>
      </c>
      <c r="C5052" s="0" t="inlineStr">
        <is>
          <t>Common / Comum</t>
        </is>
      </c>
      <c r="D5052" s="0" t="inlineStr">
        <is>
          <t>Enchant creature Enchanted creature gets +0/+2. {W}: Enchanted creature gets +0/+1 until end of turn.</t>
        </is>
      </c>
      <c r="E5052" s="0" t="inlineStr">
        <is>
          <t>{W}</t>
        </is>
      </c>
      <c r="F5052" s="0" t="inlineStr">
        <is>
          <t>Branco</t>
        </is>
      </c>
      <c r="G5052" s="0" t="inlineStr"/>
      <c r="H5052" s="0" t="inlineStr">
        <is>
          <t>Limited Edition Alpha (LEA)</t>
        </is>
      </c>
      <c r="I5052" s="0" t="inlineStr">
        <is>
          <t>Não</t>
        </is>
      </c>
      <c r="J5052" s="0" t="inlineStr">
        <is>
          <t>1993</t>
        </is>
      </c>
      <c r="K5052" s="0" t="inlineStr"/>
      <c r="L5052" s="0" t="inlineStr">
        <is>
          <t>1</t>
        </is>
      </c>
    </row>
    <row r="5053">
      <c r="A5053" s="0" t="inlineStr">
        <is>
          <t>Indestructible Aura</t>
        </is>
      </c>
      <c r="B5053" s="0" t="inlineStr">
        <is>
          <t>Instant</t>
        </is>
      </c>
      <c r="C5053" s="0" t="inlineStr">
        <is>
          <t>Common / Comum</t>
        </is>
      </c>
      <c r="D5053" s="0" t="inlineStr">
        <is>
          <t>Prevent all damage that would be dealt to target creature this turn.</t>
        </is>
      </c>
      <c r="E5053" s="0" t="inlineStr">
        <is>
          <t>{W}</t>
        </is>
      </c>
      <c r="F5053" s="0" t="inlineStr">
        <is>
          <t>Branco</t>
        </is>
      </c>
      <c r="G5053" s="0" t="inlineStr"/>
      <c r="H5053" s="0" t="inlineStr">
        <is>
          <t>Chronicles (CHR)</t>
        </is>
      </c>
      <c r="I5053" s="0" t="inlineStr">
        <is>
          <t>Não</t>
        </is>
      </c>
      <c r="J5053" s="0" t="inlineStr">
        <is>
          <t>1995</t>
        </is>
      </c>
      <c r="K5053" s="0" t="inlineStr"/>
      <c r="L5053" s="0" t="inlineStr">
        <is>
          <t>1</t>
        </is>
      </c>
    </row>
    <row r="5054">
      <c r="A5054" s="0" t="inlineStr">
        <is>
          <t>Purelace / Enlace de Pureza</t>
        </is>
      </c>
      <c r="B5054" s="0" t="inlineStr">
        <is>
          <t>Instant</t>
        </is>
      </c>
      <c r="C5054" s="0" t="inlineStr">
        <is>
          <t>Rare / Rara</t>
        </is>
      </c>
      <c r="D5054" s="0" t="inlineStr">
        <is>
          <t>Target spell or permanent becomes white. (Mana symbols on that permanent remain unchanged.)</t>
        </is>
      </c>
      <c r="E5054" s="0" t="inlineStr">
        <is>
          <t>{W}</t>
        </is>
      </c>
      <c r="F5054" s="0" t="inlineStr">
        <is>
          <t>Branco</t>
        </is>
      </c>
      <c r="G5054" s="0" t="inlineStr"/>
      <c r="H5054" s="0" t="inlineStr">
        <is>
          <t>Limited Edition Alpha (LEA)</t>
        </is>
      </c>
      <c r="I5054" s="0" t="inlineStr">
        <is>
          <t>Não</t>
        </is>
      </c>
      <c r="J5054" s="0" t="inlineStr">
        <is>
          <t>1993</t>
        </is>
      </c>
      <c r="K5054" s="0" t="inlineStr"/>
      <c r="L5054" s="0" t="inlineStr">
        <is>
          <t>1</t>
        </is>
      </c>
    </row>
    <row r="5055">
      <c r="A5055" s="0" t="inlineStr">
        <is>
          <t>Wall of Resistance / Barreira de Resistência</t>
        </is>
      </c>
      <c r="B5055" s="0" t="inlineStr">
        <is>
          <t>Creature — Wall</t>
        </is>
      </c>
      <c r="C5055" s="0" t="inlineStr">
        <is>
          <t>Common / Comum</t>
        </is>
      </c>
      <c r="D5055" s="0" t="inlineStr">
        <is>
          <t>Defender (This creature can't attack.) Flying At the beginning of each end step, if this creature was dealt damage this turn, put a +0/+1 counter on it.</t>
        </is>
      </c>
      <c r="E5055" s="0" t="inlineStr">
        <is>
          <t>{1}{W}</t>
        </is>
      </c>
      <c r="F5055" s="0" t="inlineStr">
        <is>
          <t>Branco</t>
        </is>
      </c>
      <c r="G5055" s="0" t="inlineStr"/>
      <c r="H5055" s="0" t="inlineStr">
        <is>
          <t>Mirage (MIR)</t>
        </is>
      </c>
      <c r="I5055" s="0" t="inlineStr">
        <is>
          <t>Não</t>
        </is>
      </c>
      <c r="J5055" s="0" t="inlineStr">
        <is>
          <t>1996</t>
        </is>
      </c>
      <c r="K5055" s="0" t="inlineStr">
        <is>
          <t>0/3</t>
        </is>
      </c>
      <c r="L5055" s="0" t="inlineStr">
        <is>
          <t>1</t>
        </is>
      </c>
    </row>
    <row r="5056">
      <c r="A5056" s="0" t="inlineStr">
        <is>
          <t>Get Lost / Perder-se</t>
        </is>
      </c>
      <c r="B5056" s="0" t="inlineStr">
        <is>
          <t>Instant / Mágica Instantânea</t>
        </is>
      </c>
      <c r="C5056" s="0" t="inlineStr">
        <is>
          <t>Rare / Rara</t>
        </is>
      </c>
      <c r="D5056" s="0" t="inlineStr">
        <is>
          <t>Destroy target creature, enchantment, or planeswalker. Its controller creates two Map tokens. (They're artifacts with "{1}, {T}, Sacrifice this token: Target creature you control explores. Activate only as a sorcery.") / Destrua a criatura, o encantamento ou o planeswalker alvo. O controlador dela cria duas fichas de Mapa. (Elas são artefatos com "{1}, {T}, sacrifique este artefato: A criatura alvo que você controla explora. Ative somente como um feitiço".)</t>
        </is>
      </c>
      <c r="E5056" s="0" t="inlineStr">
        <is>
          <t>{1}{W}</t>
        </is>
      </c>
      <c r="F5056" s="0" t="inlineStr">
        <is>
          <t>Branco</t>
        </is>
      </c>
      <c r="G5056" s="0" t="inlineStr"/>
      <c r="H5056" s="0" t="inlineStr">
        <is>
          <t>The Lost Caverns of Ixalan Promos (PLCI)</t>
        </is>
      </c>
      <c r="I5056" s="0" t="inlineStr">
        <is>
          <t>Não</t>
        </is>
      </c>
      <c r="J5056" s="0" t="inlineStr">
        <is>
          <t>2023</t>
        </is>
      </c>
      <c r="K5056" s="0" t="inlineStr"/>
      <c r="L5056" s="0" t="inlineStr">
        <is>
          <t>1</t>
        </is>
      </c>
    </row>
    <row r="5057">
      <c r="A5057" s="0" t="inlineStr">
        <is>
          <t>Femeref Knight / Cavaleiro de Femeref</t>
        </is>
      </c>
      <c r="B5057" s="0" t="inlineStr">
        <is>
          <t>Creature — Human Knight</t>
        </is>
      </c>
      <c r="C5057" s="0" t="inlineStr">
        <is>
          <t>Common / Comum</t>
        </is>
      </c>
      <c r="D5057" s="0" t="inlineStr">
        <is>
          <t>Flanking (Whenever a creature without flanking blocks this creature, the blocking creature gets -1/-1 until end of turn.) {W}: This creature gains vigilance until end of turn.</t>
        </is>
      </c>
      <c r="E5057" s="0" t="inlineStr">
        <is>
          <t>{2}{W}</t>
        </is>
      </c>
      <c r="F5057" s="0" t="inlineStr">
        <is>
          <t>Branco</t>
        </is>
      </c>
      <c r="G5057" s="0" t="inlineStr"/>
      <c r="H5057" s="0" t="inlineStr">
        <is>
          <t>Mirage (MIR)</t>
        </is>
      </c>
      <c r="I5057" s="0" t="inlineStr">
        <is>
          <t>Não</t>
        </is>
      </c>
      <c r="J5057" s="0" t="inlineStr">
        <is>
          <t>1996</t>
        </is>
      </c>
      <c r="K5057" s="0" t="inlineStr">
        <is>
          <t>2/2</t>
        </is>
      </c>
      <c r="L5057" s="0" t="inlineStr">
        <is>
          <t>1</t>
        </is>
      </c>
    </row>
    <row r="5058">
      <c r="A5058" s="0" t="inlineStr">
        <is>
          <t>Ivory Charm / Medalhão de Marfim</t>
        </is>
      </c>
      <c r="B5058" s="0" t="inlineStr">
        <is>
          <t>Instant</t>
        </is>
      </c>
      <c r="C5058" s="0" t="inlineStr">
        <is>
          <t>Common / Comum</t>
        </is>
      </c>
      <c r="D5058" s="0" t="inlineStr">
        <is>
          <t>Choose one — • All creatures get -2/-0 until end of turn. • Tap target creature. • Prevent the next 1 damage that would be dealt to any target this turn.</t>
        </is>
      </c>
      <c r="E5058" s="0" t="inlineStr">
        <is>
          <t>{W}</t>
        </is>
      </c>
      <c r="F5058" s="0" t="inlineStr">
        <is>
          <t>Branco</t>
        </is>
      </c>
      <c r="G5058" s="0" t="inlineStr"/>
      <c r="H5058" s="0" t="inlineStr">
        <is>
          <t>Mirage (MIR)</t>
        </is>
      </c>
      <c r="I5058" s="0" t="inlineStr">
        <is>
          <t>Não</t>
        </is>
      </c>
      <c r="J5058" s="0" t="inlineStr">
        <is>
          <t>1996</t>
        </is>
      </c>
      <c r="K5058" s="0" t="inlineStr"/>
      <c r="L5058" s="0" t="inlineStr">
        <is>
          <t>1</t>
        </is>
      </c>
    </row>
    <row r="5059">
      <c r="A5059" s="0" t="inlineStr">
        <is>
          <t>Illusion // Reality / Ilusão // Realidade</t>
        </is>
      </c>
      <c r="B5059" s="0" t="inlineStr">
        <is>
          <t>Instant // Instant</t>
        </is>
      </c>
      <c r="C5059" s="0" t="inlineStr">
        <is>
          <t>Uncommon / Incomum</t>
        </is>
      </c>
      <c r="D5059" s="0" t="inlineStr">
        <is>
          <t>Illusion: Target spell or permanent becomes the color of your choice until end of turn. // Reality: Destroy target artifact.</t>
        </is>
      </c>
      <c r="E5059" s="0" t="inlineStr">
        <is>
          <t>{U} // {2}{G}</t>
        </is>
      </c>
      <c r="F5059" s="0" t="inlineStr">
        <is>
          <t>Verde, Azul</t>
        </is>
      </c>
      <c r="G5059" s="0" t="inlineStr"/>
      <c r="H5059" s="0" t="inlineStr">
        <is>
          <t>Apocalypse (APC)</t>
        </is>
      </c>
      <c r="I5059" s="0" t="inlineStr">
        <is>
          <t>Não</t>
        </is>
      </c>
      <c r="J5059" s="0" t="inlineStr">
        <is>
          <t>2001</t>
        </is>
      </c>
      <c r="K5059" s="0" t="inlineStr"/>
      <c r="L5059" s="0" t="inlineStr">
        <is>
          <t>1</t>
        </is>
      </c>
    </row>
    <row r="5060">
      <c r="A5060" t="inlineStr">
        <is>
          <t>Web / Teia</t>
        </is>
      </c>
      <c r="B5060" t="inlineStr">
        <is>
          <t>Enchantment — Aura / Encantamento — Aura</t>
        </is>
      </c>
      <c r="C5060" t="inlineStr">
        <is>
          <t>Rare / Rara</t>
        </is>
      </c>
      <c r="D5060" t="inlineStr">
        <is>
          <t>Enchant creature (Target a creature as you cast this. This card enters attached to that creature.) Enchanted creature gets +0/+2 and has reach. (It can block creatures with flying.) / Encantar criatura (Vise uma criatura conforme jogar este card. Este card entra em jogo anexado àquela criatura.) A criatura encantada recebe +0/+2 e pode bloquear como se tivesse a habilidade de voar.</t>
        </is>
      </c>
      <c r="E5060" t="inlineStr">
        <is>
          <t>{G}</t>
        </is>
      </c>
      <c r="F5060" t="inlineStr">
        <is>
          <t>Verde</t>
        </is>
      </c>
      <c r="G5060" t="inlineStr"/>
      <c r="H5060" t="inlineStr">
        <is>
          <t>Fourth Edition (4ED)</t>
        </is>
      </c>
      <c r="I5060" t="inlineStr">
        <is>
          <t>Não</t>
        </is>
      </c>
      <c r="J5060" t="inlineStr">
        <is>
          <t>1995</t>
        </is>
      </c>
      <c r="K5060" t="inlineStr"/>
      <c r="L5060"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1000"/>
  <sheetViews>
    <sheetView workbookViewId="0">
      <selection activeCell="A1" sqref="A1"/>
    </sheetView>
  </sheetViews>
  <sheetFormatPr baseColWidth="8" defaultColWidth="12.63" defaultRowHeight="15.75" customHeight="1"/>
  <cols>
    <col width="12.25" customWidth="1" style="20" min="1" max="1"/>
    <col width="5.13" customWidth="1" style="20" min="2" max="2"/>
    <col width="6.13" customWidth="1" style="20" min="3" max="3"/>
    <col width="5.88" customWidth="1" style="20" min="4" max="4"/>
    <col width="5.13" customWidth="1" style="20" min="5" max="6"/>
    <col width="4.25" customWidth="1" style="20" min="7" max="8"/>
    <col width="8.75" customWidth="1" style="20" min="9" max="9"/>
  </cols>
  <sheetData>
    <row r="1">
      <c r="A1" s="13" t="inlineStr">
        <is>
          <t>Bulk old frame</t>
        </is>
      </c>
      <c r="B1" s="13" t="n">
        <v>95.06</v>
      </c>
      <c r="C1" s="13">
        <f>161.28+0.08+0.17</f>
        <v/>
      </c>
      <c r="D1" s="13" t="n">
        <v>111.07</v>
      </c>
      <c r="E1" s="13" t="n">
        <v>22.35</v>
      </c>
      <c r="F1" s="13" t="n">
        <v>54.76</v>
      </c>
      <c r="G1" s="13" t="n">
        <v>4.23</v>
      </c>
      <c r="H1" s="13" t="n">
        <v>6.44</v>
      </c>
      <c r="I1" s="3">
        <f>sum(B1:H1)</f>
        <v/>
      </c>
    </row>
    <row r="2">
      <c r="A2" s="13" t="inlineStr">
        <is>
          <t>Bulk Vitor RJ</t>
        </is>
      </c>
      <c r="B2" s="13">
        <f>39.93-0.5</f>
        <v/>
      </c>
      <c r="C2" s="13" t="n">
        <v>8.35</v>
      </c>
      <c r="D2" s="13">
        <f>111.46+0.05+0.05+0.04</f>
        <v/>
      </c>
      <c r="E2" s="13">
        <f>69.26+0.15+0.12+0.05+0.1+0.04+0.09+0.14</f>
        <v/>
      </c>
      <c r="F2" s="13" t="n">
        <v>58</v>
      </c>
      <c r="I2" s="3">
        <f>sum(B2:H2)</f>
        <v/>
      </c>
    </row>
    <row r="3">
      <c r="A3" s="13" t="inlineStr">
        <is>
          <t>Bulk Leticia SC</t>
        </is>
      </c>
      <c r="B3" s="13" t="n">
        <v>0.5</v>
      </c>
      <c r="C3" s="13">
        <f>6.81-0.15</f>
        <v/>
      </c>
      <c r="D3" s="13" t="n">
        <v>34.86</v>
      </c>
      <c r="E3" s="13" t="n">
        <v>13.11</v>
      </c>
      <c r="I3" s="3">
        <f>sum(B3:H3)</f>
        <v/>
      </c>
    </row>
    <row r="4">
      <c r="A4" s="13" t="inlineStr">
        <is>
          <t>Bulk Sol</t>
        </is>
      </c>
      <c r="B4" s="13" t="n">
        <v>5.36</v>
      </c>
      <c r="I4" s="3">
        <f>sum(B4:H4)</f>
        <v/>
      </c>
    </row>
    <row r="5">
      <c r="A5" s="13" t="inlineStr">
        <is>
          <t>Bulk Tiago SC</t>
        </is>
      </c>
      <c r="B5" s="13" t="n">
        <v>5.32</v>
      </c>
      <c r="I5" s="3">
        <f>sum(B5:H5)</f>
        <v/>
      </c>
    </row>
    <row r="6">
      <c r="A6" s="13" t="inlineStr">
        <is>
          <t>Bulk Sapucaia</t>
        </is>
      </c>
      <c r="B6" s="13" t="n">
        <v>168</v>
      </c>
      <c r="C6" s="13" t="n">
        <v>51</v>
      </c>
      <c r="I6" s="3">
        <f>sum(B6:H6)</f>
        <v/>
      </c>
    </row>
    <row r="7">
      <c r="I7" s="4" t="n"/>
    </row>
    <row r="8">
      <c r="I8" s="4" t="n"/>
    </row>
    <row r="9">
      <c r="I9" s="4" t="n"/>
    </row>
    <row r="10">
      <c r="I10" s="4" t="n"/>
    </row>
    <row r="11">
      <c r="I11" s="4" t="n"/>
    </row>
    <row r="12">
      <c r="I12" s="4" t="n"/>
    </row>
    <row r="13">
      <c r="I13" s="4" t="n"/>
    </row>
    <row r="14">
      <c r="I14" s="4" t="n"/>
    </row>
    <row r="15">
      <c r="I15" s="4" t="n"/>
    </row>
    <row r="16">
      <c r="I16" s="4" t="n"/>
    </row>
    <row r="17">
      <c r="I17" s="4" t="n"/>
    </row>
    <row r="18">
      <c r="I18" s="4" t="n"/>
    </row>
    <row r="19">
      <c r="I19" s="4" t="n"/>
    </row>
    <row r="20">
      <c r="I20" s="4" t="n"/>
    </row>
    <row r="21">
      <c r="I21" s="4" t="n"/>
    </row>
    <row r="22">
      <c r="I22" s="4" t="n"/>
    </row>
    <row r="23">
      <c r="I23" s="4" t="n"/>
    </row>
    <row r="24">
      <c r="I24" s="4" t="n"/>
    </row>
    <row r="25">
      <c r="I25" s="4" t="n"/>
    </row>
    <row r="26">
      <c r="I26" s="4" t="n"/>
    </row>
    <row r="27">
      <c r="I27" s="4" t="n"/>
    </row>
    <row r="28">
      <c r="I28" s="4" t="n"/>
    </row>
    <row r="29">
      <c r="I29" s="4" t="n"/>
    </row>
    <row r="30">
      <c r="I30" s="4" t="n"/>
    </row>
    <row r="31">
      <c r="I31" s="4" t="n"/>
    </row>
    <row r="32">
      <c r="I32" s="4" t="n"/>
    </row>
    <row r="33">
      <c r="I33" s="4" t="n"/>
    </row>
    <row r="34">
      <c r="I34" s="4" t="n"/>
    </row>
    <row r="35">
      <c r="I35" s="4" t="n"/>
    </row>
    <row r="36">
      <c r="I36" s="4" t="n"/>
    </row>
    <row r="37">
      <c r="I37" s="4" t="n"/>
    </row>
    <row r="38">
      <c r="I38" s="4" t="n"/>
    </row>
    <row r="39">
      <c r="I39" s="4" t="n"/>
    </row>
    <row r="40">
      <c r="I40" s="4" t="n"/>
    </row>
    <row r="41">
      <c r="I41" s="4" t="n"/>
    </row>
    <row r="42">
      <c r="I42" s="4" t="n"/>
    </row>
    <row r="43">
      <c r="I43" s="4" t="n"/>
    </row>
    <row r="44">
      <c r="I44" s="4" t="n"/>
    </row>
    <row r="45">
      <c r="I45" s="4" t="n"/>
    </row>
    <row r="46">
      <c r="I46" s="4" t="n"/>
    </row>
    <row r="47">
      <c r="I47" s="4" t="n"/>
    </row>
    <row r="48">
      <c r="I48" s="4" t="n"/>
    </row>
    <row r="49">
      <c r="I49" s="4" t="n"/>
    </row>
    <row r="50">
      <c r="I50" s="4" t="n"/>
    </row>
    <row r="51">
      <c r="I51" s="4" t="n"/>
    </row>
    <row r="52">
      <c r="I52" s="4" t="n"/>
    </row>
    <row r="53">
      <c r="I53" s="4" t="n"/>
    </row>
    <row r="54">
      <c r="I54" s="4" t="n"/>
    </row>
    <row r="55">
      <c r="I55" s="4" t="n"/>
    </row>
    <row r="56">
      <c r="I56" s="4" t="n"/>
    </row>
    <row r="57">
      <c r="I57" s="4" t="n"/>
    </row>
    <row r="58">
      <c r="I58" s="4" t="n"/>
    </row>
    <row r="59">
      <c r="I59" s="4" t="n"/>
    </row>
    <row r="60">
      <c r="I60" s="4" t="n"/>
    </row>
    <row r="61">
      <c r="I61" s="4" t="n"/>
    </row>
    <row r="62">
      <c r="I62" s="4" t="n"/>
    </row>
    <row r="63">
      <c r="I63" s="4" t="n"/>
    </row>
    <row r="64">
      <c r="I64" s="4" t="n"/>
    </row>
    <row r="65">
      <c r="I65" s="4" t="n"/>
    </row>
    <row r="66">
      <c r="I66" s="4" t="n"/>
    </row>
    <row r="67">
      <c r="I67" s="4" t="n"/>
    </row>
    <row r="68">
      <c r="I68" s="4" t="n"/>
    </row>
    <row r="69">
      <c r="I69" s="4" t="n"/>
    </row>
    <row r="70">
      <c r="I70" s="4" t="n"/>
    </row>
    <row r="71">
      <c r="I71" s="4" t="n"/>
    </row>
    <row r="72">
      <c r="I72" s="4" t="n"/>
    </row>
    <row r="73">
      <c r="I73" s="4" t="n"/>
    </row>
    <row r="74">
      <c r="I74" s="4" t="n"/>
    </row>
    <row r="75">
      <c r="I75" s="4" t="n"/>
    </row>
    <row r="76">
      <c r="I76" s="4" t="n"/>
    </row>
    <row r="77">
      <c r="I77" s="4" t="n"/>
    </row>
    <row r="78">
      <c r="I78" s="4" t="n"/>
    </row>
    <row r="79">
      <c r="I79" s="4" t="n"/>
    </row>
    <row r="80">
      <c r="I80" s="4" t="n"/>
    </row>
    <row r="81">
      <c r="I81" s="4" t="n"/>
    </row>
    <row r="82">
      <c r="I82" s="4" t="n"/>
    </row>
    <row r="83">
      <c r="I83" s="4" t="n"/>
    </row>
    <row r="84">
      <c r="I84" s="4" t="n"/>
    </row>
    <row r="85">
      <c r="I85" s="4" t="n"/>
    </row>
    <row r="86">
      <c r="I86" s="4" t="n"/>
    </row>
    <row r="87">
      <c r="I87" s="4" t="n"/>
    </row>
    <row r="88">
      <c r="I88" s="4" t="n"/>
    </row>
    <row r="89">
      <c r="I89" s="4" t="n"/>
    </row>
    <row r="90">
      <c r="I90" s="4" t="n"/>
    </row>
    <row r="91">
      <c r="I91" s="4" t="n"/>
    </row>
    <row r="92">
      <c r="I92" s="4" t="n"/>
    </row>
    <row r="93">
      <c r="I93" s="4" t="n"/>
    </row>
    <row r="94">
      <c r="I94" s="4" t="n"/>
    </row>
    <row r="95">
      <c r="I95" s="4" t="n"/>
    </row>
    <row r="96">
      <c r="I96" s="4" t="n"/>
    </row>
    <row r="97">
      <c r="I97" s="4" t="n"/>
    </row>
    <row r="98">
      <c r="I98" s="4" t="n"/>
    </row>
    <row r="99">
      <c r="I99" s="4" t="n"/>
    </row>
    <row r="100">
      <c r="I100" s="4" t="n"/>
    </row>
    <row r="101">
      <c r="I101" s="4" t="n"/>
    </row>
    <row r="102">
      <c r="I102" s="4" t="n"/>
    </row>
    <row r="103">
      <c r="I103" s="4" t="n"/>
    </row>
    <row r="104">
      <c r="I104" s="4" t="n"/>
    </row>
    <row r="105">
      <c r="I105" s="4" t="n"/>
    </row>
    <row r="106">
      <c r="I106" s="4" t="n"/>
    </row>
    <row r="107">
      <c r="I107" s="4" t="n"/>
    </row>
    <row r="108">
      <c r="I108" s="4" t="n"/>
    </row>
    <row r="109">
      <c r="I109" s="4" t="n"/>
    </row>
    <row r="110">
      <c r="I110" s="4" t="n"/>
    </row>
    <row r="111">
      <c r="I111" s="4" t="n"/>
    </row>
    <row r="112">
      <c r="I112" s="4" t="n"/>
    </row>
    <row r="113">
      <c r="I113" s="4" t="n"/>
    </row>
    <row r="114">
      <c r="I114" s="4" t="n"/>
    </row>
    <row r="115">
      <c r="I115" s="4" t="n"/>
    </row>
    <row r="116">
      <c r="I116" s="4" t="n"/>
    </row>
    <row r="117">
      <c r="I117" s="4" t="n"/>
    </row>
    <row r="118">
      <c r="I118" s="4" t="n"/>
    </row>
    <row r="119">
      <c r="I119" s="4" t="n"/>
    </row>
    <row r="120">
      <c r="I120" s="4" t="n"/>
    </row>
    <row r="121">
      <c r="I121" s="4" t="n"/>
    </row>
    <row r="122">
      <c r="I122" s="4" t="n"/>
    </row>
    <row r="123">
      <c r="I123" s="4" t="n"/>
    </row>
    <row r="124">
      <c r="I124" s="4" t="n"/>
    </row>
    <row r="125">
      <c r="I125" s="4" t="n"/>
    </row>
    <row r="126">
      <c r="I126" s="4" t="n"/>
    </row>
    <row r="127">
      <c r="I127" s="4" t="n"/>
    </row>
    <row r="128">
      <c r="I128" s="4" t="n"/>
    </row>
    <row r="129">
      <c r="I129" s="4" t="n"/>
    </row>
    <row r="130">
      <c r="I130" s="4" t="n"/>
    </row>
    <row r="131">
      <c r="I131" s="4" t="n"/>
    </row>
    <row r="132">
      <c r="I132" s="4" t="n"/>
    </row>
    <row r="133">
      <c r="I133" s="4" t="n"/>
    </row>
    <row r="134">
      <c r="I134" s="4" t="n"/>
    </row>
    <row r="135">
      <c r="I135" s="4" t="n"/>
    </row>
    <row r="136">
      <c r="I136" s="4" t="n"/>
    </row>
    <row r="137">
      <c r="I137" s="4" t="n"/>
    </row>
    <row r="138">
      <c r="I138" s="4" t="n"/>
    </row>
    <row r="139">
      <c r="I139" s="4" t="n"/>
    </row>
    <row r="140">
      <c r="I140" s="4" t="n"/>
    </row>
    <row r="141">
      <c r="I141" s="4" t="n"/>
    </row>
    <row r="142">
      <c r="I142" s="4" t="n"/>
    </row>
    <row r="143">
      <c r="I143" s="4" t="n"/>
    </row>
    <row r="144">
      <c r="I144" s="4" t="n"/>
    </row>
    <row r="145">
      <c r="I145" s="4" t="n"/>
    </row>
    <row r="146">
      <c r="I146" s="4" t="n"/>
    </row>
    <row r="147">
      <c r="I147" s="4" t="n"/>
    </row>
    <row r="148">
      <c r="I148" s="4" t="n"/>
    </row>
    <row r="149">
      <c r="I149" s="4" t="n"/>
    </row>
    <row r="150">
      <c r="I150" s="4" t="n"/>
    </row>
    <row r="151">
      <c r="I151" s="4" t="n"/>
    </row>
    <row r="152">
      <c r="I152" s="4" t="n"/>
    </row>
    <row r="153">
      <c r="I153" s="4" t="n"/>
    </row>
    <row r="154">
      <c r="I154" s="4" t="n"/>
    </row>
    <row r="155">
      <c r="I155" s="4" t="n"/>
    </row>
    <row r="156">
      <c r="I156" s="4" t="n"/>
    </row>
    <row r="157">
      <c r="I157" s="4" t="n"/>
    </row>
    <row r="158">
      <c r="I158" s="4" t="n"/>
    </row>
    <row r="159">
      <c r="I159" s="4" t="n"/>
    </row>
    <row r="160">
      <c r="I160" s="4" t="n"/>
    </row>
    <row r="161">
      <c r="I161" s="4" t="n"/>
    </row>
    <row r="162">
      <c r="I162" s="4" t="n"/>
    </row>
    <row r="163">
      <c r="I163" s="4" t="n"/>
    </row>
    <row r="164">
      <c r="I164" s="4" t="n"/>
    </row>
    <row r="165">
      <c r="I165" s="4" t="n"/>
    </row>
    <row r="166">
      <c r="I166" s="4" t="n"/>
    </row>
    <row r="167">
      <c r="I167" s="4" t="n"/>
    </row>
    <row r="168">
      <c r="I168" s="4" t="n"/>
    </row>
    <row r="169">
      <c r="I169" s="4" t="n"/>
    </row>
    <row r="170">
      <c r="I170" s="4" t="n"/>
    </row>
    <row r="171">
      <c r="I171" s="4" t="n"/>
    </row>
    <row r="172">
      <c r="I172" s="4" t="n"/>
    </row>
    <row r="173">
      <c r="I173" s="4" t="n"/>
    </row>
    <row r="174">
      <c r="I174" s="4" t="n"/>
    </row>
    <row r="175">
      <c r="I175" s="4" t="n"/>
    </row>
    <row r="176">
      <c r="I176" s="4" t="n"/>
    </row>
    <row r="177">
      <c r="I177" s="4" t="n"/>
    </row>
    <row r="178">
      <c r="I178" s="4" t="n"/>
    </row>
    <row r="179">
      <c r="I179" s="4" t="n"/>
    </row>
    <row r="180">
      <c r="I180" s="4" t="n"/>
    </row>
    <row r="181">
      <c r="I181" s="4" t="n"/>
    </row>
    <row r="182">
      <c r="I182" s="4" t="n"/>
    </row>
    <row r="183">
      <c r="I183" s="4" t="n"/>
    </row>
    <row r="184">
      <c r="I184" s="4" t="n"/>
    </row>
    <row r="185">
      <c r="I185" s="4" t="n"/>
    </row>
    <row r="186">
      <c r="I186" s="4" t="n"/>
    </row>
    <row r="187">
      <c r="I187" s="4" t="n"/>
    </row>
    <row r="188">
      <c r="I188" s="4" t="n"/>
    </row>
    <row r="189">
      <c r="I189" s="4" t="n"/>
    </row>
    <row r="190">
      <c r="I190" s="4" t="n"/>
    </row>
    <row r="191">
      <c r="I191" s="4" t="n"/>
    </row>
    <row r="192">
      <c r="I192" s="4" t="n"/>
    </row>
    <row r="193">
      <c r="I193" s="4" t="n"/>
    </row>
    <row r="194">
      <c r="I194" s="4" t="n"/>
    </row>
    <row r="195">
      <c r="I195" s="4" t="n"/>
    </row>
    <row r="196">
      <c r="I196" s="4" t="n"/>
    </row>
    <row r="197">
      <c r="I197" s="4" t="n"/>
    </row>
    <row r="198">
      <c r="I198" s="4" t="n"/>
    </row>
    <row r="199">
      <c r="I199" s="4" t="n"/>
    </row>
    <row r="200">
      <c r="I200" s="4" t="n"/>
    </row>
    <row r="201">
      <c r="I201" s="4" t="n"/>
    </row>
    <row r="202">
      <c r="I202" s="4" t="n"/>
    </row>
    <row r="203">
      <c r="I203" s="4" t="n"/>
    </row>
    <row r="204">
      <c r="I204" s="4" t="n"/>
    </row>
    <row r="205">
      <c r="I205" s="4" t="n"/>
    </row>
    <row r="206">
      <c r="I206" s="4" t="n"/>
    </row>
    <row r="207">
      <c r="I207" s="4" t="n"/>
    </row>
    <row r="208">
      <c r="I208" s="4" t="n"/>
    </row>
    <row r="209">
      <c r="I209" s="4" t="n"/>
    </row>
    <row r="210">
      <c r="I210" s="4" t="n"/>
    </row>
    <row r="211">
      <c r="I211" s="4" t="n"/>
    </row>
    <row r="212">
      <c r="I212" s="4" t="n"/>
    </row>
    <row r="213">
      <c r="I213" s="4" t="n"/>
    </row>
    <row r="214">
      <c r="I214" s="4" t="n"/>
    </row>
    <row r="215">
      <c r="I215" s="4" t="n"/>
    </row>
    <row r="216">
      <c r="I216" s="4" t="n"/>
    </row>
    <row r="217">
      <c r="I217" s="4" t="n"/>
    </row>
    <row r="218">
      <c r="I218" s="4" t="n"/>
    </row>
    <row r="219">
      <c r="I219" s="4" t="n"/>
    </row>
    <row r="220">
      <c r="I220" s="4" t="n"/>
    </row>
    <row r="221">
      <c r="I221" s="4" t="n"/>
    </row>
    <row r="222">
      <c r="I222" s="4" t="n"/>
    </row>
    <row r="223">
      <c r="I223" s="4" t="n"/>
    </row>
    <row r="224">
      <c r="I224" s="4" t="n"/>
    </row>
    <row r="225">
      <c r="I225" s="4" t="n"/>
    </row>
    <row r="226">
      <c r="I226" s="4" t="n"/>
    </row>
    <row r="227">
      <c r="I227" s="4" t="n"/>
    </row>
    <row r="228">
      <c r="I228" s="4" t="n"/>
    </row>
    <row r="229">
      <c r="I229" s="4" t="n"/>
    </row>
    <row r="230">
      <c r="I230" s="4" t="n"/>
    </row>
    <row r="231">
      <c r="I231" s="4" t="n"/>
    </row>
    <row r="232">
      <c r="I232" s="4" t="n"/>
    </row>
    <row r="233">
      <c r="I233" s="4" t="n"/>
    </row>
    <row r="234">
      <c r="I234" s="4" t="n"/>
    </row>
    <row r="235">
      <c r="I235" s="4" t="n"/>
    </row>
    <row r="236">
      <c r="I236" s="4" t="n"/>
    </row>
    <row r="237">
      <c r="I237" s="4" t="n"/>
    </row>
    <row r="238">
      <c r="I238" s="4" t="n"/>
    </row>
    <row r="239">
      <c r="I239" s="4" t="n"/>
    </row>
    <row r="240">
      <c r="I240" s="4" t="n"/>
    </row>
    <row r="241">
      <c r="I241" s="4" t="n"/>
    </row>
    <row r="242">
      <c r="I242" s="4" t="n"/>
    </row>
    <row r="243">
      <c r="I243" s="4" t="n"/>
    </row>
    <row r="244">
      <c r="I244" s="4" t="n"/>
    </row>
    <row r="245">
      <c r="I245" s="4" t="n"/>
    </row>
    <row r="246">
      <c r="I246" s="4" t="n"/>
    </row>
    <row r="247">
      <c r="I247" s="4" t="n"/>
    </row>
    <row r="248">
      <c r="I248" s="4" t="n"/>
    </row>
    <row r="249">
      <c r="I249" s="4" t="n"/>
    </row>
    <row r="250">
      <c r="I250" s="4" t="n"/>
    </row>
    <row r="251">
      <c r="I251" s="4" t="n"/>
    </row>
    <row r="252">
      <c r="I252" s="4" t="n"/>
    </row>
    <row r="253">
      <c r="I253" s="4" t="n"/>
    </row>
    <row r="254">
      <c r="I254" s="4" t="n"/>
    </row>
    <row r="255">
      <c r="I255" s="4" t="n"/>
    </row>
    <row r="256">
      <c r="I256" s="4" t="n"/>
    </row>
    <row r="257">
      <c r="I257" s="4" t="n"/>
    </row>
    <row r="258">
      <c r="I258" s="4" t="n"/>
    </row>
    <row r="259">
      <c r="I259" s="4" t="n"/>
    </row>
    <row r="260">
      <c r="I260" s="4" t="n"/>
    </row>
    <row r="261">
      <c r="I261" s="4" t="n"/>
    </row>
    <row r="262">
      <c r="I262" s="4" t="n"/>
    </row>
    <row r="263">
      <c r="I263" s="4" t="n"/>
    </row>
    <row r="264">
      <c r="I264" s="4" t="n"/>
    </row>
    <row r="265">
      <c r="I265" s="4" t="n"/>
    </row>
    <row r="266">
      <c r="I266" s="4" t="n"/>
    </row>
    <row r="267">
      <c r="I267" s="4" t="n"/>
    </row>
    <row r="268">
      <c r="I268" s="4" t="n"/>
    </row>
    <row r="269">
      <c r="I269" s="4" t="n"/>
    </row>
    <row r="270">
      <c r="I270" s="4" t="n"/>
    </row>
    <row r="271">
      <c r="I271" s="4" t="n"/>
    </row>
    <row r="272">
      <c r="I272" s="4" t="n"/>
    </row>
    <row r="273">
      <c r="I273" s="4" t="n"/>
    </row>
    <row r="274">
      <c r="I274" s="4" t="n"/>
    </row>
    <row r="275">
      <c r="I275" s="4" t="n"/>
    </row>
    <row r="276">
      <c r="I276" s="4" t="n"/>
    </row>
    <row r="277">
      <c r="I277" s="4" t="n"/>
    </row>
    <row r="278">
      <c r="I278" s="4" t="n"/>
    </row>
    <row r="279">
      <c r="I279" s="4" t="n"/>
    </row>
    <row r="280">
      <c r="I280" s="4" t="n"/>
    </row>
    <row r="281">
      <c r="I281" s="4" t="n"/>
    </row>
    <row r="282">
      <c r="I282" s="4" t="n"/>
    </row>
    <row r="283">
      <c r="I283" s="4" t="n"/>
    </row>
    <row r="284">
      <c r="I284" s="4" t="n"/>
    </row>
    <row r="285">
      <c r="I285" s="4" t="n"/>
    </row>
    <row r="286">
      <c r="I286" s="4" t="n"/>
    </row>
    <row r="287">
      <c r="I287" s="4" t="n"/>
    </row>
    <row r="288">
      <c r="I288" s="4" t="n"/>
    </row>
    <row r="289">
      <c r="I289" s="4" t="n"/>
    </row>
    <row r="290">
      <c r="I290" s="4" t="n"/>
    </row>
    <row r="291">
      <c r="I291" s="4" t="n"/>
    </row>
    <row r="292">
      <c r="I292" s="4" t="n"/>
    </row>
    <row r="293">
      <c r="I293" s="4" t="n"/>
    </row>
    <row r="294">
      <c r="I294" s="4" t="n"/>
    </row>
    <row r="295">
      <c r="I295" s="4" t="n"/>
    </row>
    <row r="296">
      <c r="I296" s="4" t="n"/>
    </row>
    <row r="297">
      <c r="I297" s="4" t="n"/>
    </row>
    <row r="298">
      <c r="I298" s="4" t="n"/>
    </row>
    <row r="299">
      <c r="I299" s="4" t="n"/>
    </row>
    <row r="300">
      <c r="I300" s="4" t="n"/>
    </row>
    <row r="301">
      <c r="I301" s="4" t="n"/>
    </row>
    <row r="302">
      <c r="I302" s="4" t="n"/>
    </row>
    <row r="303">
      <c r="I303" s="4" t="n"/>
    </row>
    <row r="304">
      <c r="I304" s="4" t="n"/>
    </row>
    <row r="305">
      <c r="I305" s="4" t="n"/>
    </row>
    <row r="306">
      <c r="I306" s="4" t="n"/>
    </row>
    <row r="307">
      <c r="I307" s="4" t="n"/>
    </row>
    <row r="308">
      <c r="I308" s="4" t="n"/>
    </row>
    <row r="309">
      <c r="I309" s="4" t="n"/>
    </row>
    <row r="310">
      <c r="I310" s="4" t="n"/>
    </row>
    <row r="311">
      <c r="I311" s="4" t="n"/>
    </row>
    <row r="312">
      <c r="I312" s="4" t="n"/>
    </row>
    <row r="313">
      <c r="I313" s="4" t="n"/>
    </row>
    <row r="314">
      <c r="I314" s="4" t="n"/>
    </row>
    <row r="315">
      <c r="I315" s="4" t="n"/>
    </row>
    <row r="316">
      <c r="I316" s="4" t="n"/>
    </row>
    <row r="317">
      <c r="I317" s="4" t="n"/>
    </row>
    <row r="318">
      <c r="I318" s="4" t="n"/>
    </row>
    <row r="319">
      <c r="I319" s="4" t="n"/>
    </row>
    <row r="320">
      <c r="I320" s="4" t="n"/>
    </row>
    <row r="321">
      <c r="I321" s="4" t="n"/>
    </row>
    <row r="322">
      <c r="I322" s="4" t="n"/>
    </row>
    <row r="323">
      <c r="I323" s="4" t="n"/>
    </row>
    <row r="324">
      <c r="I324" s="4" t="n"/>
    </row>
    <row r="325">
      <c r="I325" s="4" t="n"/>
    </row>
    <row r="326">
      <c r="I326" s="4" t="n"/>
    </row>
    <row r="327">
      <c r="I327" s="4" t="n"/>
    </row>
    <row r="328">
      <c r="I328" s="4" t="n"/>
    </row>
    <row r="329">
      <c r="I329" s="4" t="n"/>
    </row>
    <row r="330">
      <c r="I330" s="4" t="n"/>
    </row>
    <row r="331">
      <c r="I331" s="4" t="n"/>
    </row>
    <row r="332">
      <c r="I332" s="4" t="n"/>
    </row>
    <row r="333">
      <c r="I333" s="4" t="n"/>
    </row>
    <row r="334">
      <c r="I334" s="4" t="n"/>
    </row>
    <row r="335">
      <c r="I335" s="4" t="n"/>
    </row>
    <row r="336">
      <c r="I336" s="4" t="n"/>
    </row>
    <row r="337">
      <c r="I337" s="4" t="n"/>
    </row>
    <row r="338">
      <c r="I338" s="4" t="n"/>
    </row>
    <row r="339">
      <c r="I339" s="4" t="n"/>
    </row>
    <row r="340">
      <c r="I340" s="4" t="n"/>
    </row>
    <row r="341">
      <c r="I341" s="4" t="n"/>
    </row>
    <row r="342">
      <c r="I342" s="4" t="n"/>
    </row>
    <row r="343">
      <c r="I343" s="4" t="n"/>
    </row>
    <row r="344">
      <c r="I344" s="4" t="n"/>
    </row>
    <row r="345">
      <c r="I345" s="4" t="n"/>
    </row>
    <row r="346">
      <c r="I346" s="4" t="n"/>
    </row>
    <row r="347">
      <c r="I347" s="4" t="n"/>
    </row>
    <row r="348">
      <c r="I348" s="4" t="n"/>
    </row>
    <row r="349">
      <c r="I349" s="4" t="n"/>
    </row>
    <row r="350">
      <c r="I350" s="4" t="n"/>
    </row>
    <row r="351">
      <c r="I351" s="4" t="n"/>
    </row>
    <row r="352">
      <c r="I352" s="4" t="n"/>
    </row>
    <row r="353">
      <c r="I353" s="4" t="n"/>
    </row>
    <row r="354">
      <c r="I354" s="4" t="n"/>
    </row>
    <row r="355">
      <c r="I355" s="4" t="n"/>
    </row>
    <row r="356">
      <c r="I356" s="4" t="n"/>
    </row>
    <row r="357">
      <c r="I357" s="4" t="n"/>
    </row>
    <row r="358">
      <c r="I358" s="4" t="n"/>
    </row>
    <row r="359">
      <c r="I359" s="4" t="n"/>
    </row>
    <row r="360">
      <c r="I360" s="4" t="n"/>
    </row>
    <row r="361">
      <c r="I361" s="4" t="n"/>
    </row>
    <row r="362">
      <c r="I362" s="4" t="n"/>
    </row>
    <row r="363">
      <c r="I363" s="4" t="n"/>
    </row>
    <row r="364">
      <c r="I364" s="4" t="n"/>
    </row>
    <row r="365">
      <c r="I365" s="4" t="n"/>
    </row>
    <row r="366">
      <c r="I366" s="4" t="n"/>
    </row>
    <row r="367">
      <c r="I367" s="4" t="n"/>
    </row>
    <row r="368">
      <c r="I368" s="4" t="n"/>
    </row>
    <row r="369">
      <c r="I369" s="4" t="n"/>
    </row>
    <row r="370">
      <c r="I370" s="4" t="n"/>
    </row>
    <row r="371">
      <c r="I371" s="4" t="n"/>
    </row>
    <row r="372">
      <c r="I372" s="4" t="n"/>
    </row>
    <row r="373">
      <c r="I373" s="4" t="n"/>
    </row>
    <row r="374">
      <c r="I374" s="4" t="n"/>
    </row>
    <row r="375">
      <c r="I375" s="4" t="n"/>
    </row>
    <row r="376">
      <c r="I376" s="4" t="n"/>
    </row>
    <row r="377">
      <c r="I377" s="4" t="n"/>
    </row>
    <row r="378">
      <c r="I378" s="4" t="n"/>
    </row>
    <row r="379">
      <c r="I379" s="4" t="n"/>
    </row>
    <row r="380">
      <c r="I380" s="4" t="n"/>
    </row>
    <row r="381">
      <c r="I381" s="4" t="n"/>
    </row>
    <row r="382">
      <c r="I382" s="4" t="n"/>
    </row>
    <row r="383">
      <c r="I383" s="4" t="n"/>
    </row>
    <row r="384">
      <c r="I384" s="4" t="n"/>
    </row>
    <row r="385">
      <c r="I385" s="4" t="n"/>
    </row>
    <row r="386">
      <c r="I386" s="4" t="n"/>
    </row>
    <row r="387">
      <c r="I387" s="4" t="n"/>
    </row>
    <row r="388">
      <c r="I388" s="4" t="n"/>
    </row>
    <row r="389">
      <c r="I389" s="4" t="n"/>
    </row>
    <row r="390">
      <c r="I390" s="4" t="n"/>
    </row>
    <row r="391">
      <c r="I391" s="4" t="n"/>
    </row>
    <row r="392">
      <c r="I392" s="4" t="n"/>
    </row>
    <row r="393">
      <c r="I393" s="4" t="n"/>
    </row>
    <row r="394">
      <c r="I394" s="4" t="n"/>
    </row>
    <row r="395">
      <c r="I395" s="4" t="n"/>
    </row>
    <row r="396">
      <c r="I396" s="4" t="n"/>
    </row>
    <row r="397">
      <c r="I397" s="4" t="n"/>
    </row>
    <row r="398">
      <c r="I398" s="4" t="n"/>
    </row>
    <row r="399">
      <c r="I399" s="4" t="n"/>
    </row>
    <row r="400">
      <c r="I400" s="4" t="n"/>
    </row>
    <row r="401">
      <c r="I401" s="4" t="n"/>
    </row>
    <row r="402">
      <c r="I402" s="4" t="n"/>
    </row>
    <row r="403">
      <c r="I403" s="4" t="n"/>
    </row>
    <row r="404">
      <c r="I404" s="4" t="n"/>
    </row>
    <row r="405">
      <c r="I405" s="4" t="n"/>
    </row>
    <row r="406">
      <c r="I406" s="4" t="n"/>
    </row>
    <row r="407">
      <c r="I407" s="4" t="n"/>
    </row>
    <row r="408">
      <c r="I408" s="4" t="n"/>
    </row>
    <row r="409">
      <c r="I409" s="4" t="n"/>
    </row>
    <row r="410">
      <c r="I410" s="4" t="n"/>
    </row>
    <row r="411">
      <c r="I411" s="4" t="n"/>
    </row>
    <row r="412">
      <c r="I412" s="4" t="n"/>
    </row>
    <row r="413">
      <c r="I413" s="4" t="n"/>
    </row>
    <row r="414">
      <c r="I414" s="4" t="n"/>
    </row>
    <row r="415">
      <c r="I415" s="4" t="n"/>
    </row>
    <row r="416">
      <c r="I416" s="4" t="n"/>
    </row>
    <row r="417">
      <c r="I417" s="4" t="n"/>
    </row>
    <row r="418">
      <c r="I418" s="4" t="n"/>
    </row>
    <row r="419">
      <c r="I419" s="4" t="n"/>
    </row>
    <row r="420">
      <c r="I420" s="4" t="n"/>
    </row>
    <row r="421">
      <c r="I421" s="4" t="n"/>
    </row>
    <row r="422">
      <c r="I422" s="4" t="n"/>
    </row>
    <row r="423">
      <c r="I423" s="4" t="n"/>
    </row>
    <row r="424">
      <c r="I424" s="4" t="n"/>
    </row>
    <row r="425">
      <c r="I425" s="4" t="n"/>
    </row>
    <row r="426">
      <c r="I426" s="4" t="n"/>
    </row>
    <row r="427">
      <c r="I427" s="4" t="n"/>
    </row>
    <row r="428">
      <c r="I428" s="4" t="n"/>
    </row>
    <row r="429">
      <c r="I429" s="4" t="n"/>
    </row>
    <row r="430">
      <c r="I430" s="4" t="n"/>
    </row>
    <row r="431">
      <c r="I431" s="4" t="n"/>
    </row>
    <row r="432">
      <c r="I432" s="4" t="n"/>
    </row>
    <row r="433">
      <c r="I433" s="4" t="n"/>
    </row>
    <row r="434">
      <c r="I434" s="4" t="n"/>
    </row>
    <row r="435">
      <c r="I435" s="4" t="n"/>
    </row>
    <row r="436">
      <c r="I436" s="4" t="n"/>
    </row>
    <row r="437">
      <c r="I437" s="4" t="n"/>
    </row>
    <row r="438">
      <c r="I438" s="4" t="n"/>
    </row>
    <row r="439">
      <c r="I439" s="4" t="n"/>
    </row>
    <row r="440">
      <c r="I440" s="4" t="n"/>
    </row>
    <row r="441">
      <c r="I441" s="4" t="n"/>
    </row>
    <row r="442">
      <c r="I442" s="4" t="n"/>
    </row>
    <row r="443">
      <c r="I443" s="4" t="n"/>
    </row>
    <row r="444">
      <c r="I444" s="4" t="n"/>
    </row>
    <row r="445">
      <c r="I445" s="4" t="n"/>
    </row>
    <row r="446">
      <c r="I446" s="4" t="n"/>
    </row>
    <row r="447">
      <c r="I447" s="4" t="n"/>
    </row>
    <row r="448">
      <c r="I448" s="4" t="n"/>
    </row>
    <row r="449">
      <c r="I449" s="4" t="n"/>
    </row>
    <row r="450">
      <c r="I450" s="4" t="n"/>
    </row>
    <row r="451">
      <c r="I451" s="4" t="n"/>
    </row>
    <row r="452">
      <c r="I452" s="4" t="n"/>
    </row>
    <row r="453">
      <c r="I453" s="4" t="n"/>
    </row>
    <row r="454">
      <c r="I454" s="4" t="n"/>
    </row>
    <row r="455">
      <c r="I455" s="4" t="n"/>
    </row>
    <row r="456">
      <c r="I456" s="4" t="n"/>
    </row>
    <row r="457">
      <c r="I457" s="4" t="n"/>
    </row>
    <row r="458">
      <c r="I458" s="4" t="n"/>
    </row>
    <row r="459">
      <c r="I459" s="4" t="n"/>
    </row>
    <row r="460">
      <c r="I460" s="4" t="n"/>
    </row>
    <row r="461">
      <c r="I461" s="4" t="n"/>
    </row>
    <row r="462">
      <c r="I462" s="4" t="n"/>
    </row>
    <row r="463">
      <c r="I463" s="4" t="n"/>
    </row>
    <row r="464">
      <c r="I464" s="4" t="n"/>
    </row>
    <row r="465">
      <c r="I465" s="4" t="n"/>
    </row>
    <row r="466">
      <c r="I466" s="4" t="n"/>
    </row>
    <row r="467">
      <c r="I467" s="4" t="n"/>
    </row>
    <row r="468">
      <c r="I468" s="4" t="n"/>
    </row>
    <row r="469">
      <c r="I469" s="4" t="n"/>
    </row>
    <row r="470">
      <c r="I470" s="4" t="n"/>
    </row>
    <row r="471">
      <c r="I471" s="4" t="n"/>
    </row>
    <row r="472">
      <c r="I472" s="4" t="n"/>
    </row>
    <row r="473">
      <c r="I473" s="4" t="n"/>
    </row>
    <row r="474">
      <c r="I474" s="4" t="n"/>
    </row>
    <row r="475">
      <c r="I475" s="4" t="n"/>
    </row>
    <row r="476">
      <c r="I476" s="4" t="n"/>
    </row>
    <row r="477">
      <c r="I477" s="4" t="n"/>
    </row>
    <row r="478">
      <c r="I478" s="4" t="n"/>
    </row>
    <row r="479">
      <c r="I479" s="4" t="n"/>
    </row>
    <row r="480">
      <c r="I480" s="4" t="n"/>
    </row>
    <row r="481">
      <c r="I481" s="4" t="n"/>
    </row>
    <row r="482">
      <c r="I482" s="4" t="n"/>
    </row>
    <row r="483">
      <c r="I483" s="4" t="n"/>
    </row>
    <row r="484">
      <c r="I484" s="4" t="n"/>
    </row>
    <row r="485">
      <c r="I485" s="4" t="n"/>
    </row>
    <row r="486">
      <c r="I486" s="4" t="n"/>
    </row>
    <row r="487">
      <c r="I487" s="4" t="n"/>
    </row>
    <row r="488">
      <c r="I488" s="4" t="n"/>
    </row>
    <row r="489">
      <c r="I489" s="4" t="n"/>
    </row>
    <row r="490">
      <c r="I490" s="4" t="n"/>
    </row>
    <row r="491">
      <c r="I491" s="4" t="n"/>
    </row>
    <row r="492">
      <c r="I492" s="4" t="n"/>
    </row>
    <row r="493">
      <c r="I493" s="4" t="n"/>
    </row>
    <row r="494">
      <c r="I494" s="4" t="n"/>
    </row>
    <row r="495">
      <c r="I495" s="4" t="n"/>
    </row>
    <row r="496">
      <c r="I496" s="4" t="n"/>
    </row>
    <row r="497">
      <c r="I497" s="4" t="n"/>
    </row>
    <row r="498">
      <c r="I498" s="4" t="n"/>
    </row>
    <row r="499">
      <c r="I499" s="4" t="n"/>
    </row>
    <row r="500">
      <c r="I500" s="4" t="n"/>
    </row>
    <row r="501">
      <c r="I501" s="4" t="n"/>
    </row>
    <row r="502">
      <c r="I502" s="4" t="n"/>
    </row>
    <row r="503">
      <c r="I503" s="4" t="n"/>
    </row>
    <row r="504">
      <c r="I504" s="4" t="n"/>
    </row>
    <row r="505">
      <c r="I505" s="4" t="n"/>
    </row>
    <row r="506">
      <c r="I506" s="4" t="n"/>
    </row>
    <row r="507">
      <c r="I507" s="4" t="n"/>
    </row>
    <row r="508">
      <c r="I508" s="4" t="n"/>
    </row>
    <row r="509">
      <c r="I509" s="4" t="n"/>
    </row>
    <row r="510">
      <c r="I510" s="4" t="n"/>
    </row>
    <row r="511">
      <c r="I511" s="4" t="n"/>
    </row>
    <row r="512">
      <c r="I512" s="4" t="n"/>
    </row>
    <row r="513">
      <c r="I513" s="4" t="n"/>
    </row>
    <row r="514">
      <c r="I514" s="4" t="n"/>
    </row>
    <row r="515">
      <c r="I515" s="4" t="n"/>
    </row>
    <row r="516">
      <c r="I516" s="4" t="n"/>
    </row>
    <row r="517">
      <c r="I517" s="4" t="n"/>
    </row>
    <row r="518">
      <c r="I518" s="4" t="n"/>
    </row>
    <row r="519">
      <c r="I519" s="4" t="n"/>
    </row>
    <row r="520">
      <c r="I520" s="4" t="n"/>
    </row>
    <row r="521">
      <c r="I521" s="4" t="n"/>
    </row>
    <row r="522">
      <c r="I522" s="4" t="n"/>
    </row>
    <row r="523">
      <c r="I523" s="4" t="n"/>
    </row>
    <row r="524">
      <c r="I524" s="4" t="n"/>
    </row>
    <row r="525">
      <c r="I525" s="4" t="n"/>
    </row>
    <row r="526">
      <c r="I526" s="4" t="n"/>
    </row>
    <row r="527">
      <c r="I527" s="4" t="n"/>
    </row>
    <row r="528">
      <c r="I528" s="4" t="n"/>
    </row>
    <row r="529">
      <c r="I529" s="4" t="n"/>
    </row>
    <row r="530">
      <c r="I530" s="4" t="n"/>
    </row>
    <row r="531">
      <c r="I531" s="4" t="n"/>
    </row>
    <row r="532">
      <c r="I532" s="4" t="n"/>
    </row>
    <row r="533">
      <c r="I533" s="4" t="n"/>
    </row>
    <row r="534">
      <c r="I534" s="4" t="n"/>
    </row>
    <row r="535">
      <c r="I535" s="4" t="n"/>
    </row>
    <row r="536">
      <c r="I536" s="4" t="n"/>
    </row>
    <row r="537">
      <c r="I537" s="4" t="n"/>
    </row>
    <row r="538">
      <c r="I538" s="4" t="n"/>
    </row>
    <row r="539">
      <c r="I539" s="4" t="n"/>
    </row>
    <row r="540">
      <c r="I540" s="4" t="n"/>
    </row>
    <row r="541">
      <c r="I541" s="4" t="n"/>
    </row>
    <row r="542">
      <c r="I542" s="4" t="n"/>
    </row>
    <row r="543">
      <c r="I543" s="4" t="n"/>
    </row>
    <row r="544">
      <c r="I544" s="4" t="n"/>
    </row>
    <row r="545">
      <c r="I545" s="4" t="n"/>
    </row>
    <row r="546">
      <c r="I546" s="4" t="n"/>
    </row>
    <row r="547">
      <c r="I547" s="4" t="n"/>
    </row>
    <row r="548">
      <c r="I548" s="4" t="n"/>
    </row>
    <row r="549">
      <c r="I549" s="4" t="n"/>
    </row>
    <row r="550">
      <c r="I550" s="4" t="n"/>
    </row>
    <row r="551">
      <c r="I551" s="4" t="n"/>
    </row>
    <row r="552">
      <c r="I552" s="4" t="n"/>
    </row>
    <row r="553">
      <c r="I553" s="4" t="n"/>
    </row>
    <row r="554">
      <c r="I554" s="4" t="n"/>
    </row>
    <row r="555">
      <c r="I555" s="4" t="n"/>
    </row>
    <row r="556">
      <c r="I556" s="4" t="n"/>
    </row>
    <row r="557">
      <c r="I557" s="4" t="n"/>
    </row>
    <row r="558">
      <c r="I558" s="4" t="n"/>
    </row>
    <row r="559">
      <c r="I559" s="4" t="n"/>
    </row>
    <row r="560">
      <c r="I560" s="4" t="n"/>
    </row>
    <row r="561">
      <c r="I561" s="4" t="n"/>
    </row>
    <row r="562">
      <c r="I562" s="4" t="n"/>
    </row>
    <row r="563">
      <c r="I563" s="4" t="n"/>
    </row>
    <row r="564">
      <c r="I564" s="4" t="n"/>
    </row>
    <row r="565">
      <c r="I565" s="4" t="n"/>
    </row>
    <row r="566">
      <c r="I566" s="4" t="n"/>
    </row>
    <row r="567">
      <c r="I567" s="4" t="n"/>
    </row>
    <row r="568">
      <c r="I568" s="4" t="n"/>
    </row>
    <row r="569">
      <c r="I569" s="4" t="n"/>
    </row>
    <row r="570">
      <c r="I570" s="4" t="n"/>
    </row>
    <row r="571">
      <c r="I571" s="4" t="n"/>
    </row>
    <row r="572">
      <c r="I572" s="4" t="n"/>
    </row>
    <row r="573">
      <c r="I573" s="4" t="n"/>
    </row>
    <row r="574">
      <c r="I574" s="4" t="n"/>
    </row>
    <row r="575">
      <c r="I575" s="4" t="n"/>
    </row>
    <row r="576">
      <c r="I576" s="4" t="n"/>
    </row>
    <row r="577">
      <c r="I577" s="4" t="n"/>
    </row>
    <row r="578">
      <c r="I578" s="4" t="n"/>
    </row>
    <row r="579">
      <c r="I579" s="4" t="n"/>
    </row>
    <row r="580">
      <c r="I580" s="4" t="n"/>
    </row>
    <row r="581">
      <c r="I581" s="4" t="n"/>
    </row>
    <row r="582">
      <c r="I582" s="4" t="n"/>
    </row>
    <row r="583">
      <c r="I583" s="4" t="n"/>
    </row>
    <row r="584">
      <c r="I584" s="4" t="n"/>
    </row>
    <row r="585">
      <c r="I585" s="4" t="n"/>
    </row>
    <row r="586">
      <c r="I586" s="4" t="n"/>
    </row>
    <row r="587">
      <c r="I587" s="4" t="n"/>
    </row>
    <row r="588">
      <c r="I588" s="4" t="n"/>
    </row>
    <row r="589">
      <c r="I589" s="4" t="n"/>
    </row>
    <row r="590">
      <c r="I590" s="4" t="n"/>
    </row>
    <row r="591">
      <c r="I591" s="4" t="n"/>
    </row>
    <row r="592">
      <c r="I592" s="4" t="n"/>
    </row>
    <row r="593">
      <c r="I593" s="4" t="n"/>
    </row>
    <row r="594">
      <c r="I594" s="4" t="n"/>
    </row>
    <row r="595">
      <c r="I595" s="4" t="n"/>
    </row>
    <row r="596">
      <c r="I596" s="4" t="n"/>
    </row>
    <row r="597">
      <c r="I597" s="4" t="n"/>
    </row>
    <row r="598">
      <c r="I598" s="4" t="n"/>
    </row>
    <row r="599">
      <c r="I599" s="4" t="n"/>
    </row>
    <row r="600">
      <c r="I600" s="4" t="n"/>
    </row>
    <row r="601">
      <c r="I601" s="4" t="n"/>
    </row>
    <row r="602">
      <c r="I602" s="4" t="n"/>
    </row>
    <row r="603">
      <c r="I603" s="4" t="n"/>
    </row>
    <row r="604">
      <c r="I604" s="4" t="n"/>
    </row>
    <row r="605">
      <c r="I605" s="4" t="n"/>
    </row>
    <row r="606">
      <c r="I606" s="4" t="n"/>
    </row>
    <row r="607">
      <c r="I607" s="4" t="n"/>
    </row>
    <row r="608">
      <c r="I608" s="4" t="n"/>
    </row>
    <row r="609">
      <c r="I609" s="4" t="n"/>
    </row>
    <row r="610">
      <c r="I610" s="4" t="n"/>
    </row>
    <row r="611">
      <c r="I611" s="4" t="n"/>
    </row>
    <row r="612">
      <c r="I612" s="4" t="n"/>
    </row>
    <row r="613">
      <c r="I613" s="4" t="n"/>
    </row>
    <row r="614">
      <c r="I614" s="4" t="n"/>
    </row>
    <row r="615">
      <c r="I615" s="4" t="n"/>
    </row>
    <row r="616">
      <c r="I616" s="4" t="n"/>
    </row>
    <row r="617">
      <c r="I617" s="4" t="n"/>
    </row>
    <row r="618">
      <c r="I618" s="4" t="n"/>
    </row>
    <row r="619">
      <c r="I619" s="4" t="n"/>
    </row>
    <row r="620">
      <c r="I620" s="4" t="n"/>
    </row>
    <row r="621">
      <c r="I621" s="4" t="n"/>
    </row>
    <row r="622">
      <c r="I622" s="4" t="n"/>
    </row>
    <row r="623">
      <c r="I623" s="4" t="n"/>
    </row>
    <row r="624">
      <c r="I624" s="4" t="n"/>
    </row>
    <row r="625">
      <c r="I625" s="4" t="n"/>
    </row>
    <row r="626">
      <c r="I626" s="4" t="n"/>
    </row>
    <row r="627">
      <c r="I627" s="4" t="n"/>
    </row>
    <row r="628">
      <c r="I628" s="4" t="n"/>
    </row>
    <row r="629">
      <c r="I629" s="4" t="n"/>
    </row>
    <row r="630">
      <c r="I630" s="4" t="n"/>
    </row>
    <row r="631">
      <c r="I631" s="4" t="n"/>
    </row>
    <row r="632">
      <c r="I632" s="4" t="n"/>
    </row>
    <row r="633">
      <c r="I633" s="4" t="n"/>
    </row>
    <row r="634">
      <c r="I634" s="4" t="n"/>
    </row>
    <row r="635">
      <c r="I635" s="4" t="n"/>
    </row>
    <row r="636">
      <c r="I636" s="4" t="n"/>
    </row>
    <row r="637">
      <c r="I637" s="4" t="n"/>
    </row>
    <row r="638">
      <c r="I638" s="4" t="n"/>
    </row>
    <row r="639">
      <c r="I639" s="4" t="n"/>
    </row>
    <row r="640">
      <c r="I640" s="4" t="n"/>
    </row>
    <row r="641">
      <c r="I641" s="4" t="n"/>
    </row>
    <row r="642">
      <c r="I642" s="4" t="n"/>
    </row>
    <row r="643">
      <c r="I643" s="4" t="n"/>
    </row>
    <row r="644">
      <c r="I644" s="4" t="n"/>
    </row>
    <row r="645">
      <c r="I645" s="4" t="n"/>
    </row>
    <row r="646">
      <c r="I646" s="4" t="n"/>
    </row>
    <row r="647">
      <c r="I647" s="4" t="n"/>
    </row>
    <row r="648">
      <c r="I648" s="4" t="n"/>
    </row>
    <row r="649">
      <c r="I649" s="4" t="n"/>
    </row>
    <row r="650">
      <c r="I650" s="4" t="n"/>
    </row>
    <row r="651">
      <c r="I651" s="4" t="n"/>
    </row>
    <row r="652">
      <c r="I652" s="4" t="n"/>
    </row>
    <row r="653">
      <c r="I653" s="4" t="n"/>
    </row>
    <row r="654">
      <c r="I654" s="4" t="n"/>
    </row>
    <row r="655">
      <c r="I655" s="4" t="n"/>
    </row>
    <row r="656">
      <c r="I656" s="4" t="n"/>
    </row>
    <row r="657">
      <c r="I657" s="4" t="n"/>
    </row>
    <row r="658">
      <c r="I658" s="4" t="n"/>
    </row>
    <row r="659">
      <c r="I659" s="4" t="n"/>
    </row>
    <row r="660">
      <c r="I660" s="4" t="n"/>
    </row>
    <row r="661">
      <c r="I661" s="4" t="n"/>
    </row>
    <row r="662">
      <c r="I662" s="4" t="n"/>
    </row>
    <row r="663">
      <c r="I663" s="4" t="n"/>
    </row>
    <row r="664">
      <c r="I664" s="4" t="n"/>
    </row>
    <row r="665">
      <c r="I665" s="4" t="n"/>
    </row>
    <row r="666">
      <c r="I666" s="4" t="n"/>
    </row>
    <row r="667">
      <c r="I667" s="4" t="n"/>
    </row>
    <row r="668">
      <c r="I668" s="4" t="n"/>
    </row>
    <row r="669">
      <c r="I669" s="4" t="n"/>
    </row>
    <row r="670">
      <c r="I670" s="4" t="n"/>
    </row>
    <row r="671">
      <c r="I671" s="4" t="n"/>
    </row>
    <row r="672">
      <c r="I672" s="4" t="n"/>
    </row>
    <row r="673">
      <c r="I673" s="4" t="n"/>
    </row>
    <row r="674">
      <c r="I674" s="4" t="n"/>
    </row>
    <row r="675">
      <c r="I675" s="4" t="n"/>
    </row>
    <row r="676">
      <c r="I676" s="4" t="n"/>
    </row>
    <row r="677">
      <c r="I677" s="4" t="n"/>
    </row>
    <row r="678">
      <c r="I678" s="4" t="n"/>
    </row>
    <row r="679">
      <c r="I679" s="4" t="n"/>
    </row>
    <row r="680">
      <c r="I680" s="4" t="n"/>
    </row>
    <row r="681">
      <c r="I681" s="4" t="n"/>
    </row>
    <row r="682">
      <c r="I682" s="4" t="n"/>
    </row>
    <row r="683">
      <c r="I683" s="4" t="n"/>
    </row>
    <row r="684">
      <c r="I684" s="4" t="n"/>
    </row>
    <row r="685">
      <c r="I685" s="4" t="n"/>
    </row>
    <row r="686">
      <c r="I686" s="4" t="n"/>
    </row>
    <row r="687">
      <c r="I687" s="4" t="n"/>
    </row>
    <row r="688">
      <c r="I688" s="4" t="n"/>
    </row>
    <row r="689">
      <c r="I689" s="4" t="n"/>
    </row>
    <row r="690">
      <c r="I690" s="4" t="n"/>
    </row>
    <row r="691">
      <c r="I691" s="4" t="n"/>
    </row>
    <row r="692">
      <c r="I692" s="4" t="n"/>
    </row>
    <row r="693">
      <c r="I693" s="4" t="n"/>
    </row>
    <row r="694">
      <c r="I694" s="4" t="n"/>
    </row>
    <row r="695">
      <c r="I695" s="4" t="n"/>
    </row>
    <row r="696">
      <c r="I696" s="4" t="n"/>
    </row>
    <row r="697">
      <c r="I697" s="4" t="n"/>
    </row>
    <row r="698">
      <c r="I698" s="4" t="n"/>
    </row>
    <row r="699">
      <c r="I699" s="4" t="n"/>
    </row>
    <row r="700">
      <c r="I700" s="4" t="n"/>
    </row>
    <row r="701">
      <c r="I701" s="4" t="n"/>
    </row>
    <row r="702">
      <c r="I702" s="4" t="n"/>
    </row>
    <row r="703">
      <c r="I703" s="4" t="n"/>
    </row>
    <row r="704">
      <c r="I704" s="4" t="n"/>
    </row>
    <row r="705">
      <c r="I705" s="4" t="n"/>
    </row>
    <row r="706">
      <c r="I706" s="4" t="n"/>
    </row>
    <row r="707">
      <c r="I707" s="4" t="n"/>
    </row>
    <row r="708">
      <c r="I708" s="4" t="n"/>
    </row>
    <row r="709">
      <c r="I709" s="4" t="n"/>
    </row>
    <row r="710">
      <c r="I710" s="4" t="n"/>
    </row>
    <row r="711">
      <c r="I711" s="4" t="n"/>
    </row>
    <row r="712">
      <c r="I712" s="4" t="n"/>
    </row>
    <row r="713">
      <c r="I713" s="4" t="n"/>
    </row>
    <row r="714">
      <c r="I714" s="4" t="n"/>
    </row>
    <row r="715">
      <c r="I715" s="4" t="n"/>
    </row>
    <row r="716">
      <c r="I716" s="4" t="n"/>
    </row>
    <row r="717">
      <c r="I717" s="4" t="n"/>
    </row>
    <row r="718">
      <c r="I718" s="4" t="n"/>
    </row>
    <row r="719">
      <c r="I719" s="4" t="n"/>
    </row>
    <row r="720">
      <c r="I720" s="4" t="n"/>
    </row>
    <row r="721">
      <c r="I721" s="4" t="n"/>
    </row>
    <row r="722">
      <c r="I722" s="4" t="n"/>
    </row>
    <row r="723">
      <c r="I723" s="4" t="n"/>
    </row>
    <row r="724">
      <c r="I724" s="4" t="n"/>
    </row>
    <row r="725">
      <c r="I725" s="4" t="n"/>
    </row>
    <row r="726">
      <c r="I726" s="4" t="n"/>
    </row>
    <row r="727">
      <c r="I727" s="4" t="n"/>
    </row>
    <row r="728">
      <c r="I728" s="4" t="n"/>
    </row>
    <row r="729">
      <c r="I729" s="4" t="n"/>
    </row>
    <row r="730">
      <c r="I730" s="4" t="n"/>
    </row>
    <row r="731">
      <c r="I731" s="4" t="n"/>
    </row>
    <row r="732">
      <c r="I732" s="4" t="n"/>
    </row>
    <row r="733">
      <c r="I733" s="4" t="n"/>
    </row>
    <row r="734">
      <c r="I734" s="4" t="n"/>
    </row>
    <row r="735">
      <c r="I735" s="4" t="n"/>
    </row>
    <row r="736">
      <c r="I736" s="4" t="n"/>
    </row>
    <row r="737">
      <c r="I737" s="4" t="n"/>
    </row>
    <row r="738">
      <c r="I738" s="4" t="n"/>
    </row>
    <row r="739">
      <c r="I739" s="4" t="n"/>
    </row>
    <row r="740">
      <c r="I740" s="4" t="n"/>
    </row>
    <row r="741">
      <c r="I741" s="4" t="n"/>
    </row>
    <row r="742">
      <c r="I742" s="4" t="n"/>
    </row>
    <row r="743">
      <c r="I743" s="4" t="n"/>
    </row>
    <row r="744">
      <c r="I744" s="4" t="n"/>
    </row>
    <row r="745">
      <c r="I745" s="4" t="n"/>
    </row>
    <row r="746">
      <c r="I746" s="4" t="n"/>
    </row>
    <row r="747">
      <c r="I747" s="4" t="n"/>
    </row>
    <row r="748">
      <c r="I748" s="4" t="n"/>
    </row>
    <row r="749">
      <c r="I749" s="4" t="n"/>
    </row>
    <row r="750">
      <c r="I750" s="4" t="n"/>
    </row>
    <row r="751">
      <c r="I751" s="4" t="n"/>
    </row>
    <row r="752">
      <c r="I752" s="4" t="n"/>
    </row>
    <row r="753">
      <c r="I753" s="4" t="n"/>
    </row>
    <row r="754">
      <c r="I754" s="4" t="n"/>
    </row>
    <row r="755">
      <c r="I755" s="4" t="n"/>
    </row>
    <row r="756">
      <c r="I756" s="4" t="n"/>
    </row>
    <row r="757">
      <c r="I757" s="4" t="n"/>
    </row>
    <row r="758">
      <c r="I758" s="4" t="n"/>
    </row>
    <row r="759">
      <c r="I759" s="4" t="n"/>
    </row>
    <row r="760">
      <c r="I760" s="4" t="n"/>
    </row>
    <row r="761">
      <c r="I761" s="4" t="n"/>
    </row>
    <row r="762">
      <c r="I762" s="4" t="n"/>
    </row>
    <row r="763">
      <c r="I763" s="4" t="n"/>
    </row>
    <row r="764">
      <c r="I764" s="4" t="n"/>
    </row>
    <row r="765">
      <c r="I765" s="4" t="n"/>
    </row>
    <row r="766">
      <c r="I766" s="4" t="n"/>
    </row>
    <row r="767">
      <c r="I767" s="4" t="n"/>
    </row>
    <row r="768">
      <c r="I768" s="4" t="n"/>
    </row>
    <row r="769">
      <c r="I769" s="4" t="n"/>
    </row>
    <row r="770">
      <c r="I770" s="4" t="n"/>
    </row>
    <row r="771">
      <c r="I771" s="4" t="n"/>
    </row>
    <row r="772">
      <c r="I772" s="4" t="n"/>
    </row>
    <row r="773">
      <c r="I773" s="4" t="n"/>
    </row>
    <row r="774">
      <c r="I774" s="4" t="n"/>
    </row>
    <row r="775">
      <c r="I775" s="4" t="n"/>
    </row>
    <row r="776">
      <c r="I776" s="4" t="n"/>
    </row>
    <row r="777">
      <c r="I777" s="4" t="n"/>
    </row>
    <row r="778">
      <c r="I778" s="4" t="n"/>
    </row>
    <row r="779">
      <c r="I779" s="4" t="n"/>
    </row>
    <row r="780">
      <c r="I780" s="4" t="n"/>
    </row>
    <row r="781">
      <c r="I781" s="4" t="n"/>
    </row>
    <row r="782">
      <c r="I782" s="4" t="n"/>
    </row>
    <row r="783">
      <c r="I783" s="4" t="n"/>
    </row>
    <row r="784">
      <c r="I784" s="4" t="n"/>
    </row>
    <row r="785">
      <c r="I785" s="4" t="n"/>
    </row>
    <row r="786">
      <c r="I786" s="4" t="n"/>
    </row>
    <row r="787">
      <c r="I787" s="4" t="n"/>
    </row>
    <row r="788">
      <c r="I788" s="4" t="n"/>
    </row>
    <row r="789">
      <c r="I789" s="4" t="n"/>
    </row>
    <row r="790">
      <c r="I790" s="4" t="n"/>
    </row>
    <row r="791">
      <c r="I791" s="4" t="n"/>
    </row>
    <row r="792">
      <c r="I792" s="4" t="n"/>
    </row>
    <row r="793">
      <c r="I793" s="4" t="n"/>
    </row>
    <row r="794">
      <c r="I794" s="4" t="n"/>
    </row>
    <row r="795">
      <c r="I795" s="4" t="n"/>
    </row>
    <row r="796">
      <c r="I796" s="4" t="n"/>
    </row>
    <row r="797">
      <c r="I797" s="4" t="n"/>
    </row>
    <row r="798">
      <c r="I798" s="4" t="n"/>
    </row>
    <row r="799">
      <c r="I799" s="4" t="n"/>
    </row>
    <row r="800">
      <c r="I800" s="4" t="n"/>
    </row>
    <row r="801">
      <c r="I801" s="4" t="n"/>
    </row>
    <row r="802">
      <c r="I802" s="4" t="n"/>
    </row>
    <row r="803">
      <c r="I803" s="4" t="n"/>
    </row>
    <row r="804">
      <c r="I804" s="4" t="n"/>
    </row>
    <row r="805">
      <c r="I805" s="4" t="n"/>
    </row>
    <row r="806">
      <c r="I806" s="4" t="n"/>
    </row>
    <row r="807">
      <c r="I807" s="4" t="n"/>
    </row>
    <row r="808">
      <c r="I808" s="4" t="n"/>
    </row>
    <row r="809">
      <c r="I809" s="4" t="n"/>
    </row>
    <row r="810">
      <c r="I810" s="4" t="n"/>
    </row>
    <row r="811">
      <c r="I811" s="4" t="n"/>
    </row>
    <row r="812">
      <c r="I812" s="4" t="n"/>
    </row>
    <row r="813">
      <c r="I813" s="4" t="n"/>
    </row>
    <row r="814">
      <c r="I814" s="4" t="n"/>
    </row>
    <row r="815">
      <c r="I815" s="4" t="n"/>
    </row>
    <row r="816">
      <c r="I816" s="4" t="n"/>
    </row>
    <row r="817">
      <c r="I817" s="4" t="n"/>
    </row>
    <row r="818">
      <c r="I818" s="4" t="n"/>
    </row>
    <row r="819">
      <c r="I819" s="4" t="n"/>
    </row>
    <row r="820">
      <c r="I820" s="4" t="n"/>
    </row>
    <row r="821">
      <c r="I821" s="4" t="n"/>
    </row>
    <row r="822">
      <c r="I822" s="4" t="n"/>
    </row>
    <row r="823">
      <c r="I823" s="4" t="n"/>
    </row>
    <row r="824">
      <c r="I824" s="4" t="n"/>
    </row>
    <row r="825">
      <c r="I825" s="4" t="n"/>
    </row>
    <row r="826">
      <c r="I826" s="4" t="n"/>
    </row>
    <row r="827">
      <c r="I827" s="4" t="n"/>
    </row>
    <row r="828">
      <c r="I828" s="4" t="n"/>
    </row>
    <row r="829">
      <c r="I829" s="4" t="n"/>
    </row>
    <row r="830">
      <c r="I830" s="4" t="n"/>
    </row>
    <row r="831">
      <c r="I831" s="4" t="n"/>
    </row>
    <row r="832">
      <c r="I832" s="4" t="n"/>
    </row>
    <row r="833">
      <c r="I833" s="4" t="n"/>
    </row>
    <row r="834">
      <c r="I834" s="4" t="n"/>
    </row>
    <row r="835">
      <c r="I835" s="4" t="n"/>
    </row>
    <row r="836">
      <c r="I836" s="4" t="n"/>
    </row>
    <row r="837">
      <c r="I837" s="4" t="n"/>
    </row>
    <row r="838">
      <c r="I838" s="4" t="n"/>
    </row>
    <row r="839">
      <c r="I839" s="4" t="n"/>
    </row>
    <row r="840">
      <c r="I840" s="4" t="n"/>
    </row>
    <row r="841">
      <c r="I841" s="4" t="n"/>
    </row>
    <row r="842">
      <c r="I842" s="4" t="n"/>
    </row>
    <row r="843">
      <c r="I843" s="4" t="n"/>
    </row>
    <row r="844">
      <c r="I844" s="4" t="n"/>
    </row>
    <row r="845">
      <c r="I845" s="4" t="n"/>
    </row>
    <row r="846">
      <c r="I846" s="4" t="n"/>
    </row>
    <row r="847">
      <c r="I847" s="4" t="n"/>
    </row>
    <row r="848">
      <c r="I848" s="4" t="n"/>
    </row>
    <row r="849">
      <c r="I849" s="4" t="n"/>
    </row>
    <row r="850">
      <c r="I850" s="4" t="n"/>
    </row>
    <row r="851">
      <c r="I851" s="4" t="n"/>
    </row>
    <row r="852">
      <c r="I852" s="4" t="n"/>
    </row>
    <row r="853">
      <c r="I853" s="4" t="n"/>
    </row>
    <row r="854">
      <c r="I854" s="4" t="n"/>
    </row>
    <row r="855">
      <c r="I855" s="4" t="n"/>
    </row>
    <row r="856">
      <c r="I856" s="4" t="n"/>
    </row>
    <row r="857">
      <c r="I857" s="4" t="n"/>
    </row>
    <row r="858">
      <c r="I858" s="4" t="n"/>
    </row>
    <row r="859">
      <c r="I859" s="4" t="n"/>
    </row>
    <row r="860">
      <c r="I860" s="4" t="n"/>
    </row>
    <row r="861">
      <c r="I861" s="4" t="n"/>
    </row>
    <row r="862">
      <c r="I862" s="4" t="n"/>
    </row>
    <row r="863">
      <c r="I863" s="4" t="n"/>
    </row>
    <row r="864">
      <c r="I864" s="4" t="n"/>
    </row>
    <row r="865">
      <c r="I865" s="4" t="n"/>
    </row>
    <row r="866">
      <c r="I866" s="4" t="n"/>
    </row>
    <row r="867">
      <c r="I867" s="4" t="n"/>
    </row>
    <row r="868">
      <c r="I868" s="4" t="n"/>
    </row>
    <row r="869">
      <c r="I869" s="4" t="n"/>
    </row>
    <row r="870">
      <c r="I870" s="4" t="n"/>
    </row>
    <row r="871">
      <c r="I871" s="4" t="n"/>
    </row>
    <row r="872">
      <c r="I872" s="4" t="n"/>
    </row>
    <row r="873">
      <c r="I873" s="4" t="n"/>
    </row>
    <row r="874">
      <c r="I874" s="4" t="n"/>
    </row>
    <row r="875">
      <c r="I875" s="4" t="n"/>
    </row>
    <row r="876">
      <c r="I876" s="4" t="n"/>
    </row>
    <row r="877">
      <c r="I877" s="4" t="n"/>
    </row>
    <row r="878">
      <c r="I878" s="4" t="n"/>
    </row>
    <row r="879">
      <c r="I879" s="4" t="n"/>
    </row>
    <row r="880">
      <c r="I880" s="4" t="n"/>
    </row>
    <row r="881">
      <c r="I881" s="4" t="n"/>
    </row>
    <row r="882">
      <c r="I882" s="4" t="n"/>
    </row>
    <row r="883">
      <c r="I883" s="4" t="n"/>
    </row>
    <row r="884">
      <c r="I884" s="4" t="n"/>
    </row>
    <row r="885">
      <c r="I885" s="4" t="n"/>
    </row>
    <row r="886">
      <c r="I886" s="4" t="n"/>
    </row>
    <row r="887">
      <c r="I887" s="4" t="n"/>
    </row>
    <row r="888">
      <c r="I888" s="4" t="n"/>
    </row>
    <row r="889">
      <c r="I889" s="4" t="n"/>
    </row>
    <row r="890">
      <c r="I890" s="4" t="n"/>
    </row>
    <row r="891">
      <c r="I891" s="4" t="n"/>
    </row>
    <row r="892">
      <c r="I892" s="4" t="n"/>
    </row>
    <row r="893">
      <c r="I893" s="4" t="n"/>
    </row>
    <row r="894">
      <c r="I894" s="4" t="n"/>
    </row>
    <row r="895">
      <c r="I895" s="4" t="n"/>
    </row>
    <row r="896">
      <c r="I896" s="4" t="n"/>
    </row>
    <row r="897">
      <c r="I897" s="4" t="n"/>
    </row>
    <row r="898">
      <c r="I898" s="4" t="n"/>
    </row>
    <row r="899">
      <c r="I899" s="4" t="n"/>
    </row>
    <row r="900">
      <c r="I900" s="4" t="n"/>
    </row>
    <row r="901">
      <c r="I901" s="4" t="n"/>
    </row>
    <row r="902">
      <c r="I902" s="4" t="n"/>
    </row>
    <row r="903">
      <c r="I903" s="4" t="n"/>
    </row>
    <row r="904">
      <c r="I904" s="4" t="n"/>
    </row>
    <row r="905">
      <c r="I905" s="4" t="n"/>
    </row>
    <row r="906">
      <c r="I906" s="4" t="n"/>
    </row>
    <row r="907">
      <c r="I907" s="4" t="n"/>
    </row>
    <row r="908">
      <c r="I908" s="4" t="n"/>
    </row>
    <row r="909">
      <c r="I909" s="4" t="n"/>
    </row>
    <row r="910">
      <c r="I910" s="4" t="n"/>
    </row>
    <row r="911">
      <c r="I911" s="4" t="n"/>
    </row>
    <row r="912">
      <c r="I912" s="4" t="n"/>
    </row>
    <row r="913">
      <c r="I913" s="4" t="n"/>
    </row>
    <row r="914">
      <c r="I914" s="4" t="n"/>
    </row>
    <row r="915">
      <c r="I915" s="4" t="n"/>
    </row>
    <row r="916">
      <c r="I916" s="4" t="n"/>
    </row>
    <row r="917">
      <c r="I917" s="4" t="n"/>
    </row>
    <row r="918">
      <c r="I918" s="4" t="n"/>
    </row>
    <row r="919">
      <c r="I919" s="4" t="n"/>
    </row>
    <row r="920">
      <c r="I920" s="4" t="n"/>
    </row>
    <row r="921">
      <c r="I921" s="4" t="n"/>
    </row>
    <row r="922">
      <c r="I922" s="4" t="n"/>
    </row>
    <row r="923">
      <c r="I923" s="4" t="n"/>
    </row>
    <row r="924">
      <c r="I924" s="4" t="n"/>
    </row>
    <row r="925">
      <c r="I925" s="4" t="n"/>
    </row>
    <row r="926">
      <c r="I926" s="4" t="n"/>
    </row>
    <row r="927">
      <c r="I927" s="4" t="n"/>
    </row>
    <row r="928">
      <c r="I928" s="4" t="n"/>
    </row>
    <row r="929">
      <c r="I929" s="4" t="n"/>
    </row>
    <row r="930">
      <c r="I930" s="4" t="n"/>
    </row>
    <row r="931">
      <c r="I931" s="4" t="n"/>
    </row>
    <row r="932">
      <c r="I932" s="4" t="n"/>
    </row>
    <row r="933">
      <c r="I933" s="4" t="n"/>
    </row>
    <row r="934">
      <c r="I934" s="4" t="n"/>
    </row>
    <row r="935">
      <c r="I935" s="4" t="n"/>
    </row>
    <row r="936">
      <c r="I936" s="4" t="n"/>
    </row>
    <row r="937">
      <c r="I937" s="4" t="n"/>
    </row>
    <row r="938">
      <c r="I938" s="4" t="n"/>
    </row>
    <row r="939">
      <c r="I939" s="4" t="n"/>
    </row>
    <row r="940">
      <c r="I940" s="4" t="n"/>
    </row>
    <row r="941">
      <c r="I941" s="4" t="n"/>
    </row>
    <row r="942">
      <c r="I942" s="4" t="n"/>
    </row>
    <row r="943">
      <c r="I943" s="4" t="n"/>
    </row>
    <row r="944">
      <c r="I944" s="4" t="n"/>
    </row>
    <row r="945">
      <c r="I945" s="4" t="n"/>
    </row>
    <row r="946">
      <c r="I946" s="4" t="n"/>
    </row>
    <row r="947">
      <c r="I947" s="4" t="n"/>
    </row>
    <row r="948">
      <c r="I948" s="4" t="n"/>
    </row>
    <row r="949">
      <c r="I949" s="4" t="n"/>
    </row>
    <row r="950">
      <c r="I950" s="4" t="n"/>
    </row>
    <row r="951">
      <c r="I951" s="4" t="n"/>
    </row>
    <row r="952">
      <c r="I952" s="4" t="n"/>
    </row>
    <row r="953">
      <c r="I953" s="4" t="n"/>
    </row>
    <row r="954">
      <c r="I954" s="4" t="n"/>
    </row>
    <row r="955">
      <c r="I955" s="4" t="n"/>
    </row>
    <row r="956">
      <c r="I956" s="4" t="n"/>
    </row>
    <row r="957">
      <c r="I957" s="4" t="n"/>
    </row>
    <row r="958">
      <c r="I958" s="4" t="n"/>
    </row>
    <row r="959">
      <c r="I959" s="4" t="n"/>
    </row>
    <row r="960">
      <c r="I960" s="4" t="n"/>
    </row>
    <row r="961">
      <c r="I961" s="4" t="n"/>
    </row>
    <row r="962">
      <c r="I962" s="4" t="n"/>
    </row>
    <row r="963">
      <c r="I963" s="4" t="n"/>
    </row>
    <row r="964">
      <c r="I964" s="4" t="n"/>
    </row>
    <row r="965">
      <c r="I965" s="4" t="n"/>
    </row>
    <row r="966">
      <c r="I966" s="4" t="n"/>
    </row>
    <row r="967">
      <c r="I967" s="4" t="n"/>
    </row>
    <row r="968">
      <c r="I968" s="4" t="n"/>
    </row>
    <row r="969">
      <c r="I969" s="4" t="n"/>
    </row>
    <row r="970">
      <c r="I970" s="4" t="n"/>
    </row>
    <row r="971">
      <c r="I971" s="4" t="n"/>
    </row>
    <row r="972">
      <c r="I972" s="4" t="n"/>
    </row>
    <row r="973">
      <c r="I973" s="4" t="n"/>
    </row>
    <row r="974">
      <c r="I974" s="4" t="n"/>
    </row>
    <row r="975">
      <c r="I975" s="4" t="n"/>
    </row>
    <row r="976">
      <c r="I976" s="4" t="n"/>
    </row>
    <row r="977">
      <c r="I977" s="4" t="n"/>
    </row>
    <row r="978">
      <c r="I978" s="4" t="n"/>
    </row>
    <row r="979">
      <c r="I979" s="4" t="n"/>
    </row>
    <row r="980">
      <c r="I980" s="4" t="n"/>
    </row>
    <row r="981">
      <c r="I981" s="4" t="n"/>
    </row>
    <row r="982">
      <c r="I982" s="4" t="n"/>
    </row>
    <row r="983">
      <c r="I983" s="4" t="n"/>
    </row>
    <row r="984">
      <c r="I984" s="4" t="n"/>
    </row>
    <row r="985">
      <c r="I985" s="4" t="n"/>
    </row>
    <row r="986">
      <c r="I986" s="4" t="n"/>
    </row>
    <row r="987">
      <c r="I987" s="4" t="n"/>
    </row>
    <row r="988">
      <c r="I988" s="4" t="n"/>
    </row>
    <row r="989">
      <c r="I989" s="4" t="n"/>
    </row>
    <row r="990">
      <c r="I990" s="4" t="n"/>
    </row>
    <row r="991">
      <c r="I991" s="4" t="n"/>
    </row>
    <row r="992">
      <c r="I992" s="4" t="n"/>
    </row>
    <row r="993">
      <c r="I993" s="4" t="n"/>
    </row>
    <row r="994">
      <c r="I994" s="4" t="n"/>
    </row>
    <row r="995">
      <c r="I995" s="4" t="n"/>
    </row>
    <row r="996">
      <c r="I996" s="4" t="n"/>
    </row>
    <row r="997">
      <c r="I997" s="4" t="n"/>
    </row>
    <row r="998">
      <c r="I998" s="4" t="n"/>
    </row>
    <row r="999">
      <c r="I999" s="4" t="n"/>
    </row>
    <row r="1000">
      <c r="I1000" s="4"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3" t="inlineStr">
        <is>
          <t>Plains / Planície</t>
        </is>
      </c>
      <c r="B2" s="13" t="inlineStr">
        <is>
          <t>Basic Land — Plains / Terreno Básico — Planície</t>
        </is>
      </c>
      <c r="C2" s="13" t="inlineStr">
        <is>
          <t>Common / Comum</t>
        </is>
      </c>
      <c r="D2" s="13" t="inlineStr">
        <is>
          <t>({T}: Add {W}.) / W</t>
        </is>
      </c>
      <c r="F2" s="13" t="inlineStr">
        <is>
          <t>Branco</t>
        </is>
      </c>
      <c r="G2" s="8" t="n">
        <v>0.45</v>
      </c>
      <c r="H2" s="13" t="inlineStr">
        <is>
          <t>Core Set 2021</t>
        </is>
      </c>
      <c r="I2" s="13" t="inlineStr">
        <is>
          <t>Sim</t>
        </is>
      </c>
      <c r="J2" s="13" t="n">
        <v>2020</v>
      </c>
      <c r="L2" s="13" t="n">
        <v>1</v>
      </c>
      <c r="M2" s="8">
        <f>L2*G2</f>
        <v/>
      </c>
      <c r="N2" s="13" t="inlineStr">
        <is>
          <t>Bulk Shopee</t>
        </is>
      </c>
    </row>
    <row r="3">
      <c r="A3" s="13" t="inlineStr">
        <is>
          <t>Deliberate / Deliberar</t>
        </is>
      </c>
      <c r="B3" s="13" t="inlineStr">
        <is>
          <t>Instant / Mágica Instantânea</t>
        </is>
      </c>
      <c r="C3" s="13" t="inlineStr">
        <is>
          <t>Common / Comum</t>
        </is>
      </c>
      <c r="D3" s="13" t="inlineStr">
        <is>
          <t>Scry 2, then draw a card. / Use vidência 2, depois compre um card.</t>
        </is>
      </c>
      <c r="E3" s="13" t="inlineStr">
        <is>
          <t>{1}{U}</t>
        </is>
      </c>
      <c r="F3" s="13" t="inlineStr">
        <is>
          <t>Azul</t>
        </is>
      </c>
      <c r="G3" s="8" t="n">
        <v>0.43</v>
      </c>
      <c r="H3" s="13" t="inlineStr">
        <is>
          <t>Zendikar Rising (ZNR)</t>
        </is>
      </c>
      <c r="I3" s="13" t="inlineStr">
        <is>
          <t>Sim</t>
        </is>
      </c>
      <c r="J3" s="13" t="n">
        <v>2020</v>
      </c>
      <c r="L3" s="13" t="n">
        <v>1</v>
      </c>
      <c r="M3" s="8">
        <f>L3*G3</f>
        <v/>
      </c>
      <c r="N3" s="13" t="inlineStr">
        <is>
          <t>Bulk Shopee</t>
        </is>
      </c>
    </row>
    <row r="4">
      <c r="A4" s="13" t="inlineStr">
        <is>
          <t>Theater of Horrors / Teatro de Horrores</t>
        </is>
      </c>
      <c r="B4" s="13" t="inlineStr">
        <is>
          <t>Enchantment / Encantamento</t>
        </is>
      </c>
      <c r="C4" s="13" t="inlineStr">
        <is>
          <t>Rare / Rara</t>
        </is>
      </c>
      <c r="D4" s="13"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3" t="inlineStr">
        <is>
          <t>{1}{B}{R}</t>
        </is>
      </c>
      <c r="F4" s="13" t="inlineStr">
        <is>
          <t>Preto, Vermelho</t>
        </is>
      </c>
      <c r="G4" s="8" t="n">
        <v>0.25</v>
      </c>
      <c r="H4" s="13" t="inlineStr">
        <is>
          <t>Forgotten Realms Commander</t>
        </is>
      </c>
      <c r="I4" s="13" t="inlineStr">
        <is>
          <t>Não</t>
        </is>
      </c>
      <c r="J4" s="13" t="n">
        <v>2021</v>
      </c>
      <c r="L4" s="13" t="n">
        <v>1</v>
      </c>
      <c r="M4" s="8">
        <f>L4*G4</f>
        <v/>
      </c>
      <c r="N4" s="13" t="inlineStr">
        <is>
          <t>Bulk Shopee</t>
        </is>
      </c>
    </row>
    <row r="5">
      <c r="A5" s="13" t="inlineStr">
        <is>
          <t>Temur Charm / Amuleto Temur</t>
        </is>
      </c>
      <c r="B5" s="13" t="inlineStr">
        <is>
          <t>Instant / Mágica Instantânea</t>
        </is>
      </c>
      <c r="C5" s="13" t="inlineStr">
        <is>
          <t>Uncommon / Incomum</t>
        </is>
      </c>
      <c r="D5" s="13"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3" t="inlineStr">
        <is>
          <t>{G}{U}{R}</t>
        </is>
      </c>
      <c r="F5" s="13" t="inlineStr">
        <is>
          <t>Verde, Vermelho, Azul</t>
        </is>
      </c>
      <c r="G5" s="8" t="n">
        <v>0.09</v>
      </c>
      <c r="H5" s="13" t="inlineStr">
        <is>
          <t>Khans of Tarkir (KTK)</t>
        </is>
      </c>
      <c r="I5" s="13" t="inlineStr">
        <is>
          <t>Não</t>
        </is>
      </c>
      <c r="J5" s="13" t="n">
        <v>2014</v>
      </c>
      <c r="L5" s="13" t="n">
        <v>1</v>
      </c>
      <c r="M5" s="8">
        <f>L5*G5</f>
        <v/>
      </c>
      <c r="N5" s="13" t="inlineStr">
        <is>
          <t>Bulk Shopee</t>
        </is>
      </c>
    </row>
    <row r="6">
      <c r="A6" s="13" t="inlineStr">
        <is>
          <t>Intrusive Packbeast / Besta de Carga Invasiva</t>
        </is>
      </c>
      <c r="B6" s="13" t="inlineStr">
        <is>
          <t>Creature — Beast / Criatura — Besta</t>
        </is>
      </c>
      <c r="C6" s="13" t="inlineStr">
        <is>
          <t>Common / Comum</t>
        </is>
      </c>
      <c r="D6" s="13" t="inlineStr">
        <is>
          <t>Vigilance When this creature enters, tap up to two target creatures your opponents control. / Vigilância Quando Besta de Carga Invasiva entrar no campo de batalha, vire até duas criaturas alvo que seus oponentes controlam.</t>
        </is>
      </c>
      <c r="E6" s="13" t="inlineStr">
        <is>
          <t>{4}{W}</t>
        </is>
      </c>
      <c r="F6" s="13" t="inlineStr">
        <is>
          <t>Branco</t>
        </is>
      </c>
      <c r="G6" s="8" t="n">
        <v>0.03</v>
      </c>
      <c r="H6" s="13" t="inlineStr">
        <is>
          <t>Guilds of Ravnica (GRN)</t>
        </is>
      </c>
      <c r="I6" s="13" t="inlineStr">
        <is>
          <t>Não</t>
        </is>
      </c>
      <c r="J6" s="13" t="n">
        <v>2018</v>
      </c>
      <c r="K6" s="10" t="n">
        <v>46084</v>
      </c>
      <c r="L6" s="13" t="n">
        <v>1</v>
      </c>
      <c r="M6" s="8">
        <f>L6*G6</f>
        <v/>
      </c>
      <c r="N6" s="13" t="inlineStr">
        <is>
          <t>Bulk Shopee</t>
        </is>
      </c>
    </row>
    <row r="7">
      <c r="A7" s="13" t="inlineStr">
        <is>
          <t>Urban Utopia / Utopia Urbana</t>
        </is>
      </c>
      <c r="B7" s="13" t="inlineStr">
        <is>
          <t>Enchantment — Aura / Encantamento — Aura</t>
        </is>
      </c>
      <c r="C7" s="13" t="inlineStr">
        <is>
          <t>Common / Comum</t>
        </is>
      </c>
      <c r="D7" s="13" t="inlineStr">
        <is>
          <t>Enchant land When this Aura enters, draw a card. Enchanted land has "{T}: Add one mana of any color." / Encantar terreno Quando Utopia Urbana entrar no campo de batalha, compre um card. O terreno encantado tem "{T}: Adicione um mana de qualquer cor".</t>
        </is>
      </c>
      <c r="E7" s="13" t="inlineStr">
        <is>
          <t>{1}{G}</t>
        </is>
      </c>
      <c r="F7" s="13" t="inlineStr">
        <is>
          <t>Verde</t>
        </is>
      </c>
      <c r="G7" s="8" t="n">
        <v>0.03</v>
      </c>
      <c r="H7" s="13" t="inlineStr">
        <is>
          <t>Guilds of Ravnica (GRN)</t>
        </is>
      </c>
      <c r="I7" s="13" t="inlineStr">
        <is>
          <t>Não</t>
        </is>
      </c>
      <c r="J7" s="13" t="n">
        <v>2018</v>
      </c>
      <c r="L7" s="13" t="n">
        <v>1</v>
      </c>
      <c r="M7" s="8">
        <f>L7*G7</f>
        <v/>
      </c>
      <c r="N7" s="13" t="inlineStr">
        <is>
          <t>Bulk Shopee</t>
        </is>
      </c>
    </row>
    <row r="8">
      <c r="A8" s="13" t="inlineStr">
        <is>
          <t>Carnival // Carnage / Carnaval // Carnificina</t>
        </is>
      </c>
      <c r="B8" s="13" t="inlineStr">
        <is>
          <t>Instant // Sorcery / Mágica Instantânea</t>
        </is>
      </c>
      <c r="C8" s="13" t="inlineStr">
        <is>
          <t>Uncommon / Incomum</t>
        </is>
      </c>
      <c r="D8" s="13"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3" t="inlineStr">
        <is>
          <t>{B/R} // {2}{B}{R}</t>
        </is>
      </c>
      <c r="F8" s="13" t="inlineStr">
        <is>
          <t>Preto, Vermelho</t>
        </is>
      </c>
      <c r="G8" s="8" t="n">
        <v>0.09</v>
      </c>
      <c r="H8" s="13" t="inlineStr">
        <is>
          <t>Ravnica Allegiance (RNA)</t>
        </is>
      </c>
      <c r="I8" s="13" t="inlineStr">
        <is>
          <t>Não</t>
        </is>
      </c>
      <c r="J8" s="13" t="n">
        <v>2019</v>
      </c>
      <c r="L8" s="13" t="n">
        <v>1</v>
      </c>
      <c r="M8" s="8">
        <f>L8*G8</f>
        <v/>
      </c>
      <c r="N8" s="13" t="inlineStr">
        <is>
          <t>Bulk Shopee</t>
        </is>
      </c>
    </row>
    <row r="9">
      <c r="A9" s="13" t="inlineStr">
        <is>
          <t>Errant Doomsayers / Áugure do Infortúnio Errante</t>
        </is>
      </c>
      <c r="B9" s="13" t="inlineStr">
        <is>
          <t>Creature — Human Rebel / Criatura — Humano Rebelde</t>
        </is>
      </c>
      <c r="C9" s="13" t="inlineStr">
        <is>
          <t>Common / Comum</t>
        </is>
      </c>
      <c r="D9" s="13" t="inlineStr">
        <is>
          <t>{T}: Tap target creature with toughness 2 or less. / {T}: Vire a criatura alvo com resistência igual ou inferior a 2.</t>
        </is>
      </c>
      <c r="E9" s="13" t="inlineStr">
        <is>
          <t>{1}{W}</t>
        </is>
      </c>
      <c r="F9" s="13" t="inlineStr">
        <is>
          <t>Branco</t>
        </is>
      </c>
      <c r="G9" s="8" t="n">
        <v>0.06</v>
      </c>
      <c r="H9" s="13" t="inlineStr">
        <is>
          <t>Time Spiral Remastered (TSR)</t>
        </is>
      </c>
      <c r="I9" s="13" t="inlineStr">
        <is>
          <t>Não</t>
        </is>
      </c>
      <c r="J9" s="13" t="n">
        <v>2021</v>
      </c>
      <c r="K9" s="10" t="n">
        <v>46023</v>
      </c>
      <c r="L9" s="13" t="n">
        <v>1</v>
      </c>
      <c r="M9" s="8">
        <f>L9*G9</f>
        <v/>
      </c>
      <c r="N9" s="13" t="inlineStr">
        <is>
          <t>Bulk Shopee</t>
        </is>
      </c>
    </row>
    <row r="10">
      <c r="A10" s="13" t="inlineStr">
        <is>
          <t>Benalish Cavalry / Cavalaria de Benália</t>
        </is>
      </c>
      <c r="B10" s="13" t="inlineStr">
        <is>
          <t>Creature — Human Knight / Criatura — Humano Cavaleiro</t>
        </is>
      </c>
      <c r="C10" s="13" t="inlineStr">
        <is>
          <t>Common / Comum</t>
        </is>
      </c>
      <c r="D10" s="13" t="inlineStr">
        <is>
          <t>Flanking (Whenever a creature without flanking blocks this creature, the blocking creature gets -1/-1 until end of turn.) / Flanquear (Toda vez que uma criatura sem flanquear bloquear esta criatura, a criatura bloqueadora receberá -1/-1 até o final do turno.)</t>
        </is>
      </c>
      <c r="E10" s="13" t="inlineStr">
        <is>
          <t>{1}{W}</t>
        </is>
      </c>
      <c r="F10" s="13" t="inlineStr">
        <is>
          <t>Branco</t>
        </is>
      </c>
      <c r="G10" s="8" t="n">
        <v>0.09</v>
      </c>
      <c r="H10" s="13" t="inlineStr">
        <is>
          <t>Time Spiral Remastered (TSR)</t>
        </is>
      </c>
      <c r="I10" s="13" t="inlineStr">
        <is>
          <t>Não</t>
        </is>
      </c>
      <c r="J10" s="13" t="n">
        <v>2021</v>
      </c>
      <c r="K10" s="10" t="n">
        <v>46055</v>
      </c>
      <c r="L10" s="13" t="n">
        <v>1</v>
      </c>
      <c r="M10" s="8">
        <f>L10*G10</f>
        <v/>
      </c>
      <c r="N10" s="13" t="inlineStr">
        <is>
          <t>Bulk Shopee</t>
        </is>
      </c>
    </row>
    <row r="11">
      <c r="A11" s="13" t="inlineStr">
        <is>
          <t>Diplomacy of the Wastes / Diplomacia dos Ermos</t>
        </is>
      </c>
      <c r="B11" s="13" t="inlineStr">
        <is>
          <t>Sorcery / Feitiço</t>
        </is>
      </c>
      <c r="C11" s="13" t="inlineStr">
        <is>
          <t>Uncommon / Incomum</t>
        </is>
      </c>
      <c r="D11" s="13"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3" t="inlineStr">
        <is>
          <t>{2}{B}</t>
        </is>
      </c>
      <c r="F11" s="13" t="inlineStr">
        <is>
          <t>Preto</t>
        </is>
      </c>
      <c r="G11" s="8" t="n">
        <v>0.08</v>
      </c>
      <c r="H11" s="13" t="inlineStr">
        <is>
          <t>Fate Reforged (FRF)</t>
        </is>
      </c>
      <c r="I11" s="13" t="inlineStr">
        <is>
          <t>Não</t>
        </is>
      </c>
      <c r="J11" s="13" t="n">
        <v>2015</v>
      </c>
      <c r="L11" s="13" t="n">
        <v>1</v>
      </c>
      <c r="M11" s="8">
        <f>L11*G11</f>
        <v/>
      </c>
      <c r="N11" s="13" t="inlineStr">
        <is>
          <t>Bulk Shopee</t>
        </is>
      </c>
    </row>
    <row r="12">
      <c r="A12" s="13" t="inlineStr">
        <is>
          <t>So Tiny / Tão Pequenininho</t>
        </is>
      </c>
      <c r="B12" s="13" t="inlineStr">
        <is>
          <t>Enchantment — Aura / Encantamento — Aura</t>
        </is>
      </c>
      <c r="C12" s="13" t="inlineStr">
        <is>
          <t>Common / Comum</t>
        </is>
      </c>
      <c r="D12" s="13"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3" t="inlineStr">
        <is>
          <t>{U}</t>
        </is>
      </c>
      <c r="F12" s="13" t="inlineStr">
        <is>
          <t>Azul</t>
        </is>
      </c>
      <c r="G12" s="8" t="n">
        <v>0.03</v>
      </c>
      <c r="H12" s="13" t="inlineStr">
        <is>
          <t>Throne of Eldraine (ELD)</t>
        </is>
      </c>
      <c r="I12" s="13" t="inlineStr">
        <is>
          <t>Não</t>
        </is>
      </c>
      <c r="J12" s="13" t="n">
        <v>2019</v>
      </c>
      <c r="L12" s="13" t="n">
        <v>1</v>
      </c>
      <c r="M12" s="8">
        <f>L12*G12</f>
        <v/>
      </c>
      <c r="N12" s="13" t="inlineStr">
        <is>
          <t>Bulk Shopee</t>
        </is>
      </c>
    </row>
    <row r="13">
      <c r="A13" s="13" t="inlineStr">
        <is>
          <t>Jace's Defeat / Derrota de Jace</t>
        </is>
      </c>
      <c r="B13" s="13" t="inlineStr">
        <is>
          <t>Instant / Mágica Instantânea</t>
        </is>
      </c>
      <c r="C13" s="13" t="inlineStr">
        <is>
          <t>Uncommon / Incomum</t>
        </is>
      </c>
      <c r="D13" s="13" t="inlineStr">
        <is>
          <t>Counter target blue spell. If it was a Jace planeswalker spell, scry 2. / Anule a mágica azul alvo. Se ela era uma mágica de planeswalker Jace, use vidência 2.</t>
        </is>
      </c>
      <c r="E13" s="13" t="inlineStr">
        <is>
          <t>{1}{U}</t>
        </is>
      </c>
      <c r="F13" s="13" t="inlineStr">
        <is>
          <t>Azul</t>
        </is>
      </c>
      <c r="G13" s="8" t="n">
        <v>0.06</v>
      </c>
      <c r="H13" s="13" t="inlineStr">
        <is>
          <t>Hour of Devastation (HOU)</t>
        </is>
      </c>
      <c r="I13" s="13" t="inlineStr">
        <is>
          <t>Não</t>
        </is>
      </c>
      <c r="J13" s="13" t="n">
        <v>2017</v>
      </c>
      <c r="L13" s="13" t="n">
        <v>1</v>
      </c>
      <c r="M13" s="8">
        <f>L13*G13</f>
        <v/>
      </c>
      <c r="N13" s="13" t="inlineStr">
        <is>
          <t>Bulk Shopee</t>
        </is>
      </c>
    </row>
    <row r="14">
      <c r="A14" s="13" t="inlineStr">
        <is>
          <t>Wicker Witch / Bruxa de Vime</t>
        </is>
      </c>
      <c r="B14" s="13" t="inlineStr">
        <is>
          <t>Artifact Creature — Scarecrow / Criatura Artefato — Espantalho</t>
        </is>
      </c>
      <c r="C14" s="13" t="inlineStr">
        <is>
          <t>Common / Comum</t>
        </is>
      </c>
      <c r="E14" s="13" t="inlineStr">
        <is>
          <t>{3}</t>
        </is>
      </c>
      <c r="F14" s="13" t="inlineStr">
        <is>
          <t>Incolor</t>
        </is>
      </c>
      <c r="G14" s="8" t="n">
        <v>0.05</v>
      </c>
      <c r="H14" s="13" t="inlineStr">
        <is>
          <t>Shadows over Innistrad (SOI)</t>
        </is>
      </c>
      <c r="I14" s="13" t="inlineStr">
        <is>
          <t>Não</t>
        </is>
      </c>
      <c r="J14" s="13" t="n">
        <v>2016</v>
      </c>
      <c r="K14" s="10" t="n">
        <v>46025</v>
      </c>
      <c r="L14" s="13" t="n">
        <v>1</v>
      </c>
      <c r="M14" s="8">
        <f>L14*G14</f>
        <v/>
      </c>
      <c r="N14" s="13" t="inlineStr">
        <is>
          <t>Bulk Shopee</t>
        </is>
      </c>
    </row>
    <row r="15">
      <c r="A15" s="13" t="inlineStr">
        <is>
          <t>Universal Solvent / Solvente Universal</t>
        </is>
      </c>
      <c r="B15" s="13" t="inlineStr">
        <is>
          <t>Artifact / Artefato</t>
        </is>
      </c>
      <c r="C15" s="13" t="inlineStr">
        <is>
          <t>Common / Comum</t>
        </is>
      </c>
      <c r="D15" s="13" t="inlineStr">
        <is>
          <t>{7}, {T}, Sacrifice this artifact: Destroy target permanent. / {7}, {T}, sacrifique Solvente Universal: Destrua a permanente alvo.</t>
        </is>
      </c>
      <c r="E15" s="13" t="inlineStr">
        <is>
          <t>{1}</t>
        </is>
      </c>
      <c r="F15" s="13" t="inlineStr">
        <is>
          <t>Incolor</t>
        </is>
      </c>
      <c r="G15" s="8" t="n">
        <v>0.03</v>
      </c>
      <c r="H15" s="13" t="inlineStr">
        <is>
          <t>Aether Revolt (AER)</t>
        </is>
      </c>
      <c r="I15" s="13" t="inlineStr">
        <is>
          <t>Não</t>
        </is>
      </c>
      <c r="J15" s="13" t="n">
        <v>2017</v>
      </c>
      <c r="L15" s="13" t="n">
        <v>1</v>
      </c>
      <c r="M15" s="8">
        <f>L15*G15</f>
        <v/>
      </c>
      <c r="N15" s="13" t="inlineStr">
        <is>
          <t>Bulk Shopee</t>
        </is>
      </c>
    </row>
    <row r="16">
      <c r="A16" s="13" t="inlineStr">
        <is>
          <t>Cinder Barrens / Desolação de Cinzas</t>
        </is>
      </c>
      <c r="B16" s="13" t="inlineStr">
        <is>
          <t>Land / Terreno</t>
        </is>
      </c>
      <c r="C16" s="13" t="inlineStr">
        <is>
          <t>Uncommon / Incomum</t>
        </is>
      </c>
      <c r="D16" s="13" t="inlineStr">
        <is>
          <t>This land enters tapped. {T}: Add {B} or {R}. / Desolação de Cinzas entra no campo de batalha virada. {T}: Adicione {B} ou {R}.</t>
        </is>
      </c>
      <c r="F16" s="13" t="inlineStr">
        <is>
          <t>Preto, Vermelho</t>
        </is>
      </c>
      <c r="G16" s="8" t="n">
        <v>0.19</v>
      </c>
      <c r="H16" s="13" t="inlineStr">
        <is>
          <t>Oath of the Gatewatch (OGW)</t>
        </is>
      </c>
      <c r="I16" s="13" t="inlineStr">
        <is>
          <t>Não</t>
        </is>
      </c>
      <c r="J16" s="13" t="n">
        <v>2016</v>
      </c>
      <c r="L16" s="13" t="n">
        <v>1</v>
      </c>
      <c r="M16" s="8">
        <f>L16*G16</f>
        <v/>
      </c>
      <c r="N16" s="13" t="inlineStr">
        <is>
          <t>Bulk Shopee</t>
        </is>
      </c>
    </row>
    <row r="17">
      <c r="A17" s="13" t="inlineStr">
        <is>
          <t>Coral Trickster / Trapaceira dos Corais</t>
        </is>
      </c>
      <c r="B17" s="13" t="inlineStr">
        <is>
          <t>Creature — Merfolk Rogue / Criatura — Tritão Ladino</t>
        </is>
      </c>
      <c r="C17" s="13" t="inlineStr">
        <is>
          <t>Common / Comum</t>
        </is>
      </c>
      <c r="D17" s="13"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3" t="inlineStr">
        <is>
          <t>{1}{U}</t>
        </is>
      </c>
      <c r="F17" s="13" t="inlineStr">
        <is>
          <t>Azul</t>
        </is>
      </c>
      <c r="G17" s="8" t="n">
        <v>0.12</v>
      </c>
      <c r="H17" s="13" t="inlineStr">
        <is>
          <t>Time Spiral Remastered (TSR)</t>
        </is>
      </c>
      <c r="I17" s="13" t="inlineStr">
        <is>
          <t>Não</t>
        </is>
      </c>
      <c r="J17" s="13" t="n">
        <v>2021</v>
      </c>
      <c r="K17" s="10" t="n">
        <v>46024</v>
      </c>
      <c r="L17" s="13" t="n">
        <v>1</v>
      </c>
      <c r="M17" s="8">
        <f>L17*G17</f>
        <v/>
      </c>
      <c r="N17" s="13" t="inlineStr">
        <is>
          <t>Bulk Shopee</t>
        </is>
      </c>
    </row>
    <row r="18">
      <c r="A18" s="13" t="inlineStr">
        <is>
          <t>Keldon Halberdier / Alabardeiro Keldoniano</t>
        </is>
      </c>
      <c r="B18" s="13" t="inlineStr">
        <is>
          <t>Creature — Human Warrior / Criatura — Humano Guerreiro</t>
        </is>
      </c>
      <c r="C18" s="13" t="inlineStr">
        <is>
          <t>Common / Comum</t>
        </is>
      </c>
      <c r="D18" s="13"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3" t="inlineStr">
        <is>
          <t>{4}{R}</t>
        </is>
      </c>
      <c r="F18" s="13" t="inlineStr">
        <is>
          <t>Vermelho</t>
        </is>
      </c>
      <c r="G18" s="8" t="n">
        <v>0.08</v>
      </c>
      <c r="H18" s="13" t="inlineStr">
        <is>
          <t>Time Spiral Remastered (TSR)</t>
        </is>
      </c>
      <c r="I18" s="13" t="inlineStr">
        <is>
          <t>Não</t>
        </is>
      </c>
      <c r="J18" s="13" t="n">
        <v>2021</v>
      </c>
      <c r="K18" s="10" t="n">
        <v>46026</v>
      </c>
      <c r="L18" s="13" t="n">
        <v>1</v>
      </c>
      <c r="M18" s="8">
        <f>L18*G18</f>
        <v/>
      </c>
      <c r="N18" s="13" t="inlineStr">
        <is>
          <t>Bulk Shopee</t>
        </is>
      </c>
    </row>
    <row r="19">
      <c r="A19" s="13" t="inlineStr">
        <is>
          <t>Utopia Vow / Promessa Utópica</t>
        </is>
      </c>
      <c r="B19" s="13" t="inlineStr">
        <is>
          <t>Enchantment — Aura / Encantamento — Aura</t>
        </is>
      </c>
      <c r="C19" s="13" t="inlineStr">
        <is>
          <t>Common / Comum</t>
        </is>
      </c>
      <c r="D19" s="13" t="inlineStr">
        <is>
          <t>Enchant creature Enchanted creature can't attack or block. Enchanted creature has "{T}: Add one mana of any color." / Encantar criatura A criatura encantada não pode atacar nem bloquear. A criatura encantada tem "{T}: Adicione um mana de qualquer cor".</t>
        </is>
      </c>
      <c r="E19" s="13" t="inlineStr">
        <is>
          <t>{1}{G}</t>
        </is>
      </c>
      <c r="F19" s="13" t="inlineStr">
        <is>
          <t>Verde</t>
        </is>
      </c>
      <c r="G19" s="8" t="n">
        <v>0.13</v>
      </c>
      <c r="H19" s="13" t="inlineStr">
        <is>
          <t>Time Spiral Remastered (TSR)</t>
        </is>
      </c>
      <c r="I19" s="13" t="inlineStr">
        <is>
          <t>Não</t>
        </is>
      </c>
      <c r="J19" s="13" t="n">
        <v>2021</v>
      </c>
      <c r="L19" s="13" t="n">
        <v>1</v>
      </c>
      <c r="M19" s="8">
        <f>L19*G19</f>
        <v/>
      </c>
      <c r="N19" s="13" t="inlineStr">
        <is>
          <t>Bulk Shopee</t>
        </is>
      </c>
    </row>
    <row r="20">
      <c r="A20" s="13" t="inlineStr">
        <is>
          <t>Regenesis / Regênese</t>
        </is>
      </c>
      <c r="B20" s="13" t="inlineStr">
        <is>
          <t>Instant / Mágica Instantânea</t>
        </is>
      </c>
      <c r="C20" s="13" t="inlineStr">
        <is>
          <t>Uncommon / Incomum</t>
        </is>
      </c>
      <c r="D20" s="13" t="inlineStr">
        <is>
          <t>Return up to two target permanent cards from your graveyard to your hand. / Devolva até dois cards de permanente alvo de seu cemitério para sua mão.</t>
        </is>
      </c>
      <c r="E20" s="13" t="inlineStr">
        <is>
          <t>{3}{G}{G}</t>
        </is>
      </c>
      <c r="F20" s="13" t="inlineStr">
        <is>
          <t>Verde</t>
        </is>
      </c>
      <c r="G20" s="8" t="n">
        <v>0.05</v>
      </c>
      <c r="H20" s="13" t="inlineStr">
        <is>
          <t>Ravnica Allegiance (RNA)</t>
        </is>
      </c>
      <c r="I20" s="13" t="inlineStr">
        <is>
          <t>Não</t>
        </is>
      </c>
      <c r="J20" s="13" t="n">
        <v>2019</v>
      </c>
      <c r="L20" s="13" t="n">
        <v>1</v>
      </c>
      <c r="M20" s="8">
        <f>L20*G20</f>
        <v/>
      </c>
      <c r="N20" s="13" t="inlineStr">
        <is>
          <t>Bulk Shopee</t>
        </is>
      </c>
    </row>
    <row r="21">
      <c r="A21" s="13" t="inlineStr">
        <is>
          <t>Mindmelter / Funde-mentes</t>
        </is>
      </c>
      <c r="B21" s="13" t="inlineStr">
        <is>
          <t>Creature — Eldrazi Drone / Criatura — Eldrazi Zangão</t>
        </is>
      </c>
      <c r="C21" s="13" t="inlineStr">
        <is>
          <t>Uncommon / Incomum</t>
        </is>
      </c>
      <c r="D21" s="13"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3" t="inlineStr">
        <is>
          <t>{1}{U}{B}</t>
        </is>
      </c>
      <c r="F21" s="13" t="inlineStr">
        <is>
          <t>Preto, Azul</t>
        </is>
      </c>
      <c r="G21" s="8" t="n">
        <v>0.08</v>
      </c>
      <c r="H21" s="13" t="inlineStr">
        <is>
          <t>Oath of the Gatewatch (OGW)</t>
        </is>
      </c>
      <c r="I21" s="13" t="inlineStr">
        <is>
          <t>Não</t>
        </is>
      </c>
      <c r="J21" s="13" t="n">
        <v>2016</v>
      </c>
      <c r="K21" s="10" t="n">
        <v>46055</v>
      </c>
      <c r="L21" s="13" t="n">
        <v>1</v>
      </c>
      <c r="M21" s="8">
        <f>L21*G21</f>
        <v/>
      </c>
      <c r="N21" s="13" t="inlineStr">
        <is>
          <t>Bulk Shopee</t>
        </is>
      </c>
    </row>
    <row r="22">
      <c r="A22" s="13" t="inlineStr">
        <is>
          <t>Consulate Turret / Torreão do Consulado</t>
        </is>
      </c>
      <c r="B22" s="13" t="inlineStr">
        <is>
          <t>Artifact / Artefato</t>
        </is>
      </c>
      <c r="C22" s="13" t="inlineStr">
        <is>
          <t>Common / Comum</t>
        </is>
      </c>
      <c r="D22" s="13" t="inlineStr">
        <is>
          <t>{T}: You get {E} (an energy counter). {T}, Pay {E}{E}{E}: This artifact deals 2 damage to target player or planeswalker. / {T}: Você recebe {E} (um marcador de energia). {T}, Pague {E}{E}{E}: Torreão do Consulado causa 2 pontos de dano ao jogador alvo.</t>
        </is>
      </c>
      <c r="E22" s="13" t="inlineStr">
        <is>
          <t>{3}</t>
        </is>
      </c>
      <c r="F22" s="13" t="inlineStr">
        <is>
          <t>Incolor</t>
        </is>
      </c>
      <c r="G22" s="8" t="n">
        <v>0.03</v>
      </c>
      <c r="H22" s="13" t="inlineStr">
        <is>
          <t>Aether Revolt (AER)</t>
        </is>
      </c>
      <c r="I22" s="13" t="inlineStr">
        <is>
          <t>Não</t>
        </is>
      </c>
      <c r="J22" s="13" t="n">
        <v>2017</v>
      </c>
      <c r="L22" s="13" t="n">
        <v>1</v>
      </c>
      <c r="M22" s="8">
        <f>L22*G22</f>
        <v/>
      </c>
      <c r="N22" s="13" t="inlineStr">
        <is>
          <t>Bulk Shopee</t>
        </is>
      </c>
    </row>
    <row r="23">
      <c r="A23" s="13" t="inlineStr">
        <is>
          <t>Commander's Sphere / Esfera do Comandante</t>
        </is>
      </c>
      <c r="B23" s="13" t="inlineStr">
        <is>
          <t>Artifact / Artefato</t>
        </is>
      </c>
      <c r="C23" s="13" t="inlineStr">
        <is>
          <t>Common / Comum</t>
        </is>
      </c>
      <c r="D23" s="13" t="inlineStr">
        <is>
          <t>{T}: Add one mana of any color in your commander's color identity. Sacrifice this artifact: Draw a card. / {T}: Adicione um mana de qualquer cor da identidade de cor de seu comandante. Sacrifique Esfera do Comandante: Compre um card.</t>
        </is>
      </c>
      <c r="E23" s="13" t="inlineStr">
        <is>
          <t>{3}</t>
        </is>
      </c>
      <c r="F23" s="13" t="inlineStr">
        <is>
          <t>Incolor</t>
        </is>
      </c>
      <c r="G23" s="8" t="n">
        <v>0.5</v>
      </c>
      <c r="H23" s="13" t="inlineStr">
        <is>
          <t>Commander 2019 (C19)</t>
        </is>
      </c>
      <c r="I23" s="13" t="inlineStr">
        <is>
          <t>Não</t>
        </is>
      </c>
      <c r="J23" s="13" t="n">
        <v>2019</v>
      </c>
      <c r="L23" s="13" t="n">
        <v>1</v>
      </c>
      <c r="M23" s="8">
        <f>L23*G23</f>
        <v/>
      </c>
      <c r="N23" s="13" t="inlineStr">
        <is>
          <t>Bulk Shopee</t>
        </is>
      </c>
    </row>
    <row r="24">
      <c r="A24" s="13" t="inlineStr">
        <is>
          <t>Spiked Pit Trap / Armadilha do Poço com Estacas</t>
        </is>
      </c>
      <c r="B24" s="13" t="inlineStr">
        <is>
          <t>Artifact / Artefato</t>
        </is>
      </c>
      <c r="C24" s="13" t="inlineStr">
        <is>
          <t>Common / Comum</t>
        </is>
      </c>
      <c r="D24" s="13"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3" t="inlineStr">
        <is>
          <t>{1}</t>
        </is>
      </c>
      <c r="F24" s="13" t="inlineStr">
        <is>
          <t>Incolor</t>
        </is>
      </c>
      <c r="G24" s="8" t="n">
        <v>0.06</v>
      </c>
      <c r="H24" s="13" t="inlineStr">
        <is>
          <t>Adventures in the Forgotten Realms (AFR)</t>
        </is>
      </c>
      <c r="I24" s="13" t="inlineStr">
        <is>
          <t>Não</t>
        </is>
      </c>
      <c r="J24" s="13" t="n">
        <v>2021</v>
      </c>
      <c r="L24" s="13" t="n">
        <v>1</v>
      </c>
      <c r="M24" s="8">
        <f>L24*G24</f>
        <v/>
      </c>
      <c r="N24" s="13" t="inlineStr">
        <is>
          <t>Bulk Shopee</t>
        </is>
      </c>
    </row>
    <row r="25">
      <c r="A25" s="13" t="inlineStr">
        <is>
          <t>Sky Tether / Corrente Celeste</t>
        </is>
      </c>
      <c r="B25" s="13" t="inlineStr">
        <is>
          <t>Enchantment — Aura / Encantamento — Aura</t>
        </is>
      </c>
      <c r="C25" s="13" t="inlineStr">
        <is>
          <t>Uncommon / Incomum</t>
        </is>
      </c>
      <c r="D25" s="13" t="inlineStr">
        <is>
          <t>Enchant creature Enchanted creature has defender and loses flying. / Encantar criatura A criatura encantada tem defensor e perde voar.</t>
        </is>
      </c>
      <c r="E25" s="13" t="inlineStr">
        <is>
          <t>{W}</t>
        </is>
      </c>
      <c r="F25" s="13" t="inlineStr">
        <is>
          <t>Branco</t>
        </is>
      </c>
      <c r="G25" s="8" t="n">
        <v>0.03</v>
      </c>
      <c r="H25" s="13" t="inlineStr">
        <is>
          <t>Ravnica Allegiance (RNA)</t>
        </is>
      </c>
      <c r="I25" s="13" t="inlineStr">
        <is>
          <t>Não</t>
        </is>
      </c>
      <c r="J25" s="13" t="n">
        <v>2019</v>
      </c>
      <c r="L25" s="13" t="n">
        <v>1</v>
      </c>
      <c r="M25" s="8">
        <f>L25*G25</f>
        <v/>
      </c>
      <c r="N25" s="13" t="inlineStr">
        <is>
          <t>Bulk Shopee</t>
        </is>
      </c>
    </row>
    <row r="26">
      <c r="A26" s="13" t="inlineStr">
        <is>
          <t>Deepcavern Imp / Diabrete de Gruta Profunda</t>
        </is>
      </c>
      <c r="B26" s="13" t="inlineStr">
        <is>
          <t>Creature — Imp Rebel / Criatura — Diabrete Rebelde</t>
        </is>
      </c>
      <c r="C26" s="13" t="inlineStr">
        <is>
          <t>Common / Comum</t>
        </is>
      </c>
      <c r="D26" s="13"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3" t="inlineStr">
        <is>
          <t>{2}{B}</t>
        </is>
      </c>
      <c r="F26" s="13" t="inlineStr">
        <is>
          <t>Preto</t>
        </is>
      </c>
      <c r="G26" s="8" t="n">
        <v>0.06</v>
      </c>
      <c r="H26" s="13" t="inlineStr">
        <is>
          <t>Time Spiral Remastered (TSR)</t>
        </is>
      </c>
      <c r="I26" s="13" t="inlineStr">
        <is>
          <t>Não</t>
        </is>
      </c>
      <c r="J26" s="13" t="n">
        <v>2021</v>
      </c>
      <c r="K26" s="10" t="n">
        <v>46055</v>
      </c>
      <c r="L26" s="13" t="n">
        <v>1</v>
      </c>
      <c r="M26" s="8">
        <f>L26*G26</f>
        <v/>
      </c>
      <c r="N26" s="13" t="inlineStr">
        <is>
          <t>Bulk Shopee</t>
        </is>
      </c>
    </row>
    <row r="27">
      <c r="A27" s="13" t="inlineStr">
        <is>
          <t>Bellowing Saddlebrute / Ginete Brutal Urrante</t>
        </is>
      </c>
      <c r="B27" s="13" t="inlineStr">
        <is>
          <t>Creature — Orc Warrior / Criatura — Orc Guerreiro</t>
        </is>
      </c>
      <c r="C27" s="13" t="inlineStr">
        <is>
          <t>Uncommon / Incomum</t>
        </is>
      </c>
      <c r="D27" s="13" t="inlineStr">
        <is>
          <t>Raid — When this creature enters, you lose 4 life unless you attacked this turn. / Raide — Quando Ginete Brutal Urrante entra no campo de batalha, você perde 4 pontos de vida, a menos que você tenha atacado com uma criatura neste turno.</t>
        </is>
      </c>
      <c r="E27" s="13" t="inlineStr">
        <is>
          <t>{3}{B}</t>
        </is>
      </c>
      <c r="F27" s="13" t="inlineStr">
        <is>
          <t>Preto</t>
        </is>
      </c>
      <c r="G27" s="8" t="n">
        <v>0.05</v>
      </c>
      <c r="H27" s="13" t="inlineStr">
        <is>
          <t>Khans of Tarkir (KTK)</t>
        </is>
      </c>
      <c r="I27" s="13" t="inlineStr">
        <is>
          <t>Não</t>
        </is>
      </c>
      <c r="J27" s="13" t="n">
        <v>2014</v>
      </c>
      <c r="K27" s="10" t="n">
        <v>46146</v>
      </c>
      <c r="L27" s="13" t="n">
        <v>1</v>
      </c>
      <c r="M27" s="8">
        <f>L27*G27</f>
        <v/>
      </c>
      <c r="N27" s="13" t="inlineStr">
        <is>
          <t>Bulk Shopee</t>
        </is>
      </c>
    </row>
    <row r="28">
      <c r="A28" s="13" t="inlineStr">
        <is>
          <t>Enhanced Surveillance / Vigilância Reforçada</t>
        </is>
      </c>
      <c r="B28" s="13" t="inlineStr">
        <is>
          <t>Enchantment / Encantamento</t>
        </is>
      </c>
      <c r="C28" s="13" t="inlineStr">
        <is>
          <t>Uncommon / Incomum</t>
        </is>
      </c>
      <c r="D28" s="13"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3" t="inlineStr">
        <is>
          <t>{1}{U}</t>
        </is>
      </c>
      <c r="F28" s="13" t="inlineStr">
        <is>
          <t>Azul</t>
        </is>
      </c>
      <c r="G28" s="8" t="n">
        <v>0.06</v>
      </c>
      <c r="H28" s="13" t="inlineStr">
        <is>
          <t>Guilds of Ravnica (GRN)</t>
        </is>
      </c>
      <c r="I28" s="13" t="inlineStr">
        <is>
          <t>Não</t>
        </is>
      </c>
      <c r="J28" s="13" t="n">
        <v>2018</v>
      </c>
      <c r="L28" s="13" t="n">
        <v>1</v>
      </c>
      <c r="M28" s="8">
        <f>L28*G28</f>
        <v/>
      </c>
      <c r="N28" s="13" t="inlineStr">
        <is>
          <t>Bulk Shopee</t>
        </is>
      </c>
    </row>
    <row r="29">
      <c r="A29" s="13" t="inlineStr">
        <is>
          <t>Spontaneous Mutation / Mutação Espontânea</t>
        </is>
      </c>
      <c r="B29" s="13" t="inlineStr">
        <is>
          <t>Enchantment — Aura / Encantamento — Aura</t>
        </is>
      </c>
      <c r="C29" s="13" t="inlineStr">
        <is>
          <t>Common / Comum</t>
        </is>
      </c>
      <c r="D29" s="13"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3" t="inlineStr">
        <is>
          <t>{U}</t>
        </is>
      </c>
      <c r="F29" s="13" t="inlineStr">
        <is>
          <t>Azul</t>
        </is>
      </c>
      <c r="G29" s="8" t="n">
        <v>0.04</v>
      </c>
      <c r="H29" s="13" t="inlineStr">
        <is>
          <t>Commander Legends (CMR)</t>
        </is>
      </c>
      <c r="I29" s="13" t="inlineStr">
        <is>
          <t>Não</t>
        </is>
      </c>
      <c r="J29" s="13" t="n">
        <v>2020</v>
      </c>
      <c r="L29" s="13" t="n">
        <v>1</v>
      </c>
      <c r="M29" s="8">
        <f>L29*G29</f>
        <v/>
      </c>
      <c r="N29" s="13" t="inlineStr">
        <is>
          <t>Bulk Shopee</t>
        </is>
      </c>
    </row>
    <row r="30">
      <c r="A30" s="13" t="inlineStr">
        <is>
          <t>Quench / Arrefecer</t>
        </is>
      </c>
      <c r="B30" s="13" t="inlineStr">
        <is>
          <t>Instant / Mágica Instantânea</t>
        </is>
      </c>
      <c r="C30" s="13" t="inlineStr">
        <is>
          <t>Common / Comum</t>
        </is>
      </c>
      <c r="D30" s="13" t="inlineStr">
        <is>
          <t>Counter target spell unless its controller pays {2}. / Anule a mágica alvo, a menos que seu controlador pague {2}.</t>
        </is>
      </c>
      <c r="E30" s="13" t="inlineStr">
        <is>
          <t>{1}{U}</t>
        </is>
      </c>
      <c r="F30" s="13" t="inlineStr">
        <is>
          <t>Azul</t>
        </is>
      </c>
      <c r="G30" s="8" t="n">
        <v>0.04</v>
      </c>
      <c r="H30" s="13" t="inlineStr">
        <is>
          <t>Ravnica Allegiance (RNA)</t>
        </is>
      </c>
      <c r="I30" s="13" t="inlineStr">
        <is>
          <t>Não</t>
        </is>
      </c>
      <c r="J30" s="13" t="n">
        <v>2019</v>
      </c>
      <c r="L30" s="13" t="n">
        <v>1</v>
      </c>
      <c r="M30" s="8">
        <f>L30*G30</f>
        <v/>
      </c>
      <c r="N30" s="13" t="inlineStr">
        <is>
          <t>Bulk Shopee</t>
        </is>
      </c>
    </row>
    <row r="31">
      <c r="A31" s="13" t="inlineStr">
        <is>
          <t>Dagger Caster / Lançadora de Adagas</t>
        </is>
      </c>
      <c r="B31" s="13" t="inlineStr">
        <is>
          <t>Creature — Lizard Rogue / Criatura — Viashino Ladino</t>
        </is>
      </c>
      <c r="C31" s="13" t="inlineStr">
        <is>
          <t>Uncommon / Incomum</t>
        </is>
      </c>
      <c r="D31" s="13"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3" t="inlineStr">
        <is>
          <t>{3}{R}</t>
        </is>
      </c>
      <c r="F31" s="13" t="inlineStr">
        <is>
          <t>Vermelho</t>
        </is>
      </c>
      <c r="G31" s="8" t="n">
        <v>0.03</v>
      </c>
      <c r="H31" s="13" t="inlineStr">
        <is>
          <t>Ravnica Allegiance (RNA)</t>
        </is>
      </c>
      <c r="I31" s="13" t="inlineStr">
        <is>
          <t>Não</t>
        </is>
      </c>
      <c r="J31" s="13" t="n">
        <v>2019</v>
      </c>
      <c r="K31" s="10" t="n">
        <v>46083</v>
      </c>
      <c r="L31" s="13" t="n">
        <v>1</v>
      </c>
      <c r="M31" s="8">
        <f>L31*G31</f>
        <v/>
      </c>
      <c r="N31" s="13" t="inlineStr">
        <is>
          <t>Bulk Shopee</t>
        </is>
      </c>
    </row>
    <row r="32">
      <c r="A32" s="13" t="inlineStr">
        <is>
          <t>Strength in Numbers / Força em Números</t>
        </is>
      </c>
      <c r="B32" s="13" t="inlineStr">
        <is>
          <t>Instant / Mágica Instantânea</t>
        </is>
      </c>
      <c r="C32" s="13" t="inlineStr">
        <is>
          <t>Common / Comum</t>
        </is>
      </c>
      <c r="D32" s="13" t="inlineStr">
        <is>
          <t>Until end of turn, target creature gains trample and gets +X/+X, where X is the number of attacking creatures. / Até o final do turno, a criatura alvo ganha atropelar e recebe +X/+X, sendo X o número de criaturas atacantes.</t>
        </is>
      </c>
      <c r="E32" s="13" t="inlineStr">
        <is>
          <t>{1}{G}</t>
        </is>
      </c>
      <c r="F32" s="13" t="inlineStr">
        <is>
          <t>Verde</t>
        </is>
      </c>
      <c r="G32" s="8" t="n">
        <v>0.08</v>
      </c>
      <c r="H32" s="13" t="inlineStr">
        <is>
          <t>Time Spiral Remastered (TSR)</t>
        </is>
      </c>
      <c r="I32" s="13" t="inlineStr">
        <is>
          <t>Não</t>
        </is>
      </c>
      <c r="J32" s="13" t="n">
        <v>2021</v>
      </c>
      <c r="L32" s="13" t="n">
        <v>1</v>
      </c>
      <c r="M32" s="8">
        <f>L32*G32</f>
        <v/>
      </c>
      <c r="N32" s="13" t="inlineStr">
        <is>
          <t>Bulk Shopee</t>
        </is>
      </c>
    </row>
    <row r="33">
      <c r="A33" s="13" t="inlineStr">
        <is>
          <t>Root Snare / Armadilha de Raízes</t>
        </is>
      </c>
      <c r="B33" s="13" t="inlineStr">
        <is>
          <t>Instant / Mágica Instantânea</t>
        </is>
      </c>
      <c r="C33" s="13" t="inlineStr">
        <is>
          <t>Common / Comum</t>
        </is>
      </c>
      <c r="D33" s="13" t="inlineStr">
        <is>
          <t>Prevent all combat damage that would be dealt this turn. / Previna todo o dano de combate que seria causado neste turno.</t>
        </is>
      </c>
      <c r="E33" s="13" t="inlineStr">
        <is>
          <t>{1}{G}</t>
        </is>
      </c>
      <c r="F33" s="13" t="inlineStr">
        <is>
          <t>Verde</t>
        </is>
      </c>
      <c r="G33" s="8" t="n">
        <v>0.06</v>
      </c>
      <c r="H33" s="13" t="inlineStr">
        <is>
          <t>Ravnica Allegiance (RNA)</t>
        </is>
      </c>
      <c r="I33" s="13" t="inlineStr">
        <is>
          <t>Não</t>
        </is>
      </c>
      <c r="J33" s="13" t="n">
        <v>2019</v>
      </c>
      <c r="L33" s="13" t="n">
        <v>1</v>
      </c>
      <c r="M33" s="8">
        <f>L33*G33</f>
        <v/>
      </c>
      <c r="N33" s="13" t="inlineStr">
        <is>
          <t>Bulk Shopee</t>
        </is>
      </c>
    </row>
    <row r="34">
      <c r="A34" s="13" t="inlineStr">
        <is>
          <t>Orzhov Guildgate / Portão da Guilda Orzhov</t>
        </is>
      </c>
      <c r="B34" s="13" t="inlineStr">
        <is>
          <t>Land — Gate / Terreno — Portão</t>
        </is>
      </c>
      <c r="C34" s="13" t="inlineStr">
        <is>
          <t>Common / Comum</t>
        </is>
      </c>
      <c r="D34" s="13" t="inlineStr">
        <is>
          <t>This land enters tapped. {T}: Add {W} or {B}. / Portão da Guilda Orzhov entra no campo de batalha virado. {T}: Adicione {W} ou {B}.</t>
        </is>
      </c>
      <c r="F34" s="13" t="inlineStr">
        <is>
          <t>Preto, Branco</t>
        </is>
      </c>
      <c r="G34" s="8" t="n">
        <v>0.09</v>
      </c>
      <c r="H34" s="13" t="inlineStr">
        <is>
          <t>Dragon's Maze (DGM)</t>
        </is>
      </c>
      <c r="I34" s="13" t="inlineStr">
        <is>
          <t>Não</t>
        </is>
      </c>
      <c r="J34" s="13" t="n">
        <v>2013</v>
      </c>
      <c r="L34" s="13" t="n">
        <v>1</v>
      </c>
      <c r="M34" s="8">
        <f>L34*G34</f>
        <v/>
      </c>
      <c r="N34" s="13" t="inlineStr">
        <is>
          <t>Bulk Shopee</t>
        </is>
      </c>
    </row>
    <row r="35">
      <c r="A35" s="13" t="inlineStr">
        <is>
          <t>Shard of Broken Glass / Fragmento de Vidro</t>
        </is>
      </c>
      <c r="B35" s="13" t="inlineStr">
        <is>
          <t>Artifact — Equipment / Artefato — Equipamento</t>
        </is>
      </c>
      <c r="C35" s="13" t="inlineStr">
        <is>
          <t>Common / Comum</t>
        </is>
      </c>
      <c r="D35" s="13"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3" t="inlineStr">
        <is>
          <t>{1}</t>
        </is>
      </c>
      <c r="F35" s="13" t="inlineStr">
        <is>
          <t>Incolor</t>
        </is>
      </c>
      <c r="G35" s="8" t="n">
        <v>0.05</v>
      </c>
      <c r="H35" s="13" t="inlineStr">
        <is>
          <t>Shadows over Innistrad (SOI)</t>
        </is>
      </c>
      <c r="I35" s="13" t="inlineStr">
        <is>
          <t>Não</t>
        </is>
      </c>
      <c r="J35" s="13" t="n">
        <v>2016</v>
      </c>
      <c r="L35" s="13" t="n">
        <v>1</v>
      </c>
      <c r="M35" s="8">
        <f>L35*G35</f>
        <v/>
      </c>
      <c r="N35" s="13" t="inlineStr">
        <is>
          <t>Bulk Shopee</t>
        </is>
      </c>
    </row>
    <row r="36">
      <c r="A36" s="13" t="inlineStr">
        <is>
          <t>Silent Dart / Dardo de Pulso</t>
        </is>
      </c>
      <c r="B36" s="13" t="inlineStr">
        <is>
          <t>Artifact / Artefato</t>
        </is>
      </c>
      <c r="C36" s="13" t="inlineStr">
        <is>
          <t>Uncommon / Incomum</t>
        </is>
      </c>
      <c r="D36" s="13" t="inlineStr">
        <is>
          <t>{4}, {T}, Sacrifice this artifact: It deals 3 damage to target creature. / {4}, {T}, sacrifique Dardo de Pulso: Ele causa 3 pontos de dano à criatura alvo.</t>
        </is>
      </c>
      <c r="E36" s="13" t="inlineStr">
        <is>
          <t>{1}</t>
        </is>
      </c>
      <c r="F36" s="13" t="inlineStr">
        <is>
          <t>Incolor</t>
        </is>
      </c>
      <c r="G36" s="8" t="n">
        <v>0.03</v>
      </c>
      <c r="H36" s="13" t="inlineStr">
        <is>
          <t>Guilds of Ravnica (GRN)</t>
        </is>
      </c>
      <c r="I36" s="13" t="inlineStr">
        <is>
          <t>Não</t>
        </is>
      </c>
      <c r="J36" s="13" t="n">
        <v>2018</v>
      </c>
      <c r="L36" s="13" t="n">
        <v>1</v>
      </c>
      <c r="M36" s="8">
        <f>L36*G36</f>
        <v/>
      </c>
      <c r="N36" s="13" t="inlineStr">
        <is>
          <t>Bulk Shopee</t>
        </is>
      </c>
    </row>
    <row r="37">
      <c r="A37" s="13" t="inlineStr">
        <is>
          <t>Angelic Purge / Purgação Angelical</t>
        </is>
      </c>
      <c r="B37" s="13" t="inlineStr">
        <is>
          <t>Sorcery / Feitiço</t>
        </is>
      </c>
      <c r="C37" s="13" t="inlineStr">
        <is>
          <t>Common / Comum</t>
        </is>
      </c>
      <c r="D37" s="13" t="inlineStr">
        <is>
          <t>As an additional cost to cast this spell, sacrifice a permanent. Exile target artifact, creature, or enchantment. / Como custo adicional para conjurar Purgação Angelical, sacrifique uma permanente. Exile o artefato, criatura ou encantamento alvo.</t>
        </is>
      </c>
      <c r="E37" s="13" t="inlineStr">
        <is>
          <t>{2}{W}</t>
        </is>
      </c>
      <c r="F37" s="13" t="inlineStr">
        <is>
          <t>Branco</t>
        </is>
      </c>
      <c r="G37" s="8" t="n">
        <v>0.05</v>
      </c>
      <c r="H37" s="13" t="inlineStr">
        <is>
          <t>Shadows over Innistrad (SOI)</t>
        </is>
      </c>
      <c r="I37" s="13" t="inlineStr">
        <is>
          <t>Não</t>
        </is>
      </c>
      <c r="J37" s="13" t="n">
        <v>2016</v>
      </c>
      <c r="L37" s="13" t="n">
        <v>1</v>
      </c>
      <c r="M37" s="8">
        <f>L37*G37</f>
        <v/>
      </c>
      <c r="N37" s="13" t="inlineStr">
        <is>
          <t>Bulk Shopee</t>
        </is>
      </c>
    </row>
    <row r="38">
      <c r="A38" s="13" t="inlineStr">
        <is>
          <t>Ampryn Tactician / Estrategista Ampryn</t>
        </is>
      </c>
      <c r="B38" s="13" t="inlineStr">
        <is>
          <t>Creature — Human Soldier / Criatura — Humano Soldado</t>
        </is>
      </c>
      <c r="C38" s="13" t="inlineStr">
        <is>
          <t>Common / Comum</t>
        </is>
      </c>
      <c r="D38" s="13" t="inlineStr">
        <is>
          <t>When this creature enters, creatures you control get +1/+1 until end of turn. / Quando Estrategista Ampryn entra no campo de batalha, as criaturas que você controla recebem +1/+1 até o final do turno.</t>
        </is>
      </c>
      <c r="E38" s="13" t="inlineStr">
        <is>
          <t>{2}{W}{W}</t>
        </is>
      </c>
      <c r="F38" s="13" t="inlineStr">
        <is>
          <t>Branco</t>
        </is>
      </c>
      <c r="G38" s="8" t="n">
        <v>0.06</v>
      </c>
      <c r="H38" s="13" t="inlineStr">
        <is>
          <t>Magic Origins (ORI)</t>
        </is>
      </c>
      <c r="I38" s="13" t="inlineStr">
        <is>
          <t>Não</t>
        </is>
      </c>
      <c r="J38" s="13" t="n">
        <v>2015</v>
      </c>
      <c r="K38" s="10" t="n">
        <v>46084</v>
      </c>
      <c r="L38" s="13" t="n">
        <v>1</v>
      </c>
      <c r="M38" s="8">
        <f>L38*G38</f>
        <v/>
      </c>
      <c r="N38" s="13" t="inlineStr">
        <is>
          <t>Bulk Shopee</t>
        </is>
      </c>
    </row>
    <row r="39">
      <c r="A39" s="13" t="inlineStr">
        <is>
          <t>Seismic Rupture / Ruptura Sísmica</t>
        </is>
      </c>
      <c r="B39" s="13" t="inlineStr">
        <is>
          <t>Sorcery / Feitiço</t>
        </is>
      </c>
      <c r="C39" s="13" t="inlineStr">
        <is>
          <t>Uncommon / Incomum</t>
        </is>
      </c>
      <c r="D39" s="13" t="inlineStr">
        <is>
          <t>Seismic Rupture deals 2 damage to each creature without flying. / Ruptura Sísmica causa 2 pontos de dano a cada criatura sem voar.</t>
        </is>
      </c>
      <c r="E39" s="13" t="inlineStr">
        <is>
          <t>{2}{R}</t>
        </is>
      </c>
      <c r="F39" s="13" t="inlineStr">
        <is>
          <t>Vermelho</t>
        </is>
      </c>
      <c r="G39" s="8" t="n">
        <v>0.06</v>
      </c>
      <c r="H39" s="13" t="inlineStr">
        <is>
          <t>Dragons of Tarkir (DTK)</t>
        </is>
      </c>
      <c r="I39" s="13" t="inlineStr">
        <is>
          <t>Não</t>
        </is>
      </c>
      <c r="J39" s="13" t="n">
        <v>2015</v>
      </c>
      <c r="L39" s="13" t="n">
        <v>1</v>
      </c>
      <c r="M39" s="8">
        <f>L39*G39</f>
        <v/>
      </c>
      <c r="N39" s="13" t="inlineStr">
        <is>
          <t>Bulk Shopee</t>
        </is>
      </c>
    </row>
    <row r="40">
      <c r="A40" s="13" t="inlineStr">
        <is>
          <t>Servant of the Scale / Servo da Escama</t>
        </is>
      </c>
      <c r="B40" s="13" t="inlineStr">
        <is>
          <t>Creature — Human Soldier / Criatura — Humano Soldado</t>
        </is>
      </c>
      <c r="C40" s="13" t="inlineStr">
        <is>
          <t>Common / Comum</t>
        </is>
      </c>
      <c r="D40" s="13"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3" t="inlineStr">
        <is>
          <t>{G}</t>
        </is>
      </c>
      <c r="F40" s="13" t="inlineStr">
        <is>
          <t>Verde</t>
        </is>
      </c>
      <c r="G40" s="8" t="n">
        <v>0.08</v>
      </c>
      <c r="H40" s="13" t="inlineStr">
        <is>
          <t>Dragons of Tarkir (DTK)</t>
        </is>
      </c>
      <c r="I40" s="13" t="inlineStr">
        <is>
          <t>Não</t>
        </is>
      </c>
      <c r="J40" s="13" t="n">
        <v>2015</v>
      </c>
      <c r="K40" s="13" t="inlineStr">
        <is>
          <t>0/0</t>
        </is>
      </c>
      <c r="L40" s="13" t="n">
        <v>1</v>
      </c>
      <c r="M40" s="8">
        <f>L40*G40</f>
        <v/>
      </c>
      <c r="N40" s="13" t="inlineStr">
        <is>
          <t>Bulk Shopee</t>
        </is>
      </c>
    </row>
    <row r="41">
      <c r="A41" s="13" t="inlineStr">
        <is>
          <t>Strongarm Monk / Monge Braço-forte</t>
        </is>
      </c>
      <c r="B41" s="13" t="inlineStr">
        <is>
          <t>Creature — Human Monk / Criatura — Humano Monge</t>
        </is>
      </c>
      <c r="C41" s="13" t="inlineStr">
        <is>
          <t>Uncommon / Incomum</t>
        </is>
      </c>
      <c r="D41" s="13" t="inlineStr">
        <is>
          <t>Whenever you cast a noncreature spell, creatures you control get +1/+1 until end of turn. / Toda vez que você conjura uma mágica que não seja de criatura, as criaturas que você controla recebem +1/+1 até o final do turno.</t>
        </is>
      </c>
      <c r="E41" s="13" t="inlineStr">
        <is>
          <t>{4}{W}</t>
        </is>
      </c>
      <c r="F41" s="13" t="inlineStr">
        <is>
          <t>Branco</t>
        </is>
      </c>
      <c r="G41" s="8" t="n">
        <v>0.06</v>
      </c>
      <c r="H41" s="13" t="inlineStr">
        <is>
          <t>Dragons of Tarkir (DTK)</t>
        </is>
      </c>
      <c r="I41" s="13" t="inlineStr">
        <is>
          <t>Não</t>
        </is>
      </c>
      <c r="J41" s="13" t="n">
        <v>2015</v>
      </c>
      <c r="K41" s="10" t="n">
        <v>46084</v>
      </c>
      <c r="L41" s="13" t="n">
        <v>1</v>
      </c>
      <c r="M41" s="8">
        <f>L41*G41</f>
        <v/>
      </c>
      <c r="N41" s="13" t="inlineStr">
        <is>
          <t>Bulk Shopee</t>
        </is>
      </c>
    </row>
    <row r="42">
      <c r="A42" s="13" t="inlineStr">
        <is>
          <t>Seek the Horizon / Procurar o Horizonte</t>
        </is>
      </c>
      <c r="B42" s="13" t="inlineStr">
        <is>
          <t>Sorcery / Feitiço</t>
        </is>
      </c>
      <c r="C42" s="13" t="inlineStr">
        <is>
          <t>Uncommon / Incomum</t>
        </is>
      </c>
      <c r="D42" s="13" t="inlineStr">
        <is>
          <t>Search your library for up to three basic land cards, reveal them, put them into your hand, then shuffle. / Procure em seu grimório até três cards de terreno básico, revele-os e coloque-os em sua mão. Depois, embaralhe seu grimório.</t>
        </is>
      </c>
      <c r="E42" s="13" t="inlineStr">
        <is>
          <t>{3}{G}</t>
        </is>
      </c>
      <c r="F42" s="13" t="inlineStr">
        <is>
          <t>Verde</t>
        </is>
      </c>
      <c r="G42" s="8" t="n">
        <v>0.05</v>
      </c>
      <c r="H42" s="13" t="inlineStr">
        <is>
          <t>Khans of Tarkir (KTK)</t>
        </is>
      </c>
      <c r="I42" s="13" t="inlineStr">
        <is>
          <t>Não</t>
        </is>
      </c>
      <c r="J42" s="13" t="n">
        <v>2014</v>
      </c>
      <c r="L42" s="13" t="n">
        <v>1</v>
      </c>
      <c r="M42" s="8">
        <f>L42*G42</f>
        <v/>
      </c>
      <c r="N42" s="13" t="inlineStr">
        <is>
          <t>Bulk Shopee</t>
        </is>
      </c>
    </row>
    <row r="43">
      <c r="A43" s="13" t="inlineStr">
        <is>
          <t>Mindstab / Apunhala-mentes</t>
        </is>
      </c>
      <c r="B43" s="13" t="inlineStr">
        <is>
          <t>Sorcery / Feitiço</t>
        </is>
      </c>
      <c r="C43" s="13" t="inlineStr">
        <is>
          <t>Common / Comum</t>
        </is>
      </c>
      <c r="D43" s="13"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3" t="inlineStr">
        <is>
          <t>{5}{B}</t>
        </is>
      </c>
      <c r="F43" s="13" t="inlineStr">
        <is>
          <t>Preto</t>
        </is>
      </c>
      <c r="G43" s="8" t="n">
        <v>0.09</v>
      </c>
      <c r="H43" s="13" t="inlineStr">
        <is>
          <t>Time Spiral Remastered (TSR)</t>
        </is>
      </c>
      <c r="I43" s="13" t="inlineStr">
        <is>
          <t>Não</t>
        </is>
      </c>
      <c r="J43" s="13" t="n">
        <v>2021</v>
      </c>
      <c r="L43" s="13" t="n">
        <v>1</v>
      </c>
      <c r="M43" s="8">
        <f>L43*G43</f>
        <v/>
      </c>
      <c r="N43" s="13" t="inlineStr">
        <is>
          <t>Bulk Shopee</t>
        </is>
      </c>
    </row>
    <row r="44">
      <c r="A44" s="13" t="inlineStr">
        <is>
          <t>Spire Mangler / Desmembrador da Torre</t>
        </is>
      </c>
      <c r="B44" s="13" t="inlineStr">
        <is>
          <t>Creature — Insect / Criatura — Inseto</t>
        </is>
      </c>
      <c r="C44" s="13" t="inlineStr">
        <is>
          <t>Uncommon / Incomum</t>
        </is>
      </c>
      <c r="D44" s="13"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3" t="inlineStr">
        <is>
          <t>{2}{B}</t>
        </is>
      </c>
      <c r="F44" s="13" t="inlineStr">
        <is>
          <t>Preto</t>
        </is>
      </c>
      <c r="G44" s="8" t="n">
        <v>0.03</v>
      </c>
      <c r="H44" s="13" t="inlineStr">
        <is>
          <t>Ravnica Allegiance (RNA)</t>
        </is>
      </c>
      <c r="I44" s="13" t="inlineStr">
        <is>
          <t>Não</t>
        </is>
      </c>
      <c r="J44" s="13" t="n">
        <v>2019</v>
      </c>
      <c r="K44" s="10" t="n">
        <v>46024</v>
      </c>
      <c r="L44" s="13" t="n">
        <v>1</v>
      </c>
      <c r="M44" s="8">
        <f>L44*G44</f>
        <v/>
      </c>
      <c r="N44" s="13" t="inlineStr">
        <is>
          <t>Bulk Shopee</t>
        </is>
      </c>
    </row>
    <row r="45">
      <c r="A45" s="13" t="inlineStr">
        <is>
          <t>Marauder's Axe / Machado do Saqueador</t>
        </is>
      </c>
      <c r="B45" s="13" t="inlineStr">
        <is>
          <t>Artifact — Equipment / Artefato — Equipamento</t>
        </is>
      </c>
      <c r="C45" s="13" t="inlineStr">
        <is>
          <t>Common / Comum</t>
        </is>
      </c>
      <c r="D45" s="13" t="inlineStr">
        <is>
          <t>Equipped creature gets +2/+0. Equip {2} ({2}: Attach to target creature you control. Equip only as a sorcery.) / A criatura equipada recebe +2/+0. Equipar {2} ({2}: Anexe este equipamento à criatura alvo que você controla. Equipe somente como um feitiço.)</t>
        </is>
      </c>
      <c r="E45" s="13" t="inlineStr">
        <is>
          <t>{2}</t>
        </is>
      </c>
      <c r="F45" s="13" t="inlineStr">
        <is>
          <t>Incolor</t>
        </is>
      </c>
      <c r="G45" s="8" t="n">
        <v>0.03</v>
      </c>
      <c r="H45" s="13" t="inlineStr">
        <is>
          <t>Core Set 2019 (M19)</t>
        </is>
      </c>
      <c r="I45" s="13" t="inlineStr">
        <is>
          <t>Não</t>
        </is>
      </c>
      <c r="J45" s="13" t="n">
        <v>2018</v>
      </c>
      <c r="L45" s="13" t="n">
        <v>1</v>
      </c>
      <c r="M45" s="8">
        <f>L45*G45</f>
        <v/>
      </c>
      <c r="N45" s="13" t="inlineStr">
        <is>
          <t>Bulk Shopee</t>
        </is>
      </c>
    </row>
    <row r="46">
      <c r="A46" s="13" t="inlineStr">
        <is>
          <t>Pilfering Imp / Diabrete Afanador</t>
        </is>
      </c>
      <c r="B46" s="13" t="inlineStr">
        <is>
          <t>Creature — Imp / Criatura — Diabrete</t>
        </is>
      </c>
      <c r="C46" s="13" t="inlineStr">
        <is>
          <t>Uncommon / Incomum</t>
        </is>
      </c>
      <c r="D46" s="13"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3" t="inlineStr">
        <is>
          <t>{B}</t>
        </is>
      </c>
      <c r="F46" s="13" t="inlineStr">
        <is>
          <t>Preto</t>
        </is>
      </c>
      <c r="G46" s="8" t="n">
        <v>0.06</v>
      </c>
      <c r="H46" s="13" t="inlineStr">
        <is>
          <t>Guilds of Ravnica (GRN)</t>
        </is>
      </c>
      <c r="I46" s="13" t="inlineStr">
        <is>
          <t>Não</t>
        </is>
      </c>
      <c r="J46" s="13" t="n">
        <v>2018</v>
      </c>
      <c r="K46" s="10" t="n">
        <v>46023</v>
      </c>
      <c r="L46" s="13" t="n">
        <v>1</v>
      </c>
      <c r="M46" s="8">
        <f>L46*G46</f>
        <v/>
      </c>
      <c r="N46" s="13" t="inlineStr">
        <is>
          <t>Bulk Shopee</t>
        </is>
      </c>
    </row>
    <row r="47">
      <c r="A47" s="13" t="inlineStr">
        <is>
          <t>Tolarian Sentinel / Sentinela Tolariana</t>
        </is>
      </c>
      <c r="B47" s="13" t="inlineStr">
        <is>
          <t>Creature — Human Spellshaper / Criatura — Humano Magimodelador</t>
        </is>
      </c>
      <c r="C47" s="13" t="inlineStr">
        <is>
          <t>Common / Comum</t>
        </is>
      </c>
      <c r="D47" s="13" t="inlineStr">
        <is>
          <t>Flying {U}, {T}, Discard a card: Return target permanent you control to its owner's hand. / Voar {U}, {T}, descarte um card: Devolva a permanente alvo que você controla para a mão de seu dono.</t>
        </is>
      </c>
      <c r="E47" s="13" t="inlineStr">
        <is>
          <t>{3}{U}</t>
        </is>
      </c>
      <c r="F47" s="13" t="inlineStr">
        <is>
          <t>Azul</t>
        </is>
      </c>
      <c r="G47" s="8" t="n">
        <v>0.1</v>
      </c>
      <c r="H47" s="13" t="inlineStr">
        <is>
          <t>Time Spiral Remastered (TSR)</t>
        </is>
      </c>
      <c r="I47" s="13" t="inlineStr">
        <is>
          <t>Não</t>
        </is>
      </c>
      <c r="J47" s="13" t="n">
        <v>2021</v>
      </c>
      <c r="K47" s="10" t="n">
        <v>46082</v>
      </c>
      <c r="L47" s="13" t="n">
        <v>1</v>
      </c>
      <c r="M47" s="8">
        <f>L47*G47</f>
        <v/>
      </c>
      <c r="N47" s="13" t="inlineStr">
        <is>
          <t>Bulk Shopee</t>
        </is>
      </c>
    </row>
    <row r="48">
      <c r="A48" s="13" t="inlineStr">
        <is>
          <t>Rain of Rust / Chuva de Ferrugem</t>
        </is>
      </c>
      <c r="B48" s="13" t="inlineStr">
        <is>
          <t>Instant / Mágica Instantânea</t>
        </is>
      </c>
      <c r="C48" s="13" t="inlineStr">
        <is>
          <t>Common / Comum</t>
        </is>
      </c>
      <c r="D48" s="13" t="inlineStr">
        <is>
          <t>Choose one — • Destroy target artifact. • Destroy target land. Entwine {3}{R} (Choose both if you pay the entwine cost.) / Escolha um Destrói o artefato alvo; ou destrói o terreno alvo. Entrelaçar {3}{R} (Escolha ambos se pagar o custo de entrelaçar.)</t>
        </is>
      </c>
      <c r="E48" s="13" t="inlineStr">
        <is>
          <t>{3}{R}{R}</t>
        </is>
      </c>
      <c r="F48" s="13" t="inlineStr">
        <is>
          <t>Vermelho</t>
        </is>
      </c>
      <c r="G48" s="8" t="n">
        <v>0.04</v>
      </c>
      <c r="H48" s="13" t="inlineStr">
        <is>
          <t>Fifth Dawn (5DN)</t>
        </is>
      </c>
      <c r="I48" s="13" t="inlineStr">
        <is>
          <t>Não</t>
        </is>
      </c>
      <c r="J48" s="13" t="n">
        <v>2004</v>
      </c>
      <c r="L48" s="13" t="n">
        <v>1</v>
      </c>
      <c r="M48" s="8">
        <f>L48*G48</f>
        <v/>
      </c>
      <c r="N48" s="13" t="inlineStr">
        <is>
          <t>Bulk Shopee</t>
        </is>
      </c>
    </row>
    <row r="49">
      <c r="A49" s="13" t="inlineStr">
        <is>
          <t>Mardu Banner / Estandarte Mardu</t>
        </is>
      </c>
      <c r="B49" s="13" t="inlineStr">
        <is>
          <t>Artifact / Artefato</t>
        </is>
      </c>
      <c r="C49" s="13" t="inlineStr">
        <is>
          <t>Common / Comum</t>
        </is>
      </c>
      <c r="D49" s="13" t="inlineStr">
        <is>
          <t>{T}: Add {R}, {W}, or {B}. {R}{W}{B}, {T}, Sacrifice this artifact: Draw a card. / {T}: Adicione {R}, {W} ou {B} à sua reserva de mana. {R}{W}{B}, {T}, Sacrifique Estandarte Mardu: Compre um card.</t>
        </is>
      </c>
      <c r="E49" s="13" t="inlineStr">
        <is>
          <t>{3}</t>
        </is>
      </c>
      <c r="F49" s="13" t="inlineStr">
        <is>
          <t>Preto, Vermelho, Branco</t>
        </is>
      </c>
      <c r="G49" s="8" t="n">
        <v>0.08</v>
      </c>
      <c r="H49" s="13" t="inlineStr">
        <is>
          <t>Khans of Tarkir (KTK)</t>
        </is>
      </c>
      <c r="I49" s="13" t="inlineStr">
        <is>
          <t>Não</t>
        </is>
      </c>
      <c r="J49" s="13" t="n">
        <v>2014</v>
      </c>
      <c r="L49" s="13" t="n">
        <v>1</v>
      </c>
      <c r="M49" s="8">
        <f>L49*G49</f>
        <v/>
      </c>
      <c r="N49" s="13" t="inlineStr">
        <is>
          <t>Bulk Shopee</t>
        </is>
      </c>
    </row>
    <row r="50">
      <c r="A50" s="13" t="inlineStr">
        <is>
          <t>Rakshasa Gravecaller / Evocador de Túmulos Rakshasa</t>
        </is>
      </c>
      <c r="B50" s="13" t="inlineStr">
        <is>
          <t>Creature — Demon / Criatura — Felino Demônio</t>
        </is>
      </c>
      <c r="C50" s="13" t="inlineStr">
        <is>
          <t>Uncommon / Incomum</t>
        </is>
      </c>
      <c r="D50" s="13"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3" t="inlineStr">
        <is>
          <t>{4}{B}</t>
        </is>
      </c>
      <c r="F50" s="13" t="inlineStr">
        <is>
          <t>Preto</t>
        </is>
      </c>
      <c r="G50" s="8" t="n">
        <v>0.08</v>
      </c>
      <c r="H50" s="13" t="inlineStr">
        <is>
          <t>Dragons of Tarkir (DTK)</t>
        </is>
      </c>
      <c r="I50" s="13" t="inlineStr">
        <is>
          <t>Não</t>
        </is>
      </c>
      <c r="J50" s="13" t="n">
        <v>2015</v>
      </c>
      <c r="K50" s="10" t="n">
        <v>46176</v>
      </c>
      <c r="L50" s="13" t="n">
        <v>1</v>
      </c>
      <c r="M50" s="8">
        <f>L50*G50</f>
        <v/>
      </c>
      <c r="N50" s="13" t="inlineStr">
        <is>
          <t>Bulk Shopee</t>
        </is>
      </c>
    </row>
    <row r="51">
      <c r="A51" s="13" t="inlineStr">
        <is>
          <t>Consecrate // Consume / Devotar // Devorar</t>
        </is>
      </c>
      <c r="B51" s="13" t="inlineStr">
        <is>
          <t>Instant // Sorcery / Mágica Instantânea</t>
        </is>
      </c>
      <c r="C51" s="13" t="inlineStr">
        <is>
          <t>Uncommon / Incomum</t>
        </is>
      </c>
      <c r="D51" s="13" t="inlineStr">
        <is>
          <t>Consecrate: Exile target card from a graveyard. Draw a card. // Consume: Target player sacrifices a creature with the greatest power among creatures they control. You gain life equal to its power. / Exile o card alvo de um cemitério. Compre um card.</t>
        </is>
      </c>
      <c r="E51" s="13" t="inlineStr">
        <is>
          <t>{1}{W/B} // {2}{W}{B}</t>
        </is>
      </c>
      <c r="F51" s="13" t="inlineStr">
        <is>
          <t>Preto, Branco</t>
        </is>
      </c>
      <c r="G51" s="8" t="n">
        <v>0.1</v>
      </c>
      <c r="H51" s="13" t="inlineStr">
        <is>
          <t>Ravnica Allegiance (RNA)</t>
        </is>
      </c>
      <c r="I51" s="13" t="inlineStr">
        <is>
          <t>Não</t>
        </is>
      </c>
      <c r="J51" s="13" t="n">
        <v>2019</v>
      </c>
      <c r="L51" s="13" t="n">
        <v>1</v>
      </c>
      <c r="M51" s="8">
        <f>L51*G51</f>
        <v/>
      </c>
      <c r="N51" s="13" t="inlineStr">
        <is>
          <t>Bulk Shopee</t>
        </is>
      </c>
    </row>
    <row r="52">
      <c r="A52" s="13" t="inlineStr">
        <is>
          <t>Magma Spray / Esguicho de Magma</t>
        </is>
      </c>
      <c r="B52" s="13" t="inlineStr">
        <is>
          <t>Instant / Mágica Instantânea</t>
        </is>
      </c>
      <c r="C52" s="13" t="inlineStr">
        <is>
          <t>Common / Comum</t>
        </is>
      </c>
      <c r="D52" s="13" t="inlineStr">
        <is>
          <t>Magma Spray deals 2 damage to target creature. If that creature would die this turn, exile it instead. / Esguicho de Magma causa 2 pontos de dano à criatura alvo. Se aquela criatura for morrer neste turno, em vez disso, exile-a.</t>
        </is>
      </c>
      <c r="E52" s="13" t="inlineStr">
        <is>
          <t>{R}</t>
        </is>
      </c>
      <c r="F52" s="13" t="inlineStr">
        <is>
          <t>Vermelho</t>
        </is>
      </c>
      <c r="G52" s="8" t="n">
        <v>0.06</v>
      </c>
      <c r="H52" s="13" t="inlineStr">
        <is>
          <t>Amonkhet (AKH)</t>
        </is>
      </c>
      <c r="I52" s="13" t="inlineStr">
        <is>
          <t>Não</t>
        </is>
      </c>
      <c r="J52" s="13" t="n">
        <v>2017</v>
      </c>
      <c r="L52" s="13" t="n">
        <v>1</v>
      </c>
      <c r="M52" s="8">
        <f>L52*G52</f>
        <v/>
      </c>
      <c r="N52" s="13" t="inlineStr">
        <is>
          <t>Bulk Shopee</t>
        </is>
      </c>
    </row>
    <row r="53">
      <c r="A53" s="13" t="inlineStr">
        <is>
          <t>Gremlin Infestation / Infestação de Gremlins</t>
        </is>
      </c>
      <c r="B53" s="13" t="inlineStr">
        <is>
          <t>Enchantment — Aura / Encantamento — Aura</t>
        </is>
      </c>
      <c r="C53" s="13" t="inlineStr">
        <is>
          <t>Uncommon / Incomum</t>
        </is>
      </c>
      <c r="D53" s="13"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3" t="inlineStr">
        <is>
          <t>{3}{R}</t>
        </is>
      </c>
      <c r="F53" s="13" t="inlineStr">
        <is>
          <t>Vermelho</t>
        </is>
      </c>
      <c r="G53" s="8" t="n">
        <v>0.03</v>
      </c>
      <c r="H53" s="13" t="inlineStr">
        <is>
          <t>Aether Revolt (AER)</t>
        </is>
      </c>
      <c r="I53" s="13" t="inlineStr">
        <is>
          <t>Não</t>
        </is>
      </c>
      <c r="J53" s="13" t="n">
        <v>2017</v>
      </c>
      <c r="L53" s="13" t="n">
        <v>1</v>
      </c>
      <c r="M53" s="8">
        <f>L53*G53</f>
        <v/>
      </c>
      <c r="N53" s="13" t="inlineStr">
        <is>
          <t>Bulk Shopee</t>
        </is>
      </c>
    </row>
    <row r="54">
      <c r="A54" s="13" t="inlineStr">
        <is>
          <t>Mogg Flunkies / Moggs Confusos</t>
        </is>
      </c>
      <c r="B54" s="13" t="inlineStr">
        <is>
          <t>Creature — Goblin / Criatura — Goblin</t>
        </is>
      </c>
      <c r="C54" s="13" t="inlineStr">
        <is>
          <t>Common / Comum</t>
        </is>
      </c>
      <c r="D54" s="13" t="inlineStr">
        <is>
          <t>This creature can't attack or block alone. / Moggs Confusos não pode atacar nem bloquear sozinho.</t>
        </is>
      </c>
      <c r="E54" s="13" t="inlineStr">
        <is>
          <t>{1}{R}</t>
        </is>
      </c>
      <c r="F54" s="13" t="inlineStr">
        <is>
          <t>Vermelho</t>
        </is>
      </c>
      <c r="G54" s="8" t="n">
        <v>0.06</v>
      </c>
      <c r="H54" s="13" t="inlineStr">
        <is>
          <t>Masters 25 (A25)</t>
        </is>
      </c>
      <c r="I54" s="13" t="inlineStr">
        <is>
          <t>Não</t>
        </is>
      </c>
      <c r="J54" s="13" t="n">
        <v>2018</v>
      </c>
      <c r="K54" s="10" t="n">
        <v>46084</v>
      </c>
      <c r="L54" s="13" t="n">
        <v>1</v>
      </c>
      <c r="M54" s="8">
        <f>L54*G54</f>
        <v/>
      </c>
      <c r="N54" s="13" t="inlineStr">
        <is>
          <t>Bulk Shopee</t>
        </is>
      </c>
    </row>
    <row r="56">
      <c r="A56" s="14" t="inlineStr">
        <is>
          <t>Item</t>
        </is>
      </c>
      <c r="B56" s="14" t="inlineStr">
        <is>
          <t>Quantidade</t>
        </is>
      </c>
      <c r="D56" s="14" t="inlineStr">
        <is>
          <t>Raridade</t>
        </is>
      </c>
      <c r="E56" s="14" t="inlineStr">
        <is>
          <t>Quantidade</t>
        </is>
      </c>
      <c r="G56" s="14" t="inlineStr">
        <is>
          <t>Cor</t>
        </is>
      </c>
      <c r="H56" s="14" t="inlineStr">
        <is>
          <t>Quantidade</t>
        </is>
      </c>
    </row>
    <row r="57">
      <c r="A57" s="13" t="inlineStr">
        <is>
          <t>Total de cartas</t>
        </is>
      </c>
      <c r="B57" s="15" t="n">
        <v>53</v>
      </c>
      <c r="D57" s="13" t="inlineStr">
        <is>
          <t>Comum</t>
        </is>
      </c>
      <c r="E57" s="15" t="n">
        <v>32</v>
      </c>
      <c r="G57" s="13" t="inlineStr">
        <is>
          <t>Preto</t>
        </is>
      </c>
      <c r="H57" s="15" t="n">
        <v>14</v>
      </c>
    </row>
    <row r="58">
      <c r="A58" s="13" t="inlineStr">
        <is>
          <t>Cartas únicas</t>
        </is>
      </c>
      <c r="B58" s="15" t="n">
        <v>53</v>
      </c>
      <c r="D58" s="13" t="inlineStr">
        <is>
          <t>Incomum</t>
        </is>
      </c>
      <c r="E58" s="15" t="n">
        <v>20</v>
      </c>
      <c r="G58" s="13" t="inlineStr">
        <is>
          <t>Vermelho</t>
        </is>
      </c>
      <c r="H58" s="15" t="n">
        <v>12</v>
      </c>
    </row>
    <row r="59">
      <c r="A59" s="13" t="inlineStr">
        <is>
          <t>Foil / Sim</t>
        </is>
      </c>
      <c r="B59" s="15" t="n">
        <v>2</v>
      </c>
      <c r="D59" s="13" t="inlineStr">
        <is>
          <t>Rara</t>
        </is>
      </c>
      <c r="E59" s="15" t="n">
        <v>1</v>
      </c>
      <c r="G59" s="13" t="inlineStr">
        <is>
          <t>Branco</t>
        </is>
      </c>
      <c r="H59" s="15" t="n">
        <v>11</v>
      </c>
    </row>
    <row r="60">
      <c r="A60" s="13" t="inlineStr">
        <is>
          <t>Não foil</t>
        </is>
      </c>
      <c r="B60" s="15" t="n">
        <v>51</v>
      </c>
      <c r="G60" s="13" t="inlineStr">
        <is>
          <t>Azul</t>
        </is>
      </c>
      <c r="H60" s="15" t="n">
        <v>10</v>
      </c>
    </row>
    <row r="61">
      <c r="A61" s="13" t="inlineStr">
        <is>
          <t>Valor total aproximado</t>
        </is>
      </c>
      <c r="B61" s="15" t="inlineStr">
        <is>
          <t>R$ 4,75</t>
        </is>
      </c>
      <c r="G61" s="13" t="inlineStr">
        <is>
          <t>Verde</t>
        </is>
      </c>
      <c r="H61" s="15" t="n">
        <v>8</v>
      </c>
    </row>
    <row r="62">
      <c r="A62" s="13" t="inlineStr">
        <is>
          <t>Valor médio por carta</t>
        </is>
      </c>
      <c r="B62" s="15" t="inlineStr">
        <is>
          <t>R$ 0,09</t>
        </is>
      </c>
      <c r="G62" s="13" t="inlineStr">
        <is>
          <t>Incolor</t>
        </is>
      </c>
      <c r="H62" s="15" t="n">
        <v>8</v>
      </c>
    </row>
    <row r="63">
      <c r="A63" s="13" t="inlineStr">
        <is>
          <t>Raras</t>
        </is>
      </c>
      <c r="B63" s="15" t="n">
        <v>1</v>
      </c>
    </row>
    <row r="64">
      <c r="A64" s="13" t="inlineStr">
        <is>
          <t>Míticas</t>
        </is>
      </c>
      <c r="B64" s="15" t="n">
        <v>0</v>
      </c>
    </row>
    <row r="66">
      <c r="A66" s="14" t="inlineStr">
        <is>
          <t>Tipo</t>
        </is>
      </c>
      <c r="B66" s="14" t="inlineStr">
        <is>
          <t>Quantidade</t>
        </is>
      </c>
      <c r="D66" s="14" t="inlineStr">
        <is>
          <t>Cor / Identidade exibida</t>
        </is>
      </c>
      <c r="E66" s="16" t="inlineStr">
        <is>
          <t>Quantidade</t>
        </is>
      </c>
    </row>
    <row r="67">
      <c r="A67" s="13" t="inlineStr">
        <is>
          <t>Criatura</t>
        </is>
      </c>
      <c r="B67" s="15" t="n">
        <v>18</v>
      </c>
      <c r="D67" s="13" t="inlineStr">
        <is>
          <t>Azul</t>
        </is>
      </c>
      <c r="E67" s="15" t="n">
        <v>8</v>
      </c>
    </row>
    <row r="68">
      <c r="A68" s="13" t="inlineStr">
        <is>
          <t>Instantânea</t>
        </is>
      </c>
      <c r="B68" s="15" t="n">
        <v>11</v>
      </c>
      <c r="D68" s="13" t="inlineStr">
        <is>
          <t>Branco</t>
        </is>
      </c>
      <c r="E68" s="15" t="n">
        <v>8</v>
      </c>
    </row>
    <row r="69">
      <c r="A69" s="13" t="inlineStr">
        <is>
          <t>Artefato</t>
        </is>
      </c>
      <c r="B69" s="15" t="n">
        <v>9</v>
      </c>
      <c r="D69" s="13" t="inlineStr">
        <is>
          <t>Incolor</t>
        </is>
      </c>
      <c r="E69" s="15" t="n">
        <v>8</v>
      </c>
    </row>
    <row r="70">
      <c r="A70" s="13" t="inlineStr">
        <is>
          <t>Encantamento</t>
        </is>
      </c>
      <c r="B70" s="15" t="n">
        <v>8</v>
      </c>
      <c r="D70" s="13" t="inlineStr">
        <is>
          <t>Preto</t>
        </is>
      </c>
      <c r="E70" s="15" t="n">
        <v>7</v>
      </c>
    </row>
    <row r="71">
      <c r="A71" s="13" t="inlineStr">
        <is>
          <t>Feitiço</t>
        </is>
      </c>
      <c r="B71" s="15" t="n">
        <v>7</v>
      </c>
      <c r="D71" s="13" t="inlineStr">
        <is>
          <t>Verde</t>
        </is>
      </c>
      <c r="E71" s="15" t="n">
        <v>7</v>
      </c>
    </row>
    <row r="72">
      <c r="A72" s="13" t="inlineStr">
        <is>
          <t>Terreno</t>
        </is>
      </c>
      <c r="B72" s="15" t="n">
        <v>3</v>
      </c>
      <c r="D72" s="13" t="inlineStr">
        <is>
          <t>Vermelho</t>
        </is>
      </c>
      <c r="E72" s="15" t="n">
        <v>7</v>
      </c>
    </row>
    <row r="73">
      <c r="D73" s="13" t="inlineStr">
        <is>
          <t>Preto, Vermelho</t>
        </is>
      </c>
      <c r="E73" s="15" t="n">
        <v>3</v>
      </c>
    </row>
    <row r="74">
      <c r="D74" s="13" t="inlineStr">
        <is>
          <t>Preto, Branco</t>
        </is>
      </c>
      <c r="E74" s="15" t="n">
        <v>2</v>
      </c>
    </row>
    <row r="75">
      <c r="D75" s="13" t="inlineStr">
        <is>
          <t>Preto, Azul</t>
        </is>
      </c>
      <c r="E75" s="15" t="n">
        <v>1</v>
      </c>
    </row>
    <row r="76">
      <c r="D76" s="13" t="inlineStr">
        <is>
          <t>Preto, Vermelho, Branco</t>
        </is>
      </c>
      <c r="E76" s="15" t="n">
        <v>1</v>
      </c>
    </row>
    <row r="77">
      <c r="D77" s="13" t="inlineStr">
        <is>
          <t>Verde, Vermelho, Azul</t>
        </is>
      </c>
      <c r="E77" s="15"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20" min="1" max="1"/>
    <col width="30.63" customWidth="1" style="20" min="2" max="2"/>
    <col width="17.75" customWidth="1" style="20" min="3" max="3"/>
    <col width="10.5" customWidth="1" style="20" min="5" max="5"/>
    <col width="18.38" customWidth="1" style="20" min="6" max="6"/>
    <col width="12" customWidth="1" style="20" min="7" max="7"/>
    <col width="31.63" customWidth="1" style="20" min="8" max="8"/>
    <col width="6.13" customWidth="1" style="20" min="9" max="9"/>
    <col width="4.75" customWidth="1" style="20" min="10" max="10"/>
    <col width="5.75" customWidth="1" style="20" min="11" max="11"/>
    <col width="3.88" customWidth="1" style="20" min="12" max="12"/>
    <col width="8.5" customWidth="1" style="20" min="13" max="13"/>
    <col width="3.75" customWidth="1" style="20" min="14" max="14"/>
    <col width="6.88" customWidth="1" style="20"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3" t="inlineStr">
        <is>
          <t>The Wasp, Winsome Avenger</t>
        </is>
      </c>
      <c r="B2" s="13" t="inlineStr">
        <is>
          <t>Legendary Creature — Human Hero</t>
        </is>
      </c>
      <c r="C2" s="13" t="inlineStr">
        <is>
          <t>Rare / Rara</t>
        </is>
      </c>
      <c r="D2" s="13" t="inlineStr">
        <is>
          <t>Flash Flying When The Wasp enters, target Hero gains hexproof until end of turn. Whenever The Wasp attacks, tap target creature defending player controls.</t>
        </is>
      </c>
      <c r="E2" s="13" t="inlineStr">
        <is>
          <t>{1}{U}</t>
        </is>
      </c>
      <c r="F2" s="13" t="inlineStr">
        <is>
          <t>Azul</t>
        </is>
      </c>
      <c r="G2" s="13" t="n">
        <v>6.56</v>
      </c>
      <c r="H2" s="13" t="inlineStr">
        <is>
          <t>Marvel Super Heroes Commander (MSC)</t>
        </is>
      </c>
      <c r="I2" s="13" t="inlineStr">
        <is>
          <t>Não</t>
        </is>
      </c>
      <c r="J2" s="13" t="n">
        <v>2026</v>
      </c>
      <c r="K2" s="10" t="n">
        <v>46024</v>
      </c>
      <c r="L2" s="13" t="n">
        <v>1</v>
      </c>
    </row>
    <row r="3">
      <c r="A3" s="13" t="inlineStr">
        <is>
          <t>Austere Command / Comando Austero</t>
        </is>
      </c>
      <c r="B3" s="13" t="inlineStr">
        <is>
          <t>Sorcery / Feitiço</t>
        </is>
      </c>
      <c r="C3" s="13" t="inlineStr">
        <is>
          <t>Rare / Rara</t>
        </is>
      </c>
      <c r="D3" s="13"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3" t="inlineStr">
        <is>
          <t>{4}{W}{W}</t>
        </is>
      </c>
      <c r="F3" s="13" t="inlineStr">
        <is>
          <t>Branco</t>
        </is>
      </c>
      <c r="G3" s="13" t="n">
        <v>2.76</v>
      </c>
      <c r="H3" s="13" t="inlineStr">
        <is>
          <t>Marvel Super Heroes Commander (MSC)</t>
        </is>
      </c>
      <c r="I3" s="13" t="inlineStr">
        <is>
          <t>Não</t>
        </is>
      </c>
      <c r="J3" s="13" t="n">
        <v>2026</v>
      </c>
      <c r="L3" s="13" t="n">
        <v>1</v>
      </c>
    </row>
    <row r="4">
      <c r="A4" s="19" t="inlineStr">
        <is>
          <t>Captain America, Team Leader</t>
        </is>
      </c>
      <c r="B4" s="19" t="inlineStr">
        <is>
          <t>Legendary Creature — Human Soldier Hero</t>
        </is>
      </c>
      <c r="C4" s="19" t="inlineStr">
        <is>
          <t>Mythic / Mítica</t>
        </is>
      </c>
      <c r="D4" s="19" t="inlineStr">
        <is>
          <t>Whenever another Hero you control enters, it gains vigilance and haste until end of turn. Put a +1/+1 counter on that Hero and a +1/+1 counter on Captain America.</t>
        </is>
      </c>
      <c r="E4" s="19" t="inlineStr">
        <is>
          <t>{R}{W}{U}</t>
        </is>
      </c>
      <c r="F4" s="19" t="inlineStr">
        <is>
          <t>Vermelho, Azul, Branco</t>
        </is>
      </c>
      <c r="G4" s="19" t="n">
        <v>19.99</v>
      </c>
      <c r="H4" s="19" t="inlineStr">
        <is>
          <t>Marvel Super Heroes Commander (MSC)</t>
        </is>
      </c>
      <c r="I4" s="19" t="inlineStr">
        <is>
          <t>Sim</t>
        </is>
      </c>
      <c r="J4" s="19" t="n">
        <v>2026</v>
      </c>
      <c r="K4" s="18" t="n">
        <v>46084</v>
      </c>
      <c r="L4" s="19" t="n">
        <v>1</v>
      </c>
      <c r="M4" s="19" t="n"/>
      <c r="N4" s="19" t="n"/>
      <c r="O4" s="19" t="n"/>
      <c r="P4" s="19" t="n"/>
      <c r="Q4" s="19" t="n"/>
      <c r="R4" s="19" t="n"/>
      <c r="S4" s="19" t="n"/>
      <c r="T4" s="19" t="n"/>
      <c r="U4" s="19" t="n"/>
      <c r="V4" s="19" t="n"/>
      <c r="W4" s="19" t="n"/>
      <c r="X4" s="19" t="n"/>
      <c r="Y4" s="19" t="n"/>
      <c r="Z4" s="19" t="n"/>
    </row>
    <row r="5">
      <c r="A5" s="13" t="inlineStr">
        <is>
          <t>Vision, Synthezoid Avenger</t>
        </is>
      </c>
      <c r="B5" s="13" t="inlineStr">
        <is>
          <t>Legendary Artifact Creature — Robot Hero</t>
        </is>
      </c>
      <c r="C5" s="13" t="inlineStr">
        <is>
          <t>Rare / Rara</t>
        </is>
      </c>
      <c r="D5" s="13" t="inlineStr">
        <is>
          <t>Flying Whenever a player casts a spell, if it isn't that player's turn, choose one — • Put a +1/+1 counter on Vision. • Vision phases out. (Treat him and anything attached to him as though they don't exist until your next turn.)</t>
        </is>
      </c>
      <c r="E5" s="13" t="inlineStr">
        <is>
          <t>{4}</t>
        </is>
      </c>
      <c r="F5" s="13" t="inlineStr">
        <is>
          <t>Incolor</t>
        </is>
      </c>
      <c r="G5" s="13" t="n">
        <v>11.4</v>
      </c>
      <c r="H5" s="13" t="inlineStr">
        <is>
          <t>Marvel Super Heroes Commander (MSC)</t>
        </is>
      </c>
      <c r="I5" s="13" t="inlineStr">
        <is>
          <t>Não</t>
        </is>
      </c>
      <c r="J5" s="13" t="n">
        <v>2026</v>
      </c>
      <c r="K5" s="10" t="n">
        <v>46084</v>
      </c>
      <c r="L5" s="13" t="n">
        <v>1</v>
      </c>
    </row>
    <row r="6">
      <c r="A6" s="13" t="inlineStr">
        <is>
          <t>Exotic Orchard / Pomar Exótico</t>
        </is>
      </c>
      <c r="B6" s="13" t="inlineStr">
        <is>
          <t>Land / Terreno</t>
        </is>
      </c>
      <c r="C6" s="13" t="inlineStr">
        <is>
          <t>Rare / Rara</t>
        </is>
      </c>
      <c r="D6" s="13" t="inlineStr">
        <is>
          <t>{T}: Add one mana of any color that a land an opponent controls could produce. / {T}: Adicione um mana de qualquer cor que um terreno controlado por um oponente possa gerar.</t>
        </is>
      </c>
      <c r="F6" s="13" t="inlineStr">
        <is>
          <t>Incolor</t>
        </is>
      </c>
      <c r="G6" s="13" t="n">
        <v>1.38</v>
      </c>
      <c r="H6" s="13" t="inlineStr">
        <is>
          <t>Marvel Super Heroes Commander (MSC)</t>
        </is>
      </c>
      <c r="I6" s="13" t="inlineStr">
        <is>
          <t>Não</t>
        </is>
      </c>
      <c r="J6" s="13" t="n">
        <v>2026</v>
      </c>
      <c r="L6" s="13" t="n">
        <v>1</v>
      </c>
    </row>
    <row r="7">
      <c r="A7" s="13" t="inlineStr">
        <is>
          <t>Rip Apart / Fender</t>
        </is>
      </c>
      <c r="B7" s="13" t="inlineStr">
        <is>
          <t>Sorcery / Feitiço</t>
        </is>
      </c>
      <c r="C7" s="13" t="inlineStr">
        <is>
          <t>Uncommon / Incomum</t>
        </is>
      </c>
      <c r="D7" s="13" t="inlineStr">
        <is>
          <t>Choose one — • Rip Apart deals 3 damage to target creature or planeswalker. • Destroy target artifact or enchantment. / Escolha um — • Fender causa 3 pontos de dano à criatura ou ao planeswalker alvo. • Destrua o artefato ou o encantamento alvo.</t>
        </is>
      </c>
      <c r="E7" s="13" t="inlineStr">
        <is>
          <t>{R}{W}</t>
        </is>
      </c>
      <c r="F7" s="13" t="inlineStr">
        <is>
          <t>Vermelho, Branco</t>
        </is>
      </c>
      <c r="G7" s="13" t="n">
        <v>0.49</v>
      </c>
      <c r="H7" s="13" t="inlineStr">
        <is>
          <t>Marvel Super Heroes Commander (MSC)</t>
        </is>
      </c>
      <c r="I7" s="13" t="inlineStr">
        <is>
          <t>Não</t>
        </is>
      </c>
      <c r="J7" s="13" t="n">
        <v>2026</v>
      </c>
      <c r="L7" s="13" t="n">
        <v>1</v>
      </c>
    </row>
    <row r="8">
      <c r="A8" s="13" t="inlineStr">
        <is>
          <t>Bastion Protector / Protetora do Bastião</t>
        </is>
      </c>
      <c r="B8" s="13" t="inlineStr">
        <is>
          <t>Creature — Human Soldier / Criatura — Humano Soldado</t>
        </is>
      </c>
      <c r="C8" s="13" t="inlineStr">
        <is>
          <t>Rare / Rara</t>
        </is>
      </c>
      <c r="D8" s="13" t="inlineStr">
        <is>
          <t>Commander creatures you control get +2/+2 and have indestructible. / As criaturas comandantes que você controla recebem +2/+2 e têm indestrutível.</t>
        </is>
      </c>
      <c r="E8" s="13" t="inlineStr">
        <is>
          <t>{2}{W}</t>
        </is>
      </c>
      <c r="F8" s="13" t="inlineStr">
        <is>
          <t>Branco</t>
        </is>
      </c>
      <c r="G8" s="13" t="n">
        <v>2.76</v>
      </c>
      <c r="H8" s="13" t="inlineStr">
        <is>
          <t>Marvel Super Heroes Commander (MSC)</t>
        </is>
      </c>
      <c r="I8" s="13" t="inlineStr">
        <is>
          <t>Não</t>
        </is>
      </c>
      <c r="J8" s="13" t="n">
        <v>2026</v>
      </c>
      <c r="K8" s="10" t="n">
        <v>46084</v>
      </c>
      <c r="L8" s="13" t="n">
        <v>1</v>
      </c>
    </row>
    <row r="9">
      <c r="A9" s="13" t="inlineStr">
        <is>
          <t>Plains // Plains / Planície</t>
        </is>
      </c>
      <c r="B9" s="13" t="inlineStr">
        <is>
          <t>Card // Card / Terreno Básico — Planície</t>
        </is>
      </c>
      <c r="C9" s="13" t="inlineStr">
        <is>
          <t>Common / Comum</t>
        </is>
      </c>
      <c r="F9" s="13" t="inlineStr">
        <is>
          <t>Branca</t>
        </is>
      </c>
      <c r="G9" s="13" t="n">
        <v>0.25</v>
      </c>
      <c r="H9" s="13" t="inlineStr">
        <is>
          <t>Marvel Super Heroes Commander (MSC)</t>
        </is>
      </c>
      <c r="I9" s="13" t="inlineStr">
        <is>
          <t>Não</t>
        </is>
      </c>
      <c r="J9" s="13" t="n">
        <v>2026</v>
      </c>
      <c r="L9" s="13" t="n">
        <v>3</v>
      </c>
    </row>
    <row r="10">
      <c r="A10" s="13" t="inlineStr">
        <is>
          <t>Folk Hero / Herói do Povo</t>
        </is>
      </c>
      <c r="B10" s="13" t="inlineStr">
        <is>
          <t>Legendary Enchantment — Background / Encantamento Lendário — Antecedente</t>
        </is>
      </c>
      <c r="C10" s="13" t="inlineStr">
        <is>
          <t>Mythic / Mítica</t>
        </is>
      </c>
      <c r="D10" s="13"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3" t="inlineStr">
        <is>
          <t>{1}{W}</t>
        </is>
      </c>
      <c r="F10" s="13" t="inlineStr">
        <is>
          <t>Branco</t>
        </is>
      </c>
      <c r="G10" s="13" t="n">
        <v>20.81</v>
      </c>
      <c r="H10" s="13" t="inlineStr">
        <is>
          <t>Marvel Super Heroes Commander (MSC)</t>
        </is>
      </c>
      <c r="I10" s="13" t="inlineStr">
        <is>
          <t>Não</t>
        </is>
      </c>
      <c r="J10" s="13" t="n">
        <v>2026</v>
      </c>
      <c r="L10" s="13" t="n">
        <v>1</v>
      </c>
    </row>
    <row r="11">
      <c r="A11" s="13" t="inlineStr">
        <is>
          <t>Scavenger Grounds / Território dos Necrófagos</t>
        </is>
      </c>
      <c r="B11" s="13" t="inlineStr">
        <is>
          <t>Land — Desert / Terreno — Deserto</t>
        </is>
      </c>
      <c r="C11" s="13" t="inlineStr">
        <is>
          <t>Rare / Rara</t>
        </is>
      </c>
      <c r="D11" s="13" t="inlineStr">
        <is>
          <t>{T}: Add {C}. {2}, {T}, Sacrifice a Desert: Exile all graveyards. / {T}: Adicione {C} à sua reserva de mana. {2}, {T}, sacrifique um Deserto: Exile todos os cards de todos os cemitérios.</t>
        </is>
      </c>
      <c r="F11" s="13" t="inlineStr">
        <is>
          <t>Incolor</t>
        </is>
      </c>
      <c r="G11" s="13" t="n">
        <v>2.88</v>
      </c>
      <c r="H11" s="13" t="inlineStr">
        <is>
          <t>Marvel Super Heroes Commander (MSC)</t>
        </is>
      </c>
      <c r="I11" s="13" t="inlineStr">
        <is>
          <t>Não</t>
        </is>
      </c>
      <c r="J11" s="13" t="n">
        <v>2026</v>
      </c>
      <c r="L11" s="13" t="n">
        <v>1</v>
      </c>
    </row>
    <row r="12">
      <c r="A12" s="13" t="inlineStr">
        <is>
          <t>Coastal Peak</t>
        </is>
      </c>
      <c r="B12" s="13" t="inlineStr">
        <is>
          <t>Land — Island Mountain</t>
        </is>
      </c>
      <c r="C12" s="13" t="inlineStr">
        <is>
          <t>Rare / Rara</t>
        </is>
      </c>
      <c r="D12" s="13" t="inlineStr">
        <is>
          <t>({T}: Add {U} or {R}.) This land enters tapped. Cycling {2} ({2}, Discard this card: Draw a card.)</t>
        </is>
      </c>
      <c r="F12" s="13" t="inlineStr">
        <is>
          <t>Vermelho, Azul</t>
        </is>
      </c>
      <c r="G12" s="13" t="n">
        <v>3.3</v>
      </c>
      <c r="H12" s="13" t="inlineStr">
        <is>
          <t>Marvel Super Heroes Commander (MSC)</t>
        </is>
      </c>
      <c r="I12" s="13" t="inlineStr">
        <is>
          <t>Não</t>
        </is>
      </c>
      <c r="J12" s="13" t="n">
        <v>2026</v>
      </c>
      <c r="L12" s="13" t="n">
        <v>1</v>
      </c>
    </row>
    <row r="13">
      <c r="A13" s="13" t="inlineStr">
        <is>
          <t>Scarlet Witch, Chaotic Avenger</t>
        </is>
      </c>
      <c r="B13" s="13" t="inlineStr">
        <is>
          <t>Legendary Creature — Mutant Warlock Hero</t>
        </is>
      </c>
      <c r="C13" s="13" t="inlineStr">
        <is>
          <t>Rare / Rara</t>
        </is>
      </c>
      <c r="D13" s="13" t="inlineStr">
        <is>
          <t>Flying Whenever Scarlet Witch deals combat damage to a player, look at the top two cards of your library, then exile them face down. Then you may cast a Hero or noncreature spell from among cards exiled with Scarlet Witch without paying its mana cost.</t>
        </is>
      </c>
      <c r="E13" s="13" t="inlineStr">
        <is>
          <t>{2}{U}{R}</t>
        </is>
      </c>
      <c r="F13" s="13" t="inlineStr">
        <is>
          <t>Vermelho, Azul</t>
        </is>
      </c>
      <c r="G13" s="13" t="n">
        <v>5.64</v>
      </c>
      <c r="H13" s="13" t="inlineStr">
        <is>
          <t>Marvel Super Heroes Commander (MSC)</t>
        </is>
      </c>
      <c r="I13" s="13" t="inlineStr">
        <is>
          <t>Não</t>
        </is>
      </c>
      <c r="J13" s="13" t="n">
        <v>2026</v>
      </c>
      <c r="K13" s="10" t="n">
        <v>46084</v>
      </c>
      <c r="L13" s="13" t="n">
        <v>1</v>
      </c>
    </row>
    <row r="14">
      <c r="A14" s="13" t="inlineStr">
        <is>
          <t>Unclaimed Territory / Território Não Reivindicado</t>
        </is>
      </c>
      <c r="B14" s="13" t="inlineStr">
        <is>
          <t>Land / Terreno</t>
        </is>
      </c>
      <c r="C14" s="13" t="inlineStr">
        <is>
          <t>Uncommon / Incomum</t>
        </is>
      </c>
      <c r="D14" s="13"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3" t="inlineStr">
        <is>
          <t>Incolor</t>
        </is>
      </c>
      <c r="G14" s="13" t="n">
        <v>1.78</v>
      </c>
      <c r="H14" s="13" t="inlineStr">
        <is>
          <t>Marvel Super Heroes Commander (MSC)</t>
        </is>
      </c>
      <c r="I14" s="13" t="inlineStr">
        <is>
          <t>Não</t>
        </is>
      </c>
      <c r="J14" s="13" t="n">
        <v>2026</v>
      </c>
      <c r="L14" s="13" t="n">
        <v>1</v>
      </c>
    </row>
    <row r="15">
      <c r="A15" s="13" t="inlineStr">
        <is>
          <t>Captain Mar-Vell, Space-Born</t>
        </is>
      </c>
      <c r="B15" s="13" t="inlineStr">
        <is>
          <t>Legendary Creature — Kree Soldier Hero</t>
        </is>
      </c>
      <c r="C15" s="13" t="inlineStr">
        <is>
          <t>Uncommon / Incomum</t>
        </is>
      </c>
      <c r="D15" s="13" t="inlineStr">
        <is>
          <t>Flying, vigilance Cosmic Awareness — As long as an opponent has cast a spell this turn, you may cast spells as though they had flash.</t>
        </is>
      </c>
      <c r="E15" s="13" t="inlineStr">
        <is>
          <t>{4}{W}</t>
        </is>
      </c>
      <c r="F15" s="13" t="inlineStr">
        <is>
          <t>Branco</t>
        </is>
      </c>
      <c r="G15" s="13" t="n">
        <v>0.25</v>
      </c>
      <c r="H15" s="13" t="inlineStr">
        <is>
          <t>Marvel Super Heroes (MSH)</t>
        </is>
      </c>
      <c r="I15" s="13" t="inlineStr">
        <is>
          <t>Não</t>
        </is>
      </c>
      <c r="J15" s="13" t="n">
        <v>2026</v>
      </c>
      <c r="K15" s="10" t="n">
        <v>46116</v>
      </c>
      <c r="L15" s="13" t="n">
        <v>1</v>
      </c>
    </row>
    <row r="16">
      <c r="A16" s="13" t="inlineStr">
        <is>
          <t>Mystic Monastery / Monastério Místico</t>
        </is>
      </c>
      <c r="B16" s="13" t="inlineStr">
        <is>
          <t>Land / Terreno</t>
        </is>
      </c>
      <c r="C16" s="13" t="inlineStr">
        <is>
          <t>Uncommon / Incomum</t>
        </is>
      </c>
      <c r="D16" s="13" t="inlineStr">
        <is>
          <t>This land enters tapped. {T}: Add {U}, {R}, or {W}. / Monastério Místico entra no campo de batalha virado. {T}: Adicione {U}, {R} ou {W} à sua reserva de mana.</t>
        </is>
      </c>
      <c r="F16" s="13" t="inlineStr">
        <is>
          <t>Vermelho, Azul, Branco</t>
        </is>
      </c>
      <c r="G16" s="13" t="n">
        <v>0.4</v>
      </c>
      <c r="H16" s="13" t="inlineStr">
        <is>
          <t>Marvel Super Heroes Commander (MSC)</t>
        </is>
      </c>
      <c r="I16" s="13" t="inlineStr">
        <is>
          <t>Não</t>
        </is>
      </c>
      <c r="J16" s="13" t="n">
        <v>2026</v>
      </c>
      <c r="L16" s="13" t="n">
        <v>1</v>
      </c>
    </row>
    <row r="17">
      <c r="A17" s="13" t="inlineStr">
        <is>
          <t>Thor, Asgard's Avenger</t>
        </is>
      </c>
      <c r="B17" s="13" t="inlineStr">
        <is>
          <t>Legendary Creature — God Warrior Hero</t>
        </is>
      </c>
      <c r="C17" s="13" t="inlineStr">
        <is>
          <t>Rare / Rara</t>
        </is>
      </c>
      <c r="D17" s="13" t="inlineStr">
        <is>
          <t>Flying If another source you control would deal damage to an opponent or a permanent an opponent controls, it deals that much damage plus 1 instead.</t>
        </is>
      </c>
      <c r="E17" s="13" t="inlineStr">
        <is>
          <t>{2}{R}{R}</t>
        </is>
      </c>
      <c r="F17" s="13" t="inlineStr">
        <is>
          <t>Vermelho</t>
        </is>
      </c>
      <c r="G17" s="13" t="n">
        <v>18.75</v>
      </c>
      <c r="H17" s="13" t="inlineStr">
        <is>
          <t>Marvel Super Heroes Commander (MSC)</t>
        </is>
      </c>
      <c r="I17" s="13" t="inlineStr">
        <is>
          <t>Não</t>
        </is>
      </c>
      <c r="J17" s="13" t="n">
        <v>2026</v>
      </c>
      <c r="K17" s="10" t="n">
        <v>46116</v>
      </c>
      <c r="L17" s="13" t="n">
        <v>1</v>
      </c>
    </row>
    <row r="18">
      <c r="A18" s="13" t="inlineStr">
        <is>
          <t>Avengers Quinjet</t>
        </is>
      </c>
      <c r="B18" s="13" t="inlineStr">
        <is>
          <t>Artifact — Vehicle</t>
        </is>
      </c>
      <c r="C18" s="13" t="inlineStr">
        <is>
          <t>Rare / Rara</t>
        </is>
      </c>
      <c r="D18" s="13" t="inlineStr">
        <is>
          <t>Flying Whenever this Vehicle enters or attacks, choose one — • You may put a Hero creature card from your hand onto the battlefield. • Return target Hero creature card from your graveyard to your hand. Crew 3</t>
        </is>
      </c>
      <c r="E18" s="13" t="inlineStr">
        <is>
          <t>{5}</t>
        </is>
      </c>
      <c r="F18" s="13" t="inlineStr">
        <is>
          <t>Incolor</t>
        </is>
      </c>
      <c r="G18" s="13" t="n">
        <v>2.72</v>
      </c>
      <c r="H18" s="13" t="inlineStr">
        <is>
          <t>Marvel Super Heroes Commander (MSC)</t>
        </is>
      </c>
      <c r="I18" s="13" t="inlineStr">
        <is>
          <t>Não</t>
        </is>
      </c>
      <c r="J18" s="13" t="n">
        <v>2026</v>
      </c>
      <c r="K18" s="10" t="n">
        <v>46116</v>
      </c>
      <c r="L18" s="13" t="n">
        <v>1</v>
      </c>
    </row>
    <row r="19">
      <c r="A19" s="13" t="inlineStr">
        <is>
          <t>Hulkbuster Armor</t>
        </is>
      </c>
      <c r="B19" s="13" t="inlineStr">
        <is>
          <t>Legendary Artifact — Equipment</t>
        </is>
      </c>
      <c r="C19" s="13" t="inlineStr">
        <is>
          <t>Rare / Rara</t>
        </is>
      </c>
      <c r="D19" s="13" t="inlineStr">
        <is>
          <t>Equipped creature has base power and toughness 9/9 and has flying. Equip Hero {3} Equip {6}</t>
        </is>
      </c>
      <c r="E19" s="13" t="inlineStr">
        <is>
          <t>{4}</t>
        </is>
      </c>
      <c r="F19" s="13" t="inlineStr">
        <is>
          <t>Incolor</t>
        </is>
      </c>
      <c r="G19" s="13" t="n">
        <v>9.4</v>
      </c>
      <c r="H19" s="13" t="inlineStr">
        <is>
          <t>Marvel Super Heroes Commander (MSC)</t>
        </is>
      </c>
      <c r="I19" s="13" t="inlineStr">
        <is>
          <t>Não</t>
        </is>
      </c>
      <c r="J19" s="13" t="n">
        <v>2026</v>
      </c>
      <c r="L19" s="13" t="n">
        <v>1</v>
      </c>
    </row>
    <row r="20">
      <c r="A20" s="13" t="inlineStr">
        <is>
          <t>Mountain / Montanha</t>
        </is>
      </c>
      <c r="B20" s="13" t="inlineStr">
        <is>
          <t>Basic Land — Mountain / Terreno Básico — Montanha</t>
        </is>
      </c>
      <c r="C20" s="13" t="inlineStr">
        <is>
          <t>Common / Comum</t>
        </is>
      </c>
      <c r="D20" s="13" t="inlineStr">
        <is>
          <t>({T}: Add {R}.) / R</t>
        </is>
      </c>
      <c r="F20" s="13" t="inlineStr">
        <is>
          <t>Vermelho</t>
        </is>
      </c>
      <c r="G20" s="13" t="n">
        <v>0.25</v>
      </c>
      <c r="H20" s="13" t="inlineStr">
        <is>
          <t>Marvel Super Heroes (MSH)</t>
        </is>
      </c>
      <c r="I20" s="13" t="inlineStr">
        <is>
          <t>Não</t>
        </is>
      </c>
      <c r="J20" s="13" t="n">
        <v>2026</v>
      </c>
      <c r="L20" s="13" t="n">
        <v>5</v>
      </c>
    </row>
    <row r="21">
      <c r="A21" s="13" t="inlineStr">
        <is>
          <t>Port Town / Cidade Portuária</t>
        </is>
      </c>
      <c r="B21" s="13" t="inlineStr">
        <is>
          <t>Land / Terreno</t>
        </is>
      </c>
      <c r="C21" s="13" t="inlineStr">
        <is>
          <t>Rare / Rara</t>
        </is>
      </c>
      <c r="D21" s="13"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3" t="inlineStr">
        <is>
          <t>Azul, Branco</t>
        </is>
      </c>
      <c r="G21" s="13" t="n">
        <v>1.68</v>
      </c>
      <c r="H21" s="13" t="inlineStr">
        <is>
          <t>Marvel Super Heroes Commander (MSC)</t>
        </is>
      </c>
      <c r="I21" s="13" t="inlineStr">
        <is>
          <t>Não</t>
        </is>
      </c>
      <c r="J21" s="13" t="n">
        <v>2026</v>
      </c>
      <c r="L21" s="13" t="n">
        <v>1</v>
      </c>
    </row>
    <row r="22">
      <c r="A22" s="13" t="inlineStr">
        <is>
          <t>Thought Vessel / Receptáculo de Pensamentos</t>
        </is>
      </c>
      <c r="B22" s="13" t="inlineStr">
        <is>
          <t>Artifact / Artefato</t>
        </is>
      </c>
      <c r="C22" s="13" t="inlineStr">
        <is>
          <t>Uncommon / Incomum</t>
        </is>
      </c>
      <c r="D22" s="13" t="inlineStr">
        <is>
          <t>You have no maximum hand size. {T}: Add {C}. / Não há limite para o número máximo de cards em sua mão. {T}: Adicione {C}.</t>
        </is>
      </c>
      <c r="E22" s="13" t="inlineStr">
        <is>
          <t>{2}</t>
        </is>
      </c>
      <c r="F22" s="13" t="inlineStr">
        <is>
          <t>Incolor</t>
        </is>
      </c>
      <c r="G22" s="13" t="n">
        <v>8.09</v>
      </c>
      <c r="H22" s="13" t="inlineStr">
        <is>
          <t>Marvel Super Heroes Commander (MSC)</t>
        </is>
      </c>
      <c r="I22" s="13" t="inlineStr">
        <is>
          <t>Não</t>
        </is>
      </c>
      <c r="J22" s="13" t="n">
        <v>2026</v>
      </c>
      <c r="L22" s="13" t="n">
        <v>1</v>
      </c>
    </row>
    <row r="23">
      <c r="A23" s="13" t="inlineStr">
        <is>
          <t>Jocasta, Automaton Avenger</t>
        </is>
      </c>
      <c r="B23" s="13" t="inlineStr">
        <is>
          <t>Legendary Artifact Creature — Robot Hero</t>
        </is>
      </c>
      <c r="C23" s="13" t="inlineStr">
        <is>
          <t>Rare / Rara</t>
        </is>
      </c>
      <c r="D23" s="13" t="inlineStr">
        <is>
          <t>Flying Whenever your commander deals combat damage to a player, put a +1/+1 counter on Jocasta. Whenever you attack with your commander, if this card is in your graveyard, you may return it to the battlefield tapped and attacking.</t>
        </is>
      </c>
      <c r="E23" s="13" t="inlineStr">
        <is>
          <t>{3}</t>
        </is>
      </c>
      <c r="F23" s="13" t="inlineStr">
        <is>
          <t>Incolor</t>
        </is>
      </c>
      <c r="G23" s="13" t="n">
        <v>9.359999999999999</v>
      </c>
      <c r="H23" s="13" t="inlineStr">
        <is>
          <t>Marvel Super Heroes Commander (MSC)</t>
        </is>
      </c>
      <c r="I23" s="13" t="inlineStr">
        <is>
          <t>Não</t>
        </is>
      </c>
      <c r="J23" s="13" t="n">
        <v>2026</v>
      </c>
      <c r="K23" s="10" t="n">
        <v>46055</v>
      </c>
      <c r="L23" s="13" t="n">
        <v>1</v>
      </c>
    </row>
    <row r="24">
      <c r="A24" s="13" t="inlineStr">
        <is>
          <t>Raise the Palisade / Erguer a Paliçada</t>
        </is>
      </c>
      <c r="B24" s="13" t="inlineStr">
        <is>
          <t>Sorcery / Feitiço</t>
        </is>
      </c>
      <c r="C24" s="13" t="inlineStr">
        <is>
          <t>Rare / Rara</t>
        </is>
      </c>
      <c r="D24" s="13" t="inlineStr">
        <is>
          <t>Choose a creature type. Return all creatures that aren't of the chosen type to their owners' hands. / Escolha um tipo de criatura. Devolva todas as criaturas que não sejam do tipo escolhido para a mão de seus donos.</t>
        </is>
      </c>
      <c r="E24" s="13" t="inlineStr">
        <is>
          <t>{4}{U}</t>
        </is>
      </c>
      <c r="F24" s="13" t="inlineStr">
        <is>
          <t>Azul</t>
        </is>
      </c>
      <c r="G24" s="13" t="n">
        <v>51.75</v>
      </c>
      <c r="H24" s="13" t="inlineStr">
        <is>
          <t>Marvel Super Heroes Commander (MSC)</t>
        </is>
      </c>
      <c r="I24" s="13" t="inlineStr">
        <is>
          <t>Não</t>
        </is>
      </c>
      <c r="J24" s="13" t="n">
        <v>2026</v>
      </c>
      <c r="L24" s="13" t="n">
        <v>1</v>
      </c>
    </row>
    <row r="25">
      <c r="A25" s="13" t="inlineStr">
        <is>
          <t>Plains / Planície</t>
        </is>
      </c>
      <c r="B25" s="13" t="inlineStr">
        <is>
          <t>Basic Land — Plains / Terreno Básico — Planície</t>
        </is>
      </c>
      <c r="C25" s="13" t="inlineStr">
        <is>
          <t>Common / Comum</t>
        </is>
      </c>
      <c r="D25" s="13" t="inlineStr">
        <is>
          <t>({T}: Add {W}.) / W</t>
        </is>
      </c>
      <c r="F25" s="13" t="inlineStr">
        <is>
          <t>Branco</t>
        </is>
      </c>
      <c r="G25" s="13" t="n">
        <v>0.25</v>
      </c>
      <c r="H25" s="13" t="inlineStr">
        <is>
          <t>Marvel Super Heroes (MSH)</t>
        </is>
      </c>
      <c r="I25" s="13" t="inlineStr">
        <is>
          <t>Não</t>
        </is>
      </c>
      <c r="J25" s="13" t="n">
        <v>2026</v>
      </c>
      <c r="L25" s="13" t="n">
        <v>1</v>
      </c>
    </row>
    <row r="26">
      <c r="A26" s="13" t="inlineStr">
        <is>
          <t>Shang-Chi and the Ten Rings</t>
        </is>
      </c>
      <c r="B26" s="13" t="inlineStr">
        <is>
          <t>Legendary Creature — Human Warrior Hero</t>
        </is>
      </c>
      <c r="C26" s="13" t="inlineStr">
        <is>
          <t>Rare / Rara</t>
        </is>
      </c>
      <c r="D26" s="13" t="inlineStr">
        <is>
          <t>First strike Whenever you draw a card, put a +1/+1 counter on Shang-Chi. When the tenth +1/+1 counter is put on Shang-Chi, you draw five cards and gain 5 life.</t>
        </is>
      </c>
      <c r="E26" s="13" t="inlineStr">
        <is>
          <t>{1}{W}{U}</t>
        </is>
      </c>
      <c r="F26" s="13" t="inlineStr">
        <is>
          <t>Azul, Branco</t>
        </is>
      </c>
      <c r="G26" s="13" t="n">
        <v>5.4</v>
      </c>
      <c r="H26" s="13" t="inlineStr">
        <is>
          <t>Marvel Super Heroes Commander (MSC)</t>
        </is>
      </c>
      <c r="I26" s="13" t="inlineStr">
        <is>
          <t>Não</t>
        </is>
      </c>
      <c r="J26" s="13" t="n">
        <v>2026</v>
      </c>
      <c r="K26" s="10" t="n">
        <v>46055</v>
      </c>
      <c r="L26" s="13" t="n">
        <v>1</v>
      </c>
    </row>
    <row r="27">
      <c r="A27" s="13" t="inlineStr">
        <is>
          <t>Door of Destinies / Porta dos Destinos</t>
        </is>
      </c>
      <c r="B27" s="13" t="inlineStr">
        <is>
          <t>Artifact / Artefato</t>
        </is>
      </c>
      <c r="C27" s="13" t="inlineStr">
        <is>
          <t>Rare / Rara</t>
        </is>
      </c>
      <c r="D27" s="13"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3" t="inlineStr">
        <is>
          <t>{4}</t>
        </is>
      </c>
      <c r="F27" s="13" t="inlineStr">
        <is>
          <t>Incolor</t>
        </is>
      </c>
      <c r="G27" s="13" t="n">
        <v>13.61</v>
      </c>
      <c r="H27" s="13" t="inlineStr">
        <is>
          <t>Marvel Super Heroes Commander (MSC)</t>
        </is>
      </c>
      <c r="I27" s="13" t="inlineStr">
        <is>
          <t>Não</t>
        </is>
      </c>
      <c r="J27" s="13" t="n">
        <v>2026</v>
      </c>
      <c r="L27" s="13" t="n">
        <v>1</v>
      </c>
    </row>
    <row r="28">
      <c r="A28" s="13" t="inlineStr">
        <is>
          <t>Glacial Fortress / Fortaleza Glacial</t>
        </is>
      </c>
      <c r="B28" s="13" t="inlineStr">
        <is>
          <t>Land / Terreno</t>
        </is>
      </c>
      <c r="C28" s="13" t="inlineStr">
        <is>
          <t>Rare / Rara</t>
        </is>
      </c>
      <c r="D28" s="13" t="inlineStr">
        <is>
          <t>This land enters tapped unless you control a Plains or an Island. {T}: Add {W} or {U}. / Fortaleza Glacial entra no campo de batalha virado a menos que você controle uma Planície ou uma Ilha. {T}: Adicione {W} ou {U} à sua reserva de mana.</t>
        </is>
      </c>
      <c r="F28" s="13" t="inlineStr">
        <is>
          <t>Azul, Branco</t>
        </is>
      </c>
      <c r="G28" s="13" t="n">
        <v>2.92</v>
      </c>
      <c r="H28" s="13" t="inlineStr">
        <is>
          <t>Marvel Super Heroes Commander (MSC)</t>
        </is>
      </c>
      <c r="I28" s="13" t="inlineStr">
        <is>
          <t>Não</t>
        </is>
      </c>
      <c r="J28" s="13" t="n">
        <v>2026</v>
      </c>
      <c r="L28" s="13" t="n">
        <v>1</v>
      </c>
    </row>
    <row r="29">
      <c r="A29" s="13" t="inlineStr">
        <is>
          <t>Tome of Legends</t>
        </is>
      </c>
      <c r="B29" s="13" t="inlineStr">
        <is>
          <t>Artifact — Book</t>
        </is>
      </c>
      <c r="C29" s="13" t="inlineStr">
        <is>
          <t>Rare / Rara</t>
        </is>
      </c>
      <c r="D29" s="13" t="inlineStr">
        <is>
          <t>This artifact enters with a page counter on it. Whenever your commander enters or attacks, put a page counter on this artifact. {1}, {T}, Remove a page counter from this artifact: Draw a card.</t>
        </is>
      </c>
      <c r="E29" s="13" t="inlineStr">
        <is>
          <t>{2}</t>
        </is>
      </c>
      <c r="F29" s="13" t="inlineStr">
        <is>
          <t>Incolor</t>
        </is>
      </c>
      <c r="G29" s="13" t="n">
        <v>1.77</v>
      </c>
      <c r="H29" s="13" t="inlineStr">
        <is>
          <t>Marvel Super Heroes Commander (MSC)</t>
        </is>
      </c>
      <c r="I29" s="13" t="inlineStr">
        <is>
          <t>Não</t>
        </is>
      </c>
      <c r="J29" s="13" t="n">
        <v>2026</v>
      </c>
      <c r="L29" s="13" t="n">
        <v>1</v>
      </c>
    </row>
    <row r="30">
      <c r="A30" s="13" t="inlineStr">
        <is>
          <t>Dismantling Wave / Onda Desmanteladora</t>
        </is>
      </c>
      <c r="B30" s="13" t="inlineStr">
        <is>
          <t>Sorcery / Feitiço</t>
        </is>
      </c>
      <c r="C30" s="13" t="inlineStr">
        <is>
          <t>Rare / Rara</t>
        </is>
      </c>
      <c r="D30" s="13"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3" t="inlineStr">
        <is>
          <t>{2}{W}</t>
        </is>
      </c>
      <c r="F30" s="13" t="inlineStr">
        <is>
          <t>Branco</t>
        </is>
      </c>
      <c r="G30" s="13" t="n">
        <v>1.42</v>
      </c>
      <c r="H30" s="13" t="inlineStr">
        <is>
          <t>Marvel Super Heroes Commander (MSC)</t>
        </is>
      </c>
      <c r="I30" s="13" t="inlineStr">
        <is>
          <t>Não</t>
        </is>
      </c>
      <c r="J30" s="13" t="n">
        <v>2026</v>
      </c>
      <c r="L30" s="13" t="n">
        <v>1</v>
      </c>
    </row>
    <row r="31">
      <c r="A31" s="13" t="inlineStr">
        <is>
          <t>Rescue, Pepper Potts</t>
        </is>
      </c>
      <c r="B31" s="13" t="inlineStr">
        <is>
          <t>Legendary Artifact Creature — Human Hero</t>
        </is>
      </c>
      <c r="C31" s="13" t="inlineStr">
        <is>
          <t>Uncommon / Incomum</t>
        </is>
      </c>
      <c r="D31" s="13" t="inlineStr">
        <is>
          <t>Flash Flying When Rescue enters, return up to one other target artifact or creature you control to its owner's hand. If it was an artifact, put a +1/+1 counter on Rescue.</t>
        </is>
      </c>
      <c r="E31" s="13" t="inlineStr">
        <is>
          <t>{1}{U}</t>
        </is>
      </c>
      <c r="F31" s="13" t="inlineStr">
        <is>
          <t>Azul</t>
        </is>
      </c>
      <c r="G31" s="13" t="n">
        <v>0.85</v>
      </c>
      <c r="H31" s="13" t="inlineStr">
        <is>
          <t>Marvel Super Heroes Commander (MSC)</t>
        </is>
      </c>
      <c r="I31" s="13" t="inlineStr">
        <is>
          <t>Não</t>
        </is>
      </c>
      <c r="J31" s="13" t="n">
        <v>2026</v>
      </c>
      <c r="K31" s="10" t="n">
        <v>46024</v>
      </c>
      <c r="L31" s="13" t="n">
        <v>1</v>
      </c>
    </row>
    <row r="32">
      <c r="A32" s="13" t="inlineStr">
        <is>
          <t>Command Tower / Torre de Comando</t>
        </is>
      </c>
      <c r="B32" s="13" t="inlineStr">
        <is>
          <t>Land / Terreno</t>
        </is>
      </c>
      <c r="C32" s="13" t="inlineStr">
        <is>
          <t>Common / Comum</t>
        </is>
      </c>
      <c r="D32" s="13" t="inlineStr">
        <is>
          <t>{T}: Add one mana of any color in your commander's color identity. / {T}: Adicione um mana de qualquer cor da identidade de cor de seu comandante.</t>
        </is>
      </c>
      <c r="F32" s="13" t="inlineStr">
        <is>
          <t>Incolor</t>
        </is>
      </c>
      <c r="G32" s="13" t="n">
        <v>1.96</v>
      </c>
      <c r="H32" s="13" t="inlineStr">
        <is>
          <t>Marvel Super Heroes Commander (MSC)</t>
        </is>
      </c>
      <c r="I32" s="13" t="inlineStr">
        <is>
          <t>Não</t>
        </is>
      </c>
      <c r="J32" s="13" t="n">
        <v>2026</v>
      </c>
      <c r="L32" s="13" t="n">
        <v>1</v>
      </c>
    </row>
    <row r="33">
      <c r="A33" s="13" t="inlineStr">
        <is>
          <t>Quicksilver, Speedster</t>
        </is>
      </c>
      <c r="B33" s="13" t="inlineStr">
        <is>
          <t>Legendary Creature — Mutant Hero</t>
        </is>
      </c>
      <c r="C33" s="13" t="inlineStr">
        <is>
          <t>Rare / Rara</t>
        </is>
      </c>
      <c r="D33" s="13" t="inlineStr">
        <is>
          <t>Flash Double strike, haste As long as Quicksilver is tapped, you may cast spells as though they had flash.</t>
        </is>
      </c>
      <c r="E33" s="13" t="inlineStr">
        <is>
          <t>{3}{U}{R}</t>
        </is>
      </c>
      <c r="F33" s="13" t="inlineStr">
        <is>
          <t>Vermelho, Azul</t>
        </is>
      </c>
      <c r="G33" s="13" t="n">
        <v>9.34</v>
      </c>
      <c r="H33" s="13" t="inlineStr">
        <is>
          <t>Marvel Super Heroes Commander (MSC)</t>
        </is>
      </c>
      <c r="I33" s="13" t="inlineStr">
        <is>
          <t>Não</t>
        </is>
      </c>
      <c r="J33" s="13" t="n">
        <v>2026</v>
      </c>
      <c r="K33" s="10" t="n">
        <v>46115</v>
      </c>
      <c r="L33" s="13" t="n">
        <v>1</v>
      </c>
    </row>
    <row r="34">
      <c r="A34" s="13" t="inlineStr">
        <is>
          <t>Make Your Move / Faça Sua Jogada</t>
        </is>
      </c>
      <c r="B34" s="13" t="inlineStr">
        <is>
          <t>Instant / Mágica Instantânea</t>
        </is>
      </c>
      <c r="C34" s="13" t="inlineStr">
        <is>
          <t>Common / Comum</t>
        </is>
      </c>
      <c r="D34" s="13" t="inlineStr">
        <is>
          <t>Destroy target artifact, enchantment, or creature with power 4 or greater. / Destrua o artefato, o encantamento ou a criatura com poder igual ou superior a 4 alvo.</t>
        </is>
      </c>
      <c r="E34" s="13" t="inlineStr">
        <is>
          <t>{2}{W}</t>
        </is>
      </c>
      <c r="F34" s="13" t="inlineStr">
        <is>
          <t>Branco</t>
        </is>
      </c>
      <c r="G34" s="13" t="n">
        <v>0.14</v>
      </c>
      <c r="H34" s="13" t="inlineStr">
        <is>
          <t>Marvel Super Heroes Commander (MSC)</t>
        </is>
      </c>
      <c r="I34" s="13" t="inlineStr">
        <is>
          <t>Não</t>
        </is>
      </c>
      <c r="J34" s="13" t="n">
        <v>2026</v>
      </c>
      <c r="L34" s="13" t="n">
        <v>1</v>
      </c>
    </row>
    <row r="35">
      <c r="A35" s="13" t="inlineStr">
        <is>
          <t>Island / Ilha</t>
        </is>
      </c>
      <c r="B35" s="13" t="inlineStr">
        <is>
          <t>Basic Land — Island / Terreno Básico — Ilha</t>
        </is>
      </c>
      <c r="C35" s="13" t="inlineStr">
        <is>
          <t>Common / Comum</t>
        </is>
      </c>
      <c r="D35" s="13" t="inlineStr">
        <is>
          <t>({T}: Add {U}.) / U</t>
        </is>
      </c>
      <c r="F35" s="13" t="inlineStr">
        <is>
          <t>Azul</t>
        </is>
      </c>
      <c r="G35" s="13" t="n">
        <v>0.25</v>
      </c>
      <c r="H35" s="13" t="inlineStr">
        <is>
          <t>Marvel Super Heroes (MSH)</t>
        </is>
      </c>
      <c r="I35" s="13" t="inlineStr">
        <is>
          <t>Não</t>
        </is>
      </c>
      <c r="J35" s="13" t="n">
        <v>2026</v>
      </c>
      <c r="L35" s="13" t="n">
        <v>5</v>
      </c>
    </row>
    <row r="36">
      <c r="A36" s="13" t="inlineStr">
        <is>
          <t>Plains / Planície</t>
        </is>
      </c>
      <c r="B36" s="13" t="inlineStr">
        <is>
          <t>Basic Land — Plains / Terreno Básico — Planície</t>
        </is>
      </c>
      <c r="C36" s="13" t="inlineStr">
        <is>
          <t>Common / Comum</t>
        </is>
      </c>
      <c r="D36" s="13" t="inlineStr">
        <is>
          <t>({T}: Add {W}.) / W</t>
        </is>
      </c>
      <c r="F36" s="13" t="inlineStr">
        <is>
          <t>Branco</t>
        </is>
      </c>
      <c r="G36" s="13" t="n">
        <v>0.25</v>
      </c>
      <c r="H36" s="13" t="inlineStr">
        <is>
          <t>Marvel Super Heroes (MSH)</t>
        </is>
      </c>
      <c r="I36" s="13" t="inlineStr">
        <is>
          <t>Não</t>
        </is>
      </c>
      <c r="J36" s="13" t="n">
        <v>2026</v>
      </c>
      <c r="L36" s="13" t="n">
        <v>2</v>
      </c>
    </row>
    <row r="37">
      <c r="A37" s="13" t="inlineStr">
        <is>
          <t>Secluded Courtyard / Pátio Reservado</t>
        </is>
      </c>
      <c r="B37" s="13" t="inlineStr">
        <is>
          <t>Land / Terreno</t>
        </is>
      </c>
      <c r="C37" s="13" t="inlineStr">
        <is>
          <t>Uncommon / Incomum</t>
        </is>
      </c>
      <c r="D37" s="13"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3" t="inlineStr">
        <is>
          <t>Incolor</t>
        </is>
      </c>
      <c r="G37" s="13" t="n">
        <v>7.9</v>
      </c>
      <c r="H37" s="13" t="inlineStr">
        <is>
          <t>Marvel Super Heroes Commander (MSC)</t>
        </is>
      </c>
      <c r="I37" s="13" t="inlineStr">
        <is>
          <t>Não</t>
        </is>
      </c>
      <c r="J37" s="13" t="n">
        <v>2026</v>
      </c>
      <c r="L37" s="13" t="n">
        <v>1</v>
      </c>
    </row>
    <row r="38">
      <c r="A38" s="13" t="inlineStr">
        <is>
          <t>Love on the Battlefield</t>
        </is>
      </c>
      <c r="B38" s="13" t="inlineStr">
        <is>
          <t>Enchantment</t>
        </is>
      </c>
      <c r="C38" s="13" t="inlineStr">
        <is>
          <t>Rare / Rara</t>
        </is>
      </c>
      <c r="D38" s="13" t="inlineStr">
        <is>
          <t>Whenever you attack with exactly two creatures, those creatures gain first strike until end of turn, then draw a card. Whenever either of those creatures deals combat damage to a player this combat, put a +1/+1 counter on it.</t>
        </is>
      </c>
      <c r="E38" s="13" t="inlineStr">
        <is>
          <t>{1}{U}{R}</t>
        </is>
      </c>
      <c r="F38" s="13" t="inlineStr">
        <is>
          <t>Vermelho, Azul</t>
        </is>
      </c>
      <c r="G38" s="13" t="n">
        <v>7.95</v>
      </c>
      <c r="H38" s="13" t="inlineStr">
        <is>
          <t>Marvel Super Heroes Commander (MSC)</t>
        </is>
      </c>
      <c r="I38" s="13" t="inlineStr">
        <is>
          <t>Não</t>
        </is>
      </c>
      <c r="J38" s="13" t="n">
        <v>2026</v>
      </c>
      <c r="L38" s="13" t="n">
        <v>1</v>
      </c>
    </row>
    <row r="39">
      <c r="A39" s="13" t="inlineStr">
        <is>
          <t>Gift of Immortality / Dádiva da Imortalidade</t>
        </is>
      </c>
      <c r="B39" s="13" t="inlineStr">
        <is>
          <t>Enchantment — Aura / Encantamento — Aura</t>
        </is>
      </c>
      <c r="C39" s="13" t="inlineStr">
        <is>
          <t>Rare / Rara</t>
        </is>
      </c>
      <c r="D39" s="13"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3" t="inlineStr">
        <is>
          <t>{2}{W}</t>
        </is>
      </c>
      <c r="F39" s="13" t="inlineStr">
        <is>
          <t>Branco</t>
        </is>
      </c>
      <c r="G39" s="13" t="n">
        <v>3.75</v>
      </c>
      <c r="H39" s="13" t="inlineStr">
        <is>
          <t>Marvel Super Heroes Commander (MSC)</t>
        </is>
      </c>
      <c r="I39" s="13" t="inlineStr">
        <is>
          <t>Não</t>
        </is>
      </c>
      <c r="J39" s="13" t="n">
        <v>2026</v>
      </c>
      <c r="L39" s="13" t="n">
        <v>1</v>
      </c>
    </row>
    <row r="40">
      <c r="A40" s="13" t="inlineStr">
        <is>
          <t>Path of Ancestry / Caminho da Ascendência</t>
        </is>
      </c>
      <c r="B40" s="13" t="inlineStr">
        <is>
          <t>Land / Terreno</t>
        </is>
      </c>
      <c r="C40" s="13" t="inlineStr">
        <is>
          <t>Common / Comum</t>
        </is>
      </c>
      <c r="D40" s="13"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3" t="inlineStr">
        <is>
          <t>Incolor</t>
        </is>
      </c>
      <c r="G40" s="13" t="n">
        <v>0.59</v>
      </c>
      <c r="H40" s="13" t="inlineStr">
        <is>
          <t>Marvel Super Heroes Commander (MSC)</t>
        </is>
      </c>
      <c r="I40" s="13" t="inlineStr">
        <is>
          <t>Não</t>
        </is>
      </c>
      <c r="J40" s="13" t="n">
        <v>2026</v>
      </c>
      <c r="L40" s="13" t="n">
        <v>1</v>
      </c>
    </row>
    <row r="41">
      <c r="A41" s="13" t="inlineStr">
        <is>
          <t>Frostboil Snarl / Liame da Pirogeada</t>
        </is>
      </c>
      <c r="B41" s="13" t="inlineStr">
        <is>
          <t>Land / Terreno</t>
        </is>
      </c>
      <c r="C41" s="13" t="inlineStr">
        <is>
          <t>Rare / Rara</t>
        </is>
      </c>
      <c r="D41" s="13"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3" t="inlineStr">
        <is>
          <t>Vermelho, Azul</t>
        </is>
      </c>
      <c r="G41" s="13" t="n">
        <v>1.78</v>
      </c>
      <c r="H41" s="13" t="inlineStr">
        <is>
          <t>Marvel Super Heroes Commander (MSC)</t>
        </is>
      </c>
      <c r="I41" s="13" t="inlineStr">
        <is>
          <t>Não</t>
        </is>
      </c>
      <c r="J41" s="13" t="n">
        <v>2026</v>
      </c>
      <c r="L41" s="13" t="n">
        <v>1</v>
      </c>
    </row>
    <row r="42">
      <c r="A42" s="13" t="inlineStr">
        <is>
          <t>Photon, Mighty Marvel</t>
        </is>
      </c>
      <c r="B42" s="13" t="inlineStr">
        <is>
          <t>Legendary Creature — Human Hero</t>
        </is>
      </c>
      <c r="C42" s="13" t="inlineStr">
        <is>
          <t>Rare / Rara</t>
        </is>
      </c>
      <c r="D42" s="13" t="inlineStr">
        <is>
          <t>Flying Whenever Photon deals combat damage to a player, add that much mana of any one color. Until end of turn, you don't lose this mana as steps and phases end.</t>
        </is>
      </c>
      <c r="E42" s="13" t="inlineStr">
        <is>
          <t>{3}{R}</t>
        </is>
      </c>
      <c r="F42" s="13" t="inlineStr">
        <is>
          <t>Vermelho</t>
        </is>
      </c>
      <c r="G42" s="13" t="n">
        <v>2.82</v>
      </c>
      <c r="H42" s="13" t="inlineStr">
        <is>
          <t>Marvel Super Heroes Commander (MSC)</t>
        </is>
      </c>
      <c r="I42" s="13" t="inlineStr">
        <is>
          <t>Não</t>
        </is>
      </c>
      <c r="J42" s="13" t="n">
        <v>2026</v>
      </c>
      <c r="K42" s="10" t="n">
        <v>46114</v>
      </c>
      <c r="L42" s="13" t="n">
        <v>1</v>
      </c>
    </row>
    <row r="43">
      <c r="A43" s="13" t="inlineStr">
        <is>
          <t>Hawkeye, Avenging Archer</t>
        </is>
      </c>
      <c r="B43" s="13" t="inlineStr">
        <is>
          <t>Legendary Creature — Human Archer Hero</t>
        </is>
      </c>
      <c r="C43" s="13" t="inlineStr">
        <is>
          <t>Rare / Rara</t>
        </is>
      </c>
      <c r="D43" s="13" t="inlineStr">
        <is>
          <t>Reach Whenever a creature an opponent controls dies, if Hawkeye dealt damage to it this turn, draw a card. {T}: Hawkeye deals 1 damage to any target.</t>
        </is>
      </c>
      <c r="E43" s="13" t="inlineStr">
        <is>
          <t>{2}{U}{R}</t>
        </is>
      </c>
      <c r="F43" s="13" t="inlineStr">
        <is>
          <t>Vermelho, Azul</t>
        </is>
      </c>
      <c r="G43" s="13" t="n">
        <v>2.67</v>
      </c>
      <c r="H43" s="13" t="inlineStr">
        <is>
          <t>Marvel Super Heroes Commander (MSC)</t>
        </is>
      </c>
      <c r="I43" s="13" t="inlineStr">
        <is>
          <t>Não</t>
        </is>
      </c>
      <c r="J43" s="13" t="n">
        <v>2026</v>
      </c>
      <c r="K43" s="10" t="n">
        <v>46115</v>
      </c>
      <c r="L43" s="13" t="n">
        <v>1</v>
      </c>
    </row>
    <row r="44">
      <c r="A44" s="13" t="inlineStr">
        <is>
          <t>Swords to Plowshares / Espadas em Arados</t>
        </is>
      </c>
      <c r="B44" s="13" t="inlineStr">
        <is>
          <t>Instant / Mágica Instantânea</t>
        </is>
      </c>
      <c r="C44" s="13" t="inlineStr">
        <is>
          <t>Uncommon / Incomum</t>
        </is>
      </c>
      <c r="D44" s="13" t="inlineStr">
        <is>
          <t>Exile target creature. Its controller gains life equal to its power. / Exile a criatura alvo. O controlador da criatura ganha uma quantidade de pontos de vida igual ao poder dela.</t>
        </is>
      </c>
      <c r="E44" s="13" t="inlineStr">
        <is>
          <t>{W}</t>
        </is>
      </c>
      <c r="F44" s="13" t="inlineStr">
        <is>
          <t>Branco</t>
        </is>
      </c>
      <c r="G44" s="13" t="n">
        <v>12.46</v>
      </c>
      <c r="H44" s="13" t="inlineStr">
        <is>
          <t>Marvel Super Heroes Commander (MSC)</t>
        </is>
      </c>
      <c r="I44" s="13" t="inlineStr">
        <is>
          <t>Não</t>
        </is>
      </c>
      <c r="J44" s="13" t="n">
        <v>2026</v>
      </c>
      <c r="L44" s="13" t="n">
        <v>1</v>
      </c>
    </row>
    <row r="45">
      <c r="A45" s="13" t="inlineStr">
        <is>
          <t>Glittering Massif</t>
        </is>
      </c>
      <c r="B45" s="13" t="inlineStr">
        <is>
          <t>Land — Mountain Plains</t>
        </is>
      </c>
      <c r="C45" s="13" t="inlineStr">
        <is>
          <t>Rare / Rara</t>
        </is>
      </c>
      <c r="D45" s="13" t="inlineStr">
        <is>
          <t>({T}: Add {R} or {W}.) This land enters tapped. Cycling {2} ({2}, Discard this card: Draw a card.)</t>
        </is>
      </c>
      <c r="F45" s="13" t="inlineStr">
        <is>
          <t>Vermelho, Branco</t>
        </is>
      </c>
      <c r="G45" s="13" t="n">
        <v>2.91</v>
      </c>
      <c r="H45" s="13" t="inlineStr">
        <is>
          <t>Marvel Super Heroes Commander (MSC)</t>
        </is>
      </c>
      <c r="I45" s="13" t="inlineStr">
        <is>
          <t>Não</t>
        </is>
      </c>
      <c r="J45" s="13" t="n">
        <v>2026</v>
      </c>
      <c r="L45" s="13" t="n">
        <v>1</v>
      </c>
    </row>
    <row r="46">
      <c r="A46" s="13" t="inlineStr">
        <is>
          <t>Talisman of Progress / Talismã do Progresso</t>
        </is>
      </c>
      <c r="B46" s="13" t="inlineStr">
        <is>
          <t>Artifact / Artefato</t>
        </is>
      </c>
      <c r="C46" s="13" t="inlineStr">
        <is>
          <t>Uncommon / Incomum</t>
        </is>
      </c>
      <c r="D46" s="13" t="inlineStr">
        <is>
          <t>{T}: Add {C}. {T}: Add {W} or {U}. This artifact deals 1 damage to you. / {T}: Adicione {C}. {T}: Adicione {W} ou {U}. Talismã do Progresso causa 1 ponto de dano a você.</t>
        </is>
      </c>
      <c r="E46" s="13" t="inlineStr">
        <is>
          <t>{2}</t>
        </is>
      </c>
      <c r="F46" s="13" t="inlineStr">
        <is>
          <t>Azul, Branco</t>
        </is>
      </c>
      <c r="G46" s="13" t="n">
        <v>5.63</v>
      </c>
      <c r="H46" s="13" t="inlineStr">
        <is>
          <t>Marvel Super Heroes Commander (MSC)</t>
        </is>
      </c>
      <c r="I46" s="13" t="inlineStr">
        <is>
          <t>Não</t>
        </is>
      </c>
      <c r="J46" s="13" t="n">
        <v>2026</v>
      </c>
      <c r="L46" s="13" t="n">
        <v>1</v>
      </c>
    </row>
    <row r="47">
      <c r="A47" s="13" t="inlineStr">
        <is>
          <t>Director Nick Fury</t>
        </is>
      </c>
      <c r="B47" s="13" t="inlineStr">
        <is>
          <t>Legendary Creature — Human Spy Hero</t>
        </is>
      </c>
      <c r="C47" s="13" t="inlineStr">
        <is>
          <t>Mythic / Mítica</t>
        </is>
      </c>
      <c r="D47" s="13" t="inlineStr">
        <is>
          <t>Hero spells you cast cost {1} less to cast. Whenever you attack, look at the top four cards of your library. You may reveal a Hero card from among them and put that card into your hand. Put the rest on the bottom of your library in a random order.</t>
        </is>
      </c>
      <c r="E47" s="13" t="inlineStr">
        <is>
          <t>{U}{R}{W}</t>
        </is>
      </c>
      <c r="F47" s="13" t="inlineStr">
        <is>
          <t>Vermelho, Azul, Branco</t>
        </is>
      </c>
      <c r="G47" s="13" t="n">
        <v>7.51</v>
      </c>
      <c r="H47" s="13" t="inlineStr">
        <is>
          <t>Marvel Super Heroes Commander (MSC)</t>
        </is>
      </c>
      <c r="I47" s="13" t="inlineStr">
        <is>
          <t>Não</t>
        </is>
      </c>
      <c r="J47" s="13" t="n">
        <v>2026</v>
      </c>
      <c r="K47" s="10" t="n">
        <v>46114</v>
      </c>
      <c r="L47" s="13" t="n">
        <v>1</v>
      </c>
    </row>
    <row r="48">
      <c r="A48" s="13" t="inlineStr">
        <is>
          <t>Scorched Geyser</t>
        </is>
      </c>
      <c r="B48" s="13" t="inlineStr">
        <is>
          <t>Land — Island Mountain</t>
        </is>
      </c>
      <c r="C48" s="13" t="inlineStr">
        <is>
          <t>Rare / Rara</t>
        </is>
      </c>
      <c r="D48" s="13" t="inlineStr">
        <is>
          <t>({T}: Add {U} or {R}.) This land enters tapped unless you control two or more basic lands.</t>
        </is>
      </c>
      <c r="F48" s="13" t="inlineStr">
        <is>
          <t>Vermelho, Azul</t>
        </is>
      </c>
      <c r="G48" s="13" t="n">
        <v>8</v>
      </c>
      <c r="H48" s="13" t="inlineStr">
        <is>
          <t>Marvel Super Heroes Commander (MSC)</t>
        </is>
      </c>
      <c r="I48" s="13" t="inlineStr">
        <is>
          <t>Não</t>
        </is>
      </c>
      <c r="J48" s="13" t="n">
        <v>2026</v>
      </c>
      <c r="L48" s="13" t="n">
        <v>1</v>
      </c>
    </row>
    <row r="49">
      <c r="A49" s="13" t="inlineStr">
        <is>
          <t>Secluded Courtyard / Pátio Reservado</t>
        </is>
      </c>
      <c r="B49" s="13" t="inlineStr">
        <is>
          <t>Land / Terreno</t>
        </is>
      </c>
      <c r="C49" s="13" t="inlineStr">
        <is>
          <t>Uncommon / Incomum</t>
        </is>
      </c>
      <c r="D49" s="13"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3" t="inlineStr">
        <is>
          <t>Incolor</t>
        </is>
      </c>
      <c r="G49" s="13" t="n">
        <v>1.8</v>
      </c>
      <c r="H49" s="13" t="inlineStr">
        <is>
          <t>Marvel Super Heroes Commander (MSC)</t>
        </is>
      </c>
      <c r="I49" s="13" t="inlineStr">
        <is>
          <t>Não</t>
        </is>
      </c>
      <c r="J49" s="13" t="n">
        <v>2026</v>
      </c>
      <c r="L49" s="13" t="n">
        <v>1</v>
      </c>
    </row>
    <row r="50">
      <c r="A50" s="13" t="inlineStr">
        <is>
          <t>Destroy Evil / Destruir o Mal</t>
        </is>
      </c>
      <c r="B50" s="13" t="inlineStr">
        <is>
          <t>Instant / Mágica Instantânea</t>
        </is>
      </c>
      <c r="C50" s="13" t="inlineStr">
        <is>
          <t>Common / Comum</t>
        </is>
      </c>
      <c r="D50" s="13" t="inlineStr">
        <is>
          <t>Choose one — • Destroy target creature with toughness 4 or greater. • Destroy target enchantment. / Escolha um — • Destrua a criatura alvo com resistência igual ou superior a 4. • Destrua o encantamento alvo.</t>
        </is>
      </c>
      <c r="E50" s="13" t="inlineStr">
        <is>
          <t>{1}{W}</t>
        </is>
      </c>
      <c r="F50" s="13" t="inlineStr">
        <is>
          <t>Branco</t>
        </is>
      </c>
      <c r="G50" s="13" t="n">
        <v>1.22</v>
      </c>
      <c r="H50" s="13" t="inlineStr">
        <is>
          <t>Marvel Super Heroes Commander (MSC)</t>
        </is>
      </c>
      <c r="I50" s="13" t="inlineStr">
        <is>
          <t>Não</t>
        </is>
      </c>
      <c r="J50" s="13" t="n">
        <v>2026</v>
      </c>
      <c r="L50" s="13" t="n">
        <v>1</v>
      </c>
    </row>
    <row r="51">
      <c r="A51" s="13" t="inlineStr">
        <is>
          <t>Furycalm Snarl / Liame da Calmafuriosa</t>
        </is>
      </c>
      <c r="B51" s="13" t="inlineStr">
        <is>
          <t>Land / Terreno</t>
        </is>
      </c>
      <c r="C51" s="13" t="inlineStr">
        <is>
          <t>Rare / Rara</t>
        </is>
      </c>
      <c r="D51" s="13"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3" t="inlineStr">
        <is>
          <t>Vermelho, Branco</t>
        </is>
      </c>
      <c r="G51" s="13" t="n">
        <v>1.44</v>
      </c>
      <c r="H51" s="13" t="inlineStr">
        <is>
          <t>Marvel Super Heroes Commander (MSC)</t>
        </is>
      </c>
      <c r="I51" s="13" t="inlineStr">
        <is>
          <t>Não</t>
        </is>
      </c>
      <c r="J51" s="13" t="n">
        <v>2026</v>
      </c>
      <c r="L51" s="13" t="n">
        <v>1</v>
      </c>
    </row>
    <row r="52">
      <c r="A52" s="13" t="inlineStr">
        <is>
          <t>Captain Marvel, Apex Avenger</t>
        </is>
      </c>
      <c r="B52" s="13" t="inlineStr">
        <is>
          <t>Legendary Creature — Human Kree Hero</t>
        </is>
      </c>
      <c r="C52" s="13" t="inlineStr">
        <is>
          <t>Rare / Rara</t>
        </is>
      </c>
      <c r="D52" s="13" t="inlineStr">
        <is>
          <t>Flying, double strike, indestructible Whenever you put one or more counters on another creature, if it's not a Kree, you may put the same number and kind of counters on Captain Marvel.</t>
        </is>
      </c>
      <c r="E52" s="13" t="inlineStr">
        <is>
          <t>{5}{R}{W}</t>
        </is>
      </c>
      <c r="F52" s="13" t="inlineStr">
        <is>
          <t>Vermelho, Branco</t>
        </is>
      </c>
      <c r="G52" s="13" t="n">
        <v>4.5</v>
      </c>
      <c r="H52" s="13" t="inlineStr">
        <is>
          <t>Marvel Super Heroes Commander (MSC)</t>
        </is>
      </c>
      <c r="I52" s="13" t="inlineStr">
        <is>
          <t>Não</t>
        </is>
      </c>
      <c r="J52" s="13" t="n">
        <v>2026</v>
      </c>
      <c r="K52" s="10" t="n">
        <v>46116</v>
      </c>
      <c r="L52" s="13" t="n">
        <v>1</v>
      </c>
    </row>
    <row r="53">
      <c r="A53" s="13" t="inlineStr">
        <is>
          <t>Black Widow, Agile Avenger</t>
        </is>
      </c>
      <c r="B53" s="13" t="inlineStr">
        <is>
          <t>Legendary Creature — Human Spy Hero</t>
        </is>
      </c>
      <c r="C53" s="13" t="inlineStr">
        <is>
          <t>Rare / Rara</t>
        </is>
      </c>
      <c r="D53" s="13" t="inlineStr">
        <is>
          <t>Menace Whenever an opponent draws their second card each turn, put a +1/+1 counter on Black Widow and you draw a card.</t>
        </is>
      </c>
      <c r="E53" s="13" t="inlineStr">
        <is>
          <t>{1}{R}{W}</t>
        </is>
      </c>
      <c r="F53" s="13" t="inlineStr">
        <is>
          <t>Vermelho, Branco</t>
        </is>
      </c>
      <c r="G53" s="13" t="n">
        <v>76.90000000000001</v>
      </c>
      <c r="H53" s="13" t="inlineStr">
        <is>
          <t>Marvel Super Heroes Commander (MSC)</t>
        </is>
      </c>
      <c r="I53" s="13" t="inlineStr">
        <is>
          <t>Não</t>
        </is>
      </c>
      <c r="J53" s="13" t="n">
        <v>2026</v>
      </c>
      <c r="K53" s="10" t="n">
        <v>46055</v>
      </c>
      <c r="L53" s="13" t="n">
        <v>1</v>
      </c>
    </row>
    <row r="54">
      <c r="A54" s="13" t="inlineStr">
        <is>
          <t>Ant-Man, Elusive Avenger</t>
        </is>
      </c>
      <c r="B54" s="13" t="inlineStr">
        <is>
          <t>Legendary Creature — Human Rogue Hero</t>
        </is>
      </c>
      <c r="C54" s="13" t="inlineStr">
        <is>
          <t>Rare / Rara</t>
        </is>
      </c>
      <c r="D54" s="13" t="inlineStr">
        <is>
          <t>Ant-Man can't be blocked by creatures with greater power. Whenever Ant-Man deals combat damage to a player, create that many Treasure tokens.</t>
        </is>
      </c>
      <c r="E54" s="13" t="inlineStr">
        <is>
          <t>{1}{U}{R}</t>
        </is>
      </c>
      <c r="F54" s="13" t="inlineStr">
        <is>
          <t>Vermelho, Azul</t>
        </is>
      </c>
      <c r="G54" s="13" t="n">
        <v>3.5</v>
      </c>
      <c r="H54" s="13" t="inlineStr">
        <is>
          <t>Marvel Super Heroes Commander (MSC)</t>
        </is>
      </c>
      <c r="I54" s="13" t="inlineStr">
        <is>
          <t>Não</t>
        </is>
      </c>
      <c r="J54" s="13" t="n">
        <v>2026</v>
      </c>
      <c r="K54" s="10" t="n">
        <v>46054</v>
      </c>
      <c r="L54" s="13" t="n">
        <v>1</v>
      </c>
    </row>
    <row r="55">
      <c r="A55" s="13" t="inlineStr">
        <is>
          <t>Prairie Stream / Riacho da Pradaria</t>
        </is>
      </c>
      <c r="B55" s="13" t="inlineStr">
        <is>
          <t>Land — Plains Island / Terreno — Planície Ilha</t>
        </is>
      </c>
      <c r="C55" s="13" t="inlineStr">
        <is>
          <t>Rare / Rara</t>
        </is>
      </c>
      <c r="D55" s="13" t="inlineStr">
        <is>
          <t>({T}: Add {W} or {U}.) This land enters tapped unless you control two or more basic lands. / ({T}: Adicione {W} ou {U} à sua reserva de mana.)Riacho da Pradaria entra no campo de batalha virado a menos que você controle dois ou mais terrenos básicos.</t>
        </is>
      </c>
      <c r="F55" s="13" t="inlineStr">
        <is>
          <t>Azul, Branco</t>
        </is>
      </c>
      <c r="G55" s="13" t="n">
        <v>1.44</v>
      </c>
      <c r="H55" s="13" t="inlineStr">
        <is>
          <t>Marvel Super Heroes Commander (MSC)</t>
        </is>
      </c>
      <c r="I55" s="13" t="inlineStr">
        <is>
          <t>Não</t>
        </is>
      </c>
      <c r="J55" s="13" t="n">
        <v>2026</v>
      </c>
      <c r="L55" s="13" t="n">
        <v>1</v>
      </c>
    </row>
    <row r="56">
      <c r="A56" s="13" t="inlineStr">
        <is>
          <t>Arcane Denial / Contradição Arcana</t>
        </is>
      </c>
      <c r="B56" s="13" t="inlineStr">
        <is>
          <t>Instant / Mágica Instantânea</t>
        </is>
      </c>
      <c r="C56" s="13" t="inlineStr">
        <is>
          <t>Common / Comum</t>
        </is>
      </c>
      <c r="D56" s="13"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3" t="inlineStr">
        <is>
          <t>{1}{U}</t>
        </is>
      </c>
      <c r="F56" s="13" t="inlineStr">
        <is>
          <t>Azul</t>
        </is>
      </c>
      <c r="G56" s="13" t="n">
        <v>11.25</v>
      </c>
      <c r="H56" s="13" t="inlineStr">
        <is>
          <t>Marvel Super Heroes Commander (MSC)</t>
        </is>
      </c>
      <c r="I56" s="13" t="inlineStr">
        <is>
          <t>Não</t>
        </is>
      </c>
      <c r="J56" s="13" t="n">
        <v>2026</v>
      </c>
      <c r="L56" s="13" t="n">
        <v>1</v>
      </c>
    </row>
    <row r="57">
      <c r="A57" s="13" t="inlineStr">
        <is>
          <t>Avengers Tower</t>
        </is>
      </c>
      <c r="B57" s="13" t="inlineStr">
        <is>
          <t>Land</t>
        </is>
      </c>
      <c r="C57" s="13" t="inlineStr">
        <is>
          <t>Uncommon / Incomum</t>
        </is>
      </c>
      <c r="D57" s="13"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3" t="inlineStr">
        <is>
          <t>Incolor</t>
        </is>
      </c>
      <c r="G57" s="13" t="n">
        <v>0.25</v>
      </c>
      <c r="H57" s="13" t="inlineStr">
        <is>
          <t>Marvel Super Heroes (MSH)</t>
        </is>
      </c>
      <c r="I57" s="13" t="inlineStr">
        <is>
          <t>Não</t>
        </is>
      </c>
      <c r="J57" s="13" t="n">
        <v>2026</v>
      </c>
      <c r="L57" s="13" t="n">
        <v>1</v>
      </c>
    </row>
    <row r="58">
      <c r="A58" s="13" t="inlineStr">
        <is>
          <t>War Machine, Avenging Arsenal</t>
        </is>
      </c>
      <c r="B58" s="13" t="inlineStr">
        <is>
          <t>Legendary Artifact Creature — Human Hero</t>
        </is>
      </c>
      <c r="C58" s="13" t="inlineStr">
        <is>
          <t>Rare / Rara</t>
        </is>
      </c>
      <c r="D58" s="13" t="inlineStr">
        <is>
          <t>Flying Whenever War Machine attacks, attacking modified creatures you control gain double strike until end of turn. (Equipment, Auras you control, and counters are modifications.)</t>
        </is>
      </c>
      <c r="E58" s="13" t="inlineStr">
        <is>
          <t>{4}{R}</t>
        </is>
      </c>
      <c r="F58" s="13" t="inlineStr">
        <is>
          <t>Vermelho</t>
        </is>
      </c>
      <c r="G58" s="13" t="n">
        <v>2.6</v>
      </c>
      <c r="H58" s="13" t="inlineStr">
        <is>
          <t>Marvel Super Heroes Commander (MSC)</t>
        </is>
      </c>
      <c r="I58" s="13" t="inlineStr">
        <is>
          <t>Não</t>
        </is>
      </c>
      <c r="J58" s="13" t="n">
        <v>2026</v>
      </c>
      <c r="K58" s="10" t="n">
        <v>46145</v>
      </c>
      <c r="L58" s="13" t="n">
        <v>1</v>
      </c>
    </row>
    <row r="59">
      <c r="A59" s="13" t="inlineStr">
        <is>
          <t>Kindred Discovery / Descoberta da Estirpe</t>
        </is>
      </c>
      <c r="B59" s="13" t="inlineStr">
        <is>
          <t>Enchantment / Encantamento</t>
        </is>
      </c>
      <c r="C59" s="13" t="inlineStr">
        <is>
          <t>Rare / Rara</t>
        </is>
      </c>
      <c r="D59" s="13"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3" t="inlineStr">
        <is>
          <t>{3}{U}{U}</t>
        </is>
      </c>
      <c r="F59" s="13" t="inlineStr">
        <is>
          <t>Azul</t>
        </is>
      </c>
      <c r="G59" s="13" t="n">
        <v>44.9</v>
      </c>
      <c r="H59" s="13" t="inlineStr">
        <is>
          <t>Marvel Super Heroes Commander (MSC)</t>
        </is>
      </c>
      <c r="I59" s="13" t="inlineStr">
        <is>
          <t>Não</t>
        </is>
      </c>
      <c r="J59" s="13" t="n">
        <v>2026</v>
      </c>
      <c r="L59" s="13" t="n">
        <v>1</v>
      </c>
    </row>
    <row r="60">
      <c r="A60" s="13" t="inlineStr">
        <is>
          <t>She-Hulk, Wallbreaker</t>
        </is>
      </c>
      <c r="B60" s="13" t="inlineStr">
        <is>
          <t>Legendary Creature — Gamma Hero</t>
        </is>
      </c>
      <c r="C60" s="13" t="inlineStr">
        <is>
          <t>Rare / Rara</t>
        </is>
      </c>
      <c r="D60" s="13" t="inlineStr">
        <is>
          <t>Trample Other Heroes you control have trample. Whenever a Hero you control becomes blocked, put a +1/+1 counter on that Hero for each creature blocking it.</t>
        </is>
      </c>
      <c r="E60" s="13" t="inlineStr">
        <is>
          <t>{5}{R}</t>
        </is>
      </c>
      <c r="F60" s="13" t="inlineStr">
        <is>
          <t>Vermelho</t>
        </is>
      </c>
      <c r="G60" s="13" t="n">
        <v>2.5</v>
      </c>
      <c r="H60" s="13" t="inlineStr">
        <is>
          <t>Marvel Super Heroes Commander (MSC)</t>
        </is>
      </c>
      <c r="I60" s="13" t="inlineStr">
        <is>
          <t>Não</t>
        </is>
      </c>
      <c r="J60" s="13" t="n">
        <v>2026</v>
      </c>
      <c r="K60" s="10" t="n">
        <v>46147</v>
      </c>
      <c r="L60" s="13" t="n">
        <v>1</v>
      </c>
    </row>
    <row r="61">
      <c r="A61" s="13" t="inlineStr">
        <is>
          <t>Arcane Signet / Sinete Arcano</t>
        </is>
      </c>
      <c r="B61" s="13" t="inlineStr">
        <is>
          <t>Artifact / Artefato</t>
        </is>
      </c>
      <c r="C61" s="13" t="inlineStr">
        <is>
          <t>Uncommon / Incomum</t>
        </is>
      </c>
      <c r="D61" s="13" t="inlineStr">
        <is>
          <t>{T}: Add one mana of any color in your commander's color identity. / {T}: Adicione um mana de qualquer cor da identidade de cor de seu comandante.</t>
        </is>
      </c>
      <c r="E61" s="13" t="inlineStr">
        <is>
          <t>{2}</t>
        </is>
      </c>
      <c r="F61" s="13" t="inlineStr">
        <is>
          <t>Incolor</t>
        </is>
      </c>
      <c r="G61" s="13" t="n">
        <v>4.95</v>
      </c>
      <c r="H61" s="13" t="inlineStr">
        <is>
          <t>Marvel Super Heroes Commander (MSC)</t>
        </is>
      </c>
      <c r="I61" s="13" t="inlineStr">
        <is>
          <t>Não</t>
        </is>
      </c>
      <c r="J61" s="13" t="n">
        <v>2026</v>
      </c>
      <c r="L61" s="13" t="n">
        <v>1</v>
      </c>
    </row>
    <row r="62">
      <c r="A62" s="13" t="inlineStr">
        <is>
          <t>Clifftop Retreat / Retiro da Falésia</t>
        </is>
      </c>
      <c r="B62" s="13" t="inlineStr">
        <is>
          <t>Land / Terreno</t>
        </is>
      </c>
      <c r="C62" s="13" t="inlineStr">
        <is>
          <t>Rare / Rara</t>
        </is>
      </c>
      <c r="D62" s="13" t="inlineStr">
        <is>
          <t>This land enters tapped unless you control a Mountain or a Plains. {T}: Add {R} or {W}. / Retiro da Falésia entra no campo de batalha virado, a menos que você controle uma Montanha ou uma Planície. {T}: Adicione {R} ou {W} à sua reserva de mana.</t>
        </is>
      </c>
      <c r="F62" s="13" t="inlineStr">
        <is>
          <t>Vermelho, Branco</t>
        </is>
      </c>
      <c r="G62" s="13" t="n">
        <v>3</v>
      </c>
      <c r="H62" s="13" t="inlineStr">
        <is>
          <t>Marvel Super Heroes Commander (MSC)</t>
        </is>
      </c>
      <c r="I62" s="13" t="inlineStr">
        <is>
          <t>Não</t>
        </is>
      </c>
      <c r="J62" s="13" t="n">
        <v>2026</v>
      </c>
      <c r="L62" s="13" t="n">
        <v>1</v>
      </c>
    </row>
    <row r="63">
      <c r="A63" s="13" t="inlineStr">
        <is>
          <t>Firebird, Blazing Ranger</t>
        </is>
      </c>
      <c r="B63" s="13" t="inlineStr">
        <is>
          <t>Legendary Creature — Human Ranger Hero</t>
        </is>
      </c>
      <c r="C63" s="13" t="inlineStr">
        <is>
          <t>Rare / Rara</t>
        </is>
      </c>
      <c r="D63" s="13" t="inlineStr">
        <is>
          <t>Flying Whenever Firebird attacks, other attacking creatures get +X/+0 until end of turn, where X is Firebird's power.</t>
        </is>
      </c>
      <c r="E63" s="13" t="inlineStr">
        <is>
          <t>{2}{R}</t>
        </is>
      </c>
      <c r="F63" s="13" t="inlineStr">
        <is>
          <t>Vermelho</t>
        </is>
      </c>
      <c r="G63" s="13" t="n">
        <v>1.7</v>
      </c>
      <c r="H63" s="13" t="inlineStr">
        <is>
          <t>Marvel Super Heroes Commander (MSC)</t>
        </is>
      </c>
      <c r="I63" s="13" t="inlineStr">
        <is>
          <t>Não</t>
        </is>
      </c>
      <c r="J63" s="13" t="n">
        <v>2026</v>
      </c>
      <c r="K63" s="10" t="n">
        <v>46082</v>
      </c>
      <c r="L63" s="13" t="n">
        <v>1</v>
      </c>
    </row>
    <row r="64">
      <c r="A64" s="13" t="inlineStr">
        <is>
          <t>Relic of Legends / Relíquia das Lendas</t>
        </is>
      </c>
      <c r="B64" s="13" t="inlineStr">
        <is>
          <t>Artifact / Artefato</t>
        </is>
      </c>
      <c r="C64" s="13" t="inlineStr">
        <is>
          <t>Uncommon / Incomum</t>
        </is>
      </c>
      <c r="D64" s="13" t="inlineStr">
        <is>
          <t>{T}: Add one mana of any color. Tap an untapped legendary creature you control: Add one mana of any color. / {T}: Adicione um mana de qualquer cor. Vire uma criatura lendária desvirada que você controla: Adicione um mana de qualquer cor.</t>
        </is>
      </c>
      <c r="E64" s="13" t="inlineStr">
        <is>
          <t>{3}</t>
        </is>
      </c>
      <c r="F64" s="13" t="inlineStr">
        <is>
          <t>Incolor</t>
        </is>
      </c>
      <c r="G64" s="13" t="n">
        <v>8.449999999999999</v>
      </c>
      <c r="H64" s="13" t="inlineStr">
        <is>
          <t>Marvel Super Heroes Commander (MSC)</t>
        </is>
      </c>
      <c r="I64" s="13" t="inlineStr">
        <is>
          <t>Não</t>
        </is>
      </c>
      <c r="J64" s="13" t="n">
        <v>2026</v>
      </c>
      <c r="L64" s="13" t="n">
        <v>1</v>
      </c>
    </row>
    <row r="65">
      <c r="A65" s="13" t="inlineStr">
        <is>
          <t>West Coast Expansion</t>
        </is>
      </c>
      <c r="B65" s="13" t="inlineStr">
        <is>
          <t>Sorcery</t>
        </is>
      </c>
      <c r="C65" s="13" t="inlineStr">
        <is>
          <t>Rare / Rara</t>
        </is>
      </c>
      <c r="D65" s="13" t="inlineStr">
        <is>
          <t>Draw X cards. If X is 5 or more, you may cast a Hero spell from your hand without paying its mana cost.</t>
        </is>
      </c>
      <c r="E65" s="13" t="inlineStr">
        <is>
          <t>{X}{U}{U}</t>
        </is>
      </c>
      <c r="F65" s="13" t="inlineStr">
        <is>
          <t>Azul</t>
        </is>
      </c>
      <c r="G65" s="13" t="n">
        <v>5.49</v>
      </c>
      <c r="H65" s="13" t="inlineStr">
        <is>
          <t>Marvel Super Heroes Commander (MSC)</t>
        </is>
      </c>
      <c r="I65" s="13" t="inlineStr">
        <is>
          <t>Não</t>
        </is>
      </c>
      <c r="J65" s="13" t="n">
        <v>2026</v>
      </c>
      <c r="L65" s="13" t="n">
        <v>1</v>
      </c>
    </row>
    <row r="66">
      <c r="A66" s="13" t="inlineStr">
        <is>
          <t>Metallic Mimic / Mímico Metálico</t>
        </is>
      </c>
      <c r="B66" s="13" t="inlineStr">
        <is>
          <t>Artifact Creature — Shapeshifter / Criatura Artefato — Metamorfo</t>
        </is>
      </c>
      <c r="C66" s="13" t="inlineStr">
        <is>
          <t>Rare / Rara</t>
        </is>
      </c>
      <c r="D66" s="13"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3" t="inlineStr">
        <is>
          <t>{2}</t>
        </is>
      </c>
      <c r="F66" s="13" t="inlineStr">
        <is>
          <t>Incolor</t>
        </is>
      </c>
      <c r="G66" s="13" t="n">
        <v>5.64</v>
      </c>
      <c r="H66" s="13" t="inlineStr">
        <is>
          <t>Marvel Super Heroes Commander (MSC)</t>
        </is>
      </c>
      <c r="I66" s="13" t="inlineStr">
        <is>
          <t>Não</t>
        </is>
      </c>
      <c r="J66" s="13" t="n">
        <v>2026</v>
      </c>
      <c r="K66" s="10" t="n">
        <v>46024</v>
      </c>
      <c r="L66" s="13" t="n">
        <v>1</v>
      </c>
    </row>
    <row r="67">
      <c r="A67" s="13" t="inlineStr">
        <is>
          <t>Spectator Seating / Lugar de Espectador</t>
        </is>
      </c>
      <c r="B67" s="13" t="inlineStr">
        <is>
          <t>Land / Terreno</t>
        </is>
      </c>
      <c r="C67" s="13" t="inlineStr">
        <is>
          <t>Rare / Rara</t>
        </is>
      </c>
      <c r="D67" s="13" t="inlineStr">
        <is>
          <t>This land enters tapped unless you have two or more opponents. {T}: Add {R} or {W}. / Lugar de Espectador entra no campo de batalha virado, a menos que você tenha dois ou mais oponentes. {T}: Adicione {R} ou {W}.</t>
        </is>
      </c>
      <c r="F67" s="13" t="inlineStr">
        <is>
          <t>Vermelho, Branco</t>
        </is>
      </c>
      <c r="G67" s="13" t="n">
        <v>44.95</v>
      </c>
      <c r="H67" s="13" t="inlineStr">
        <is>
          <t>Marvel Super Heroes Commander (MSC)</t>
        </is>
      </c>
      <c r="I67" s="13" t="inlineStr">
        <is>
          <t>Não</t>
        </is>
      </c>
      <c r="J67" s="13" t="n">
        <v>2026</v>
      </c>
      <c r="L67" s="13" t="n">
        <v>1</v>
      </c>
    </row>
    <row r="68">
      <c r="A68" s="13" t="inlineStr">
        <is>
          <t>Professor Hulk</t>
        </is>
      </c>
      <c r="B68" s="13" t="inlineStr">
        <is>
          <t>Legendary Creature — Gamma Scientist Hero</t>
        </is>
      </c>
      <c r="C68" s="13" t="inlineStr">
        <is>
          <t>Rare / Rara</t>
        </is>
      </c>
      <c r="D68" s="13" t="inlineStr">
        <is>
          <t>Trample Whenever Professor Hulk deals combat damage to a player, draw that many cards.</t>
        </is>
      </c>
      <c r="E68" s="13" t="inlineStr">
        <is>
          <t>{4}{U}{U}</t>
        </is>
      </c>
      <c r="F68" s="13" t="inlineStr">
        <is>
          <t>Azul</t>
        </is>
      </c>
      <c r="G68" s="13" t="n">
        <v>6.3</v>
      </c>
      <c r="H68" s="13" t="inlineStr">
        <is>
          <t>Marvel Super Heroes Commander (MSC)</t>
        </is>
      </c>
      <c r="I68" s="13" t="inlineStr">
        <is>
          <t>Não</t>
        </is>
      </c>
      <c r="J68" s="13" t="n">
        <v>2026</v>
      </c>
      <c r="K68" s="10" t="n">
        <v>46179</v>
      </c>
      <c r="L68" s="13" t="n">
        <v>1</v>
      </c>
    </row>
    <row r="69">
      <c r="A69" s="13" t="inlineStr">
        <is>
          <t>Sulfur Falls / Cascata de Enxofre</t>
        </is>
      </c>
      <c r="B69" s="13" t="inlineStr">
        <is>
          <t>Land / Terreno</t>
        </is>
      </c>
      <c r="C69" s="13" t="inlineStr">
        <is>
          <t>Rare / Rara</t>
        </is>
      </c>
      <c r="D69" s="13" t="inlineStr">
        <is>
          <t>This land enters tapped unless you control an Island or a Mountain. {T}: Add {U} or {R}. / Cascata de Enxofre entra no campo de batalha virado, a menos que você controle uma Ilha ou uma Montanha. {T}: Adicione {U} ou {R} à sua reserva de mana.</t>
        </is>
      </c>
      <c r="F69" s="13" t="inlineStr">
        <is>
          <t>Vermelho, Azul</t>
        </is>
      </c>
      <c r="G69" s="13" t="n">
        <v>4.25</v>
      </c>
      <c r="H69" s="13" t="inlineStr">
        <is>
          <t>Marvel Super Heroes Commander (MSC)</t>
        </is>
      </c>
      <c r="I69" s="13" t="inlineStr">
        <is>
          <t>Não</t>
        </is>
      </c>
      <c r="J69" s="13" t="n">
        <v>2026</v>
      </c>
      <c r="L69" s="13" t="n">
        <v>1</v>
      </c>
    </row>
    <row r="70">
      <c r="A70" s="13" t="inlineStr">
        <is>
          <t>Reconnaissance Mission / Missão de Reconhecimento</t>
        </is>
      </c>
      <c r="B70" s="13" t="inlineStr">
        <is>
          <t>Enchantment / Encantamento</t>
        </is>
      </c>
      <c r="C70" s="13" t="inlineStr">
        <is>
          <t>Uncommon / Incomum</t>
        </is>
      </c>
      <c r="D70" s="13"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3" t="inlineStr">
        <is>
          <t>{2}{U}{U}</t>
        </is>
      </c>
      <c r="F70" s="13" t="inlineStr">
        <is>
          <t>Azul</t>
        </is>
      </c>
      <c r="G70" s="13" t="n">
        <v>3.5</v>
      </c>
      <c r="H70" s="13" t="inlineStr">
        <is>
          <t>Marvel Super Heroes Commander (MSC)</t>
        </is>
      </c>
      <c r="I70" s="13" t="inlineStr">
        <is>
          <t>Não</t>
        </is>
      </c>
      <c r="J70" s="13" t="n">
        <v>2026</v>
      </c>
      <c r="L70" s="13" t="n">
        <v>1</v>
      </c>
    </row>
    <row r="71">
      <c r="A71" s="13" t="inlineStr">
        <is>
          <t>Jarvis, Earth's Mightiest Butler</t>
        </is>
      </c>
      <c r="B71" s="13" t="inlineStr">
        <is>
          <t>Legendary Creature — Human Advisor</t>
        </is>
      </c>
      <c r="C71" s="13" t="inlineStr">
        <is>
          <t>Rare / Rara</t>
        </is>
      </c>
      <c r="D71" s="13" t="inlineStr">
        <is>
          <t>Whenever you cast a Hero spell, draw a card.</t>
        </is>
      </c>
      <c r="E71" s="13" t="inlineStr">
        <is>
          <t>{2}{U}</t>
        </is>
      </c>
      <c r="F71" s="13" t="inlineStr">
        <is>
          <t>Azul</t>
        </is>
      </c>
      <c r="G71" s="13" t="n">
        <v>5.25</v>
      </c>
      <c r="H71" s="13" t="inlineStr">
        <is>
          <t>Marvel Super Heroes Commander (MSC)</t>
        </is>
      </c>
      <c r="I71" s="13" t="inlineStr">
        <is>
          <t>Não</t>
        </is>
      </c>
      <c r="J71" s="13" t="n">
        <v>2026</v>
      </c>
      <c r="K71" s="10" t="n">
        <v>46113</v>
      </c>
      <c r="L71" s="13" t="n">
        <v>1</v>
      </c>
    </row>
    <row r="72">
      <c r="A72" s="13" t="inlineStr">
        <is>
          <t>Speed, Young Avenger</t>
        </is>
      </c>
      <c r="B72" s="13" t="inlineStr">
        <is>
          <t>Legendary Creature — Mutant Hero</t>
        </is>
      </c>
      <c r="C72" s="13" t="inlineStr">
        <is>
          <t>Uncommon / Incomum</t>
        </is>
      </c>
      <c r="D72" s="13" t="inlineStr">
        <is>
          <t>Haste Whenever you cast a noncreature spell, you may pay {1}. When you do, target creature with haste can't be blocked this turn except by creatures with haste.</t>
        </is>
      </c>
      <c r="E72" s="13" t="inlineStr">
        <is>
          <t>{1}{R}</t>
        </is>
      </c>
      <c r="F72" s="13" t="inlineStr">
        <is>
          <t>Vermelho</t>
        </is>
      </c>
      <c r="G72" s="13" t="n">
        <v>0.22</v>
      </c>
      <c r="H72" s="13" t="inlineStr">
        <is>
          <t>Marvel Super Heroes (MSH)</t>
        </is>
      </c>
      <c r="I72" s="13" t="inlineStr">
        <is>
          <t>Sim</t>
        </is>
      </c>
      <c r="J72" s="13" t="n">
        <v>2026</v>
      </c>
      <c r="K72" s="10" t="n">
        <v>46055</v>
      </c>
      <c r="L72" s="13" t="n">
        <v>1</v>
      </c>
    </row>
    <row r="73">
      <c r="A73" s="13" t="inlineStr">
        <is>
          <t>Iron Man, Armored Avenger</t>
        </is>
      </c>
      <c r="B73" s="13" t="inlineStr">
        <is>
          <t>Legendary Artifact Creature — Human Hero</t>
        </is>
      </c>
      <c r="C73" s="13" t="inlineStr">
        <is>
          <t>Rare / Rara</t>
        </is>
      </c>
      <c r="D73" s="13" t="inlineStr">
        <is>
          <t>Flying Whenever you draw a card, put a +1/+1 counter on target creature. Whenever Iron Man attacks, other attacking modified creatures gain flying until end of turn. (Equipment, Auras you control, and counters are modifications.)</t>
        </is>
      </c>
      <c r="E73" s="13" t="inlineStr">
        <is>
          <t>{3}{U}</t>
        </is>
      </c>
      <c r="F73" s="13" t="inlineStr">
        <is>
          <t>Azul</t>
        </is>
      </c>
      <c r="G73" s="13" t="n">
        <v>13</v>
      </c>
      <c r="H73" s="13" t="inlineStr">
        <is>
          <t>Marvel Super Heroes Commander (MSC)</t>
        </is>
      </c>
      <c r="I73" s="13" t="inlineStr">
        <is>
          <t>Não</t>
        </is>
      </c>
      <c r="J73" s="13" t="n">
        <v>2026</v>
      </c>
      <c r="K73" s="10" t="n">
        <v>46055</v>
      </c>
      <c r="L73" s="13" t="n">
        <v>1</v>
      </c>
    </row>
    <row r="74">
      <c r="A74" s="13" t="inlineStr">
        <is>
          <t>Radiant Summit</t>
        </is>
      </c>
      <c r="B74" s="13" t="inlineStr">
        <is>
          <t>Land — Mountain Plains</t>
        </is>
      </c>
      <c r="C74" s="13" t="inlineStr">
        <is>
          <t>Rare / Rara</t>
        </is>
      </c>
      <c r="D74" s="13" t="inlineStr">
        <is>
          <t>({T}: Add {R} or {W}.) This land enters tapped unless you control two or more basic lands.</t>
        </is>
      </c>
      <c r="F74" s="13" t="inlineStr">
        <is>
          <t>Vermelho, Branco</t>
        </is>
      </c>
      <c r="G74" s="13" t="n">
        <v>5</v>
      </c>
      <c r="H74" s="13" t="inlineStr">
        <is>
          <t>Marvel Super Heroes Commander (MSC)</t>
        </is>
      </c>
      <c r="I74" s="13" t="inlineStr">
        <is>
          <t>Não</t>
        </is>
      </c>
      <c r="J74" s="13" t="n">
        <v>2026</v>
      </c>
      <c r="L74" s="13" t="n">
        <v>1</v>
      </c>
    </row>
    <row r="75">
      <c r="A75" s="13" t="inlineStr">
        <is>
          <t>Patriot, Shield Wielder</t>
        </is>
      </c>
      <c r="B75" s="13" t="inlineStr">
        <is>
          <t>Legendary Creature — Human Hero</t>
        </is>
      </c>
      <c r="C75" s="13" t="inlineStr">
        <is>
          <t>Uncommon / Incomum</t>
        </is>
      </c>
      <c r="D75" s="13" t="inlineStr">
        <is>
          <t>{2}, {T}: Another target creature you control gets +2/+0 and gains hexproof until end of turn. (It can't be the target of spells or abilities your opponents control.)</t>
        </is>
      </c>
      <c r="E75" s="13" t="inlineStr">
        <is>
          <t>{1}{W}</t>
        </is>
      </c>
      <c r="F75" s="13" t="inlineStr">
        <is>
          <t>Branco</t>
        </is>
      </c>
      <c r="G75" s="13" t="n">
        <v>0.17</v>
      </c>
      <c r="H75" s="13" t="inlineStr">
        <is>
          <t>Marvel Super Heroes (MSH)</t>
        </is>
      </c>
      <c r="I75" s="13" t="inlineStr">
        <is>
          <t>Não</t>
        </is>
      </c>
      <c r="J75" s="13" t="n">
        <v>2026</v>
      </c>
      <c r="K75" s="10" t="n">
        <v>46055</v>
      </c>
      <c r="L75" s="13" t="n">
        <v>1</v>
      </c>
    </row>
    <row r="76">
      <c r="A76" s="13" t="inlineStr">
        <is>
          <t>Talisman of Conviction / Talismã da Convicção</t>
        </is>
      </c>
      <c r="B76" s="13" t="inlineStr">
        <is>
          <t>Artifact / Artefato</t>
        </is>
      </c>
      <c r="C76" s="13" t="inlineStr">
        <is>
          <t>Uncommon / Incomum</t>
        </is>
      </c>
      <c r="D76" s="13" t="inlineStr">
        <is>
          <t>{T}: Add {C}. {T}: Add {R} or {W}. This artifact deals 1 damage to you. / {T}: Adicione {C}. {T}: Adicione {R} ou {W}. Talismã da Convicção causa 1 ponto de dano a você.</t>
        </is>
      </c>
      <c r="E76" s="13" t="inlineStr">
        <is>
          <t>{2}</t>
        </is>
      </c>
      <c r="F76" s="13" t="inlineStr">
        <is>
          <t>Vermelho, Branco</t>
        </is>
      </c>
      <c r="G76" s="13" t="n">
        <v>3.56</v>
      </c>
      <c r="H76" s="13" t="inlineStr">
        <is>
          <t>Marvel Super Heroes Commander (MSC)</t>
        </is>
      </c>
      <c r="I76" s="13" t="inlineStr">
        <is>
          <t>Não</t>
        </is>
      </c>
      <c r="J76" s="13" t="n">
        <v>2026</v>
      </c>
      <c r="L76" s="13" t="n">
        <v>1</v>
      </c>
    </row>
    <row r="77">
      <c r="A77" s="13" t="inlineStr">
        <is>
          <t>Irrigated Farmland / Fazendas Irrigadas</t>
        </is>
      </c>
      <c r="B77" s="13" t="inlineStr">
        <is>
          <t>Land — Plains Island / Terreno — Planície Ilha</t>
        </is>
      </c>
      <c r="C77" s="13" t="inlineStr">
        <is>
          <t>Rare / Rara</t>
        </is>
      </c>
      <c r="D77" s="13" t="inlineStr">
        <is>
          <t>({T}: Add {W} or {U}.) This land enters tapped. Cycling {2} ({2}, Discard this card: Draw a card.) / ({T}: Adicione {W} ou {U} à sua reserva de mana.) Fazendas Irrigadas entra no campo de batalha virada. Reciclar {2} ({2}, Descarte este card: Compre um card.)</t>
        </is>
      </c>
      <c r="F77" s="13" t="inlineStr">
        <is>
          <t>Azul, Branco</t>
        </is>
      </c>
      <c r="G77" s="13" t="n">
        <v>1.3</v>
      </c>
      <c r="H77" s="13" t="inlineStr">
        <is>
          <t>Marvel Super Heroes Commander (MSC)</t>
        </is>
      </c>
      <c r="I77" s="13" t="inlineStr">
        <is>
          <t>Não</t>
        </is>
      </c>
      <c r="J77" s="13" t="n">
        <v>2026</v>
      </c>
      <c r="L77" s="13" t="n">
        <v>1</v>
      </c>
    </row>
    <row r="78">
      <c r="A78" s="13" t="inlineStr">
        <is>
          <t>Plaza of Heroes / Praça dos Heróis</t>
        </is>
      </c>
      <c r="B78" s="13" t="inlineStr">
        <is>
          <t>Land / Terreno</t>
        </is>
      </c>
      <c r="C78" s="13" t="inlineStr">
        <is>
          <t>Rare / Rara</t>
        </is>
      </c>
      <c r="D78" s="13"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3" t="inlineStr">
        <is>
          <t>Incolor</t>
        </is>
      </c>
      <c r="G78" s="13" t="n">
        <v>19.25</v>
      </c>
      <c r="H78" s="13" t="inlineStr">
        <is>
          <t>Marvel Super Heroes Commander (MSC)</t>
        </is>
      </c>
      <c r="I78" s="13" t="inlineStr">
        <is>
          <t>Não</t>
        </is>
      </c>
      <c r="J78" s="13" t="n">
        <v>2026</v>
      </c>
      <c r="L78" s="13" t="n">
        <v>1</v>
      </c>
    </row>
    <row r="79">
      <c r="A79" s="13" t="inlineStr">
        <is>
          <t>Hero's Blade / Lâmina do Herói</t>
        </is>
      </c>
      <c r="B79" s="13" t="inlineStr">
        <is>
          <t>Artifact — Equipment / Artefato — Equipamento</t>
        </is>
      </c>
      <c r="C79" s="13" t="inlineStr">
        <is>
          <t>Uncommon / Incomum</t>
        </is>
      </c>
      <c r="D79" s="13"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3" t="inlineStr">
        <is>
          <t>{2}</t>
        </is>
      </c>
      <c r="F79" s="13" t="inlineStr">
        <is>
          <t>Incolor</t>
        </is>
      </c>
      <c r="G79" s="13" t="n">
        <v>0.35</v>
      </c>
      <c r="H79" s="13" t="inlineStr">
        <is>
          <t>Marvel Super Heroes Commander (MSC)</t>
        </is>
      </c>
      <c r="I79" s="13" t="inlineStr">
        <is>
          <t>Não</t>
        </is>
      </c>
      <c r="J79" s="13" t="n">
        <v>2026</v>
      </c>
      <c r="L79" s="13" t="n">
        <v>1</v>
      </c>
    </row>
    <row r="80">
      <c r="A80" s="13" t="inlineStr">
        <is>
          <t>Winter Soldier, Reborn Avenger</t>
        </is>
      </c>
      <c r="B80" s="13" t="inlineStr">
        <is>
          <t>Legendary Creature — Human Soldier Hero</t>
        </is>
      </c>
      <c r="C80" s="13" t="inlineStr">
        <is>
          <t>Rare / Rara</t>
        </is>
      </c>
      <c r="D80" s="13" t="inlineStr">
        <is>
          <t>Whenever Winter Soldier attacks, return target creature card with mana value less than or equal to Winter Soldier's power from your graveyard to the battlefield. If a Hero enters this way, it enters with an additional +1/+1 counter on it.</t>
        </is>
      </c>
      <c r="E80" s="13" t="inlineStr">
        <is>
          <t>{4}{W}</t>
        </is>
      </c>
      <c r="F80" s="13" t="inlineStr">
        <is>
          <t>Branco</t>
        </is>
      </c>
      <c r="G80" s="13" t="n">
        <v>3.4</v>
      </c>
      <c r="H80" s="13" t="inlineStr">
        <is>
          <t>Marvel Super Heroes Commander (MSC)</t>
        </is>
      </c>
      <c r="I80" s="13" t="inlineStr">
        <is>
          <t>Não</t>
        </is>
      </c>
      <c r="J80" s="13" t="n">
        <v>2026</v>
      </c>
      <c r="K80" s="10" t="n">
        <v>46145</v>
      </c>
      <c r="L80" s="13" t="n">
        <v>1</v>
      </c>
    </row>
    <row r="81">
      <c r="A81" s="13" t="inlineStr">
        <is>
          <t>Methods of the Mighty</t>
        </is>
      </c>
      <c r="B81" s="13" t="inlineStr">
        <is>
          <t>Instant</t>
        </is>
      </c>
      <c r="C81" s="13" t="inlineStr">
        <is>
          <t>Rare / Rara</t>
        </is>
      </c>
      <c r="D81" s="13" t="inlineStr">
        <is>
          <t>Choose one or more — • Destroy target artifact. • Destroy target tapped creature. • Put a +1/+1 counter on each creature you control.</t>
        </is>
      </c>
      <c r="E81" s="13" t="inlineStr">
        <is>
          <t>{3}{W}</t>
        </is>
      </c>
      <c r="F81" s="13" t="inlineStr">
        <is>
          <t>Branco</t>
        </is>
      </c>
      <c r="G81" s="13" t="n">
        <v>11</v>
      </c>
      <c r="H81" s="13" t="inlineStr">
        <is>
          <t>Marvel Super Heroes Commander (MSC)</t>
        </is>
      </c>
      <c r="I81" s="13" t="inlineStr">
        <is>
          <t>Não</t>
        </is>
      </c>
      <c r="J81" s="13" t="n">
        <v>2026</v>
      </c>
      <c r="L81" s="13" t="n">
        <v>1</v>
      </c>
    </row>
    <row r="82">
      <c r="A82" s="13" t="inlineStr">
        <is>
          <t>Talisman of Creativity / Talismã da Criatividade</t>
        </is>
      </c>
      <c r="B82" s="13" t="inlineStr">
        <is>
          <t>Artifact / Artefato</t>
        </is>
      </c>
      <c r="C82" s="13" t="inlineStr">
        <is>
          <t>Uncommon / Incomum</t>
        </is>
      </c>
      <c r="D82" s="13" t="inlineStr">
        <is>
          <t>{T}: Add {C}. {T}: Add {U} or {R}. This artifact deals 1 damage to you. / {T}: Adicione {C}. {T}: Adicione {U} ou {R}. Talismã da Criatividade causa 1 ponto de dano a você.</t>
        </is>
      </c>
      <c r="E82" s="13" t="inlineStr">
        <is>
          <t>{2}</t>
        </is>
      </c>
      <c r="F82" s="13" t="inlineStr">
        <is>
          <t>Vermelho, Azul</t>
        </is>
      </c>
      <c r="G82" s="13" t="n">
        <v>8.91</v>
      </c>
      <c r="H82" s="13" t="inlineStr">
        <is>
          <t>Marvel Super Heroes Commander (MSC)</t>
        </is>
      </c>
      <c r="I82" s="13" t="inlineStr">
        <is>
          <t>Não</t>
        </is>
      </c>
      <c r="J82" s="13" t="n">
        <v>2026</v>
      </c>
      <c r="L82" s="13" t="n">
        <v>1</v>
      </c>
    </row>
    <row r="83">
      <c r="A83" s="13" t="inlineStr">
        <is>
          <t>Heroic Sacrifice</t>
        </is>
      </c>
      <c r="B83" s="13" t="inlineStr">
        <is>
          <t>Instant</t>
        </is>
      </c>
      <c r="C83" s="13" t="inlineStr">
        <is>
          <t>Rare / Rara</t>
        </is>
      </c>
      <c r="D83" s="13"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3" t="inlineStr">
        <is>
          <t>{1}{W}</t>
        </is>
      </c>
      <c r="F83" s="13" t="inlineStr">
        <is>
          <t>Branco</t>
        </is>
      </c>
      <c r="G83" s="13" t="n">
        <v>22</v>
      </c>
      <c r="H83" s="13" t="inlineStr">
        <is>
          <t>Marvel Super Heroes Commander (MSC)</t>
        </is>
      </c>
      <c r="I83" s="13" t="inlineStr">
        <is>
          <t>Não</t>
        </is>
      </c>
      <c r="J83" s="13" t="n">
        <v>2026</v>
      </c>
      <c r="L83" s="13" t="n">
        <v>1</v>
      </c>
    </row>
    <row r="84">
      <c r="A84" s="13" t="inlineStr">
        <is>
          <t>Heroic Return</t>
        </is>
      </c>
      <c r="B84" s="13" t="inlineStr">
        <is>
          <t>Instant</t>
        </is>
      </c>
      <c r="C84" s="13" t="inlineStr">
        <is>
          <t>Rare / Rara</t>
        </is>
      </c>
      <c r="D84" s="13" t="inlineStr">
        <is>
          <t>This spell costs {2} less to cast if a creature is attacking you. Return target creature card from your graveyard to the battlefield. If a Hero enters this way, it enters with two additional +1/+1 counters on it.</t>
        </is>
      </c>
      <c r="E84" s="13" t="inlineStr">
        <is>
          <t>{5}{W}</t>
        </is>
      </c>
      <c r="F84" s="13" t="inlineStr">
        <is>
          <t>Branco</t>
        </is>
      </c>
      <c r="G84" s="13" t="n">
        <v>7.9</v>
      </c>
      <c r="H84" s="13" t="inlineStr">
        <is>
          <t>Marvel Super Heroes Commander (MSC)</t>
        </is>
      </c>
      <c r="I84" s="13" t="inlineStr">
        <is>
          <t>Não</t>
        </is>
      </c>
      <c r="J84" s="13" t="n">
        <v>2026</v>
      </c>
      <c r="L84" s="13" t="n">
        <v>1</v>
      </c>
    </row>
    <row r="85">
      <c r="A85" s="13" t="inlineStr">
        <is>
          <t>Sol Ring / Anel Solar</t>
        </is>
      </c>
      <c r="B85" s="13" t="inlineStr">
        <is>
          <t>Artifact / Artefato</t>
        </is>
      </c>
      <c r="C85" s="13" t="inlineStr">
        <is>
          <t>Uncommon / Incomum</t>
        </is>
      </c>
      <c r="D85" s="13" t="inlineStr">
        <is>
          <t>{T}: Add {C}{C}. / {T}: Adicione {C}{C}.</t>
        </is>
      </c>
      <c r="E85" s="13" t="inlineStr">
        <is>
          <t>{1}</t>
        </is>
      </c>
      <c r="F85" s="13" t="inlineStr">
        <is>
          <t>Incolor</t>
        </is>
      </c>
      <c r="G85" s="13" t="n">
        <v>8.82</v>
      </c>
      <c r="H85" s="13" t="inlineStr">
        <is>
          <t>Marvel Super Heroes Commander (MSC)</t>
        </is>
      </c>
      <c r="I85" s="13" t="inlineStr">
        <is>
          <t>Não</t>
        </is>
      </c>
      <c r="J85" s="13" t="n">
        <v>2026</v>
      </c>
      <c r="L85" s="13" t="n">
        <v>1</v>
      </c>
    </row>
    <row r="86">
      <c r="A86" s="13" t="inlineStr">
        <is>
          <t>Hercules, Olympian Hero</t>
        </is>
      </c>
      <c r="B86" s="13" t="inlineStr">
        <is>
          <t>Legendary Creature — Demigod Warrior Hero</t>
        </is>
      </c>
      <c r="C86" s="13" t="inlineStr">
        <is>
          <t>Rare / Rara</t>
        </is>
      </c>
      <c r="D86" s="13" t="inlineStr">
        <is>
          <t>Whenever Hercules attacks, put a +1/+1 counter on him. He gains indestructible until end of turn. Whenever Hercules is dealt damage for the first time each turn, put that many +1/+1 counters on him. (He must survive the damage to get the counters.)</t>
        </is>
      </c>
      <c r="E86" s="13" t="inlineStr">
        <is>
          <t>{3}{W}{W}</t>
        </is>
      </c>
      <c r="F86" s="13" t="inlineStr">
        <is>
          <t>Branco</t>
        </is>
      </c>
      <c r="G86" s="13" t="n">
        <v>3.3</v>
      </c>
      <c r="H86" s="13" t="inlineStr">
        <is>
          <t>Marvel Super Heroes Commander (MSC)</t>
        </is>
      </c>
      <c r="I86" s="13" t="inlineStr">
        <is>
          <t>Não</t>
        </is>
      </c>
      <c r="J86" s="13" t="n">
        <v>2026</v>
      </c>
      <c r="K86" s="10" t="n">
        <v>46084</v>
      </c>
      <c r="L86" s="13" t="n">
        <v>1</v>
      </c>
    </row>
    <row r="87">
      <c r="A87" s="13" t="inlineStr">
        <is>
          <t>Falcon and Redwing</t>
        </is>
      </c>
      <c r="B87" s="13" t="inlineStr">
        <is>
          <t>Legendary Creature — Human Bird Hero</t>
        </is>
      </c>
      <c r="C87" s="13" t="inlineStr">
        <is>
          <t>Rare / Rara</t>
        </is>
      </c>
      <c r="D87" s="13" t="inlineStr">
        <is>
          <t>Flying Whenever Falcon and Redwing deal combat damage to a player, create that many 1/1 white Bird creature tokens with flying, then put a +1/+1 counter on Falcon and Redwing.</t>
        </is>
      </c>
      <c r="E87" s="13" t="inlineStr">
        <is>
          <t>{2}{W}</t>
        </is>
      </c>
      <c r="F87" s="13" t="inlineStr">
        <is>
          <t>Branco</t>
        </is>
      </c>
      <c r="G87" s="13" t="n">
        <v>6.25</v>
      </c>
      <c r="H87" s="13" t="inlineStr">
        <is>
          <t>Marvel Super Heroes Commander (MSC)</t>
        </is>
      </c>
      <c r="I87" s="13" t="inlineStr">
        <is>
          <t>Não</t>
        </is>
      </c>
      <c r="J87" s="13" t="n">
        <v>2026</v>
      </c>
      <c r="K87" s="10" t="n">
        <v>46054</v>
      </c>
      <c r="L87" s="13" t="n">
        <v>1</v>
      </c>
    </row>
    <row r="88">
      <c r="A88" s="13" t="inlineStr">
        <is>
          <t>Captain America, Living Legend</t>
        </is>
      </c>
      <c r="B88" s="13" t="inlineStr">
        <is>
          <t>Legendary Creature — Human Soldier Hero</t>
        </is>
      </c>
      <c r="C88" s="13" t="inlineStr">
        <is>
          <t>Uncommon / Incomum</t>
        </is>
      </c>
      <c r="D88" s="13" t="inlineStr">
        <is>
          <t>Vigilance Whenever a creature you control becomes tapped during your turn, if it's the first time that creature has become tapped this turn, untap it.</t>
        </is>
      </c>
      <c r="E88" s="13" t="inlineStr">
        <is>
          <t>{1}{W}{U}</t>
        </is>
      </c>
      <c r="F88" s="13" t="inlineStr">
        <is>
          <t>Azul, Branco</t>
        </is>
      </c>
      <c r="G88" s="13" t="n">
        <v>1.25</v>
      </c>
      <c r="H88" s="13" t="inlineStr">
        <is>
          <t>Marvel Super Heroes (MSH)</t>
        </is>
      </c>
      <c r="I88" s="13" t="inlineStr">
        <is>
          <t>Não</t>
        </is>
      </c>
      <c r="J88" s="13" t="n">
        <v>2026</v>
      </c>
      <c r="K88" s="10" t="n">
        <v>46115</v>
      </c>
      <c r="L88" s="13" t="n">
        <v>1</v>
      </c>
    </row>
    <row r="89">
      <c r="A89" s="13" t="inlineStr">
        <is>
          <t>Avenge</t>
        </is>
      </c>
      <c r="B89" s="13" t="inlineStr">
        <is>
          <t>Sorcery</t>
        </is>
      </c>
      <c r="C89" s="13" t="inlineStr">
        <is>
          <t>Rare / Rara</t>
        </is>
      </c>
      <c r="D89" s="13" t="inlineStr">
        <is>
          <t>This spell costs {2} less to cast if a player attacked you during their last turn. Destroy all creatures. You gain 1 life for each creature destroyed this way.</t>
        </is>
      </c>
      <c r="E89" s="13" t="inlineStr">
        <is>
          <t>{4}{W}{W}</t>
        </is>
      </c>
      <c r="F89" s="13" t="inlineStr">
        <is>
          <t>Branco</t>
        </is>
      </c>
      <c r="G89" s="13" t="n">
        <v>2.5</v>
      </c>
      <c r="H89" s="13" t="inlineStr">
        <is>
          <t>Marvel Super Heroes Commander (MSC)</t>
        </is>
      </c>
      <c r="I89" s="13" t="inlineStr">
        <is>
          <t>Não</t>
        </is>
      </c>
      <c r="J89" s="13" t="n">
        <v>2026</v>
      </c>
      <c r="L89" s="13" t="n">
        <v>1</v>
      </c>
    </row>
    <row r="90">
      <c r="A90" s="13" t="inlineStr">
        <is>
          <t>Herald's Horn / Corneta do Arauto</t>
        </is>
      </c>
      <c r="B90" s="13" t="inlineStr">
        <is>
          <t>Artifact / Artefato</t>
        </is>
      </c>
      <c r="C90" s="13" t="inlineStr">
        <is>
          <t>Uncommon / Incomum</t>
        </is>
      </c>
      <c r="D90" s="13"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3" t="inlineStr">
        <is>
          <t>{3}</t>
        </is>
      </c>
      <c r="F90" s="13" t="inlineStr">
        <is>
          <t>Incolor</t>
        </is>
      </c>
      <c r="G90" s="13" t="n">
        <v>19.94</v>
      </c>
      <c r="H90" s="13" t="inlineStr">
        <is>
          <t>Marvel Super Heroes Commander (MSC)</t>
        </is>
      </c>
      <c r="I90" s="13" t="inlineStr">
        <is>
          <t>Não</t>
        </is>
      </c>
      <c r="J90" s="13" t="n">
        <v>2026</v>
      </c>
      <c r="L90" s="13" t="n">
        <v>1</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Y10"/>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3" t="inlineStr">
        <is>
          <t>Magda, Brazen Outlaw / Magda, Criminosa Intrépida</t>
        </is>
      </c>
      <c r="B2" s="13" t="inlineStr">
        <is>
          <t>Legendary Creature — Dwarf Berserker / Criatura Lendária — Anão Amoque</t>
        </is>
      </c>
      <c r="C2" s="13" t="inlineStr">
        <is>
          <t>Rare / Rara</t>
        </is>
      </c>
      <c r="D2" s="13" t="inlineStr">
        <is>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is>
      </c>
      <c r="E2" s="13" t="inlineStr">
        <is>
          <t>{1}{R}</t>
        </is>
      </c>
      <c r="F2" s="13" t="inlineStr">
        <is>
          <t>Vermelho</t>
        </is>
      </c>
      <c r="G2" s="13" t="n">
        <v>12.34</v>
      </c>
      <c r="H2" s="13" t="inlineStr">
        <is>
          <t>Kaldheim (KHM)</t>
        </is>
      </c>
      <c r="I2" s="13" t="inlineStr">
        <is>
          <t>Não</t>
        </is>
      </c>
      <c r="J2" s="13" t="n">
        <v>2021</v>
      </c>
      <c r="K2" s="10" t="n">
        <v>46024</v>
      </c>
      <c r="L2" s="13" t="n">
        <v>1</v>
      </c>
    </row>
    <row r="3">
      <c r="A3" s="13" t="inlineStr">
        <is>
          <t>Crashing Drawbridge / Ponte Levadiça Esmagadora</t>
        </is>
      </c>
      <c r="B3" s="13" t="inlineStr">
        <is>
          <t>Artifact Creature — Wall / Criatura Artefato — Barreira</t>
        </is>
      </c>
      <c r="C3" s="13" t="inlineStr">
        <is>
          <t>Common / Comum</t>
        </is>
      </c>
      <c r="D3" s="13" t="inlineStr">
        <is>
          <t>Defender {T}: Creatures you control gain haste until end of turn. / Defensor {T}: As criaturas que você controla ganham ímpeto até o final do turno.</t>
        </is>
      </c>
      <c r="E3" s="13" t="inlineStr">
        <is>
          <t>{2}</t>
        </is>
      </c>
      <c r="F3" s="13" t="inlineStr">
        <is>
          <t>Incolor</t>
        </is>
      </c>
      <c r="G3" s="13" t="n">
        <v>1.15</v>
      </c>
      <c r="H3" s="13" t="inlineStr">
        <is>
          <t>Throne of Eldraine (ELD)</t>
        </is>
      </c>
      <c r="I3" s="13" t="inlineStr">
        <is>
          <t>Não</t>
        </is>
      </c>
      <c r="J3" s="13" t="n">
        <v>2019</v>
      </c>
      <c r="K3" s="13" t="inlineStr">
        <is>
          <t>0/4</t>
        </is>
      </c>
      <c r="L3" s="13" t="n">
        <v>1</v>
      </c>
    </row>
    <row r="4">
      <c r="A4" s="13" t="inlineStr">
        <is>
          <t>Goblin Glasswright</t>
        </is>
      </c>
      <c r="B4" s="13" t="inlineStr">
        <is>
          <t>Criatura — Goblin Feiticeiro / Creature — Goblin Sorcerer</t>
        </is>
      </c>
      <c r="C4" s="13" t="inlineStr">
        <is>
          <t>Comum / Common</t>
        </is>
      </c>
      <c r="D4" s="13" t="inlineStr">
        <is>
          <t>This creature enters prepared. (While it's prepared, you may cast a copy of its spell. Doing so unprepares it.) / Craft with Pride {R}: Sorcery - Create a Treasure token.</t>
        </is>
      </c>
      <c r="E4" s="13" t="inlineStr">
        <is>
          <t>{1}{R}</t>
        </is>
      </c>
      <c r="F4" s="13" t="inlineStr">
        <is>
          <t>Vermelho / Red</t>
        </is>
      </c>
      <c r="G4" s="13" t="n">
        <v>0.06</v>
      </c>
      <c r="H4" s="13" t="inlineStr">
        <is>
          <t>SOS</t>
        </is>
      </c>
      <c r="I4" s="13" t="inlineStr">
        <is>
          <t>Não</t>
        </is>
      </c>
      <c r="J4" s="13" t="n">
        <v>2026</v>
      </c>
      <c r="K4" s="10" t="n">
        <v>46055</v>
      </c>
      <c r="L4" s="13" t="n">
        <v>1</v>
      </c>
    </row>
    <row r="5">
      <c r="A5" s="13" t="inlineStr">
        <is>
          <t>Vault Robber / Ladrão de Catacumba</t>
        </is>
      </c>
      <c r="B5" s="13" t="inlineStr">
        <is>
          <t>Creature — Dwarf Rogue / Criatura — Anão Ladino</t>
        </is>
      </c>
      <c r="C5" s="13" t="inlineStr">
        <is>
          <t>Common / Comum</t>
        </is>
      </c>
      <c r="D5" s="13"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5" s="13" t="inlineStr">
        <is>
          <t>{1}{R}</t>
        </is>
      </c>
      <c r="F5" s="13" t="inlineStr">
        <is>
          <t>Vermelho</t>
        </is>
      </c>
      <c r="G5" s="13" t="n">
        <v>0.06</v>
      </c>
      <c r="H5" s="13" t="inlineStr">
        <is>
          <t>Kaldheim (KHM)</t>
        </is>
      </c>
      <c r="I5" s="13" t="inlineStr">
        <is>
          <t>Não</t>
        </is>
      </c>
      <c r="J5" s="13" t="n">
        <v>2021</v>
      </c>
      <c r="K5" s="10" t="n">
        <v>46082</v>
      </c>
      <c r="L5" s="13" t="n">
        <v>1</v>
      </c>
    </row>
    <row r="6">
      <c r="A6" s="13" t="inlineStr">
        <is>
          <t>Dwarven Soldier / Anão Soldado</t>
        </is>
      </c>
      <c r="B6" s="13" t="inlineStr">
        <is>
          <t>Creature — Dwarf Soldier</t>
        </is>
      </c>
      <c r="C6" s="13" t="inlineStr">
        <is>
          <t>Common / Comum</t>
        </is>
      </c>
      <c r="D6" s="13" t="inlineStr">
        <is>
          <t>Whenever this creature blocks or becomes blocked by one or more Orcs, this creature gets +0/+2 until end of turn.</t>
        </is>
      </c>
      <c r="E6" s="13" t="inlineStr">
        <is>
          <t>{1}{R}</t>
        </is>
      </c>
      <c r="F6" s="13" t="inlineStr">
        <is>
          <t>Vermelho</t>
        </is>
      </c>
      <c r="G6" s="13" t="n">
        <v>0.2</v>
      </c>
      <c r="H6" s="13" t="inlineStr">
        <is>
          <t>Fallen Empires (FEM)</t>
        </is>
      </c>
      <c r="I6" s="13" t="inlineStr">
        <is>
          <t>Não</t>
        </is>
      </c>
      <c r="J6" s="13" t="n">
        <v>1994</v>
      </c>
      <c r="K6" s="10" t="n">
        <v>46024</v>
      </c>
      <c r="L6" s="13" t="n">
        <v>1</v>
      </c>
    </row>
    <row r="7">
      <c r="A7" s="13" t="inlineStr">
        <is>
          <t>Goldvein Pick / Picareta de Veio D'ouro</t>
        </is>
      </c>
      <c r="B7" s="13" t="inlineStr">
        <is>
          <t>Artifact — Equipment / Artefato — Equipamento</t>
        </is>
      </c>
      <c r="C7" s="13" t="inlineStr">
        <is>
          <t>Common / Comum</t>
        </is>
      </c>
      <c r="D7" s="13"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7" s="13" t="inlineStr">
        <is>
          <t>{2}</t>
        </is>
      </c>
      <c r="F7" s="13" t="inlineStr">
        <is>
          <t>Incolor</t>
        </is>
      </c>
      <c r="G7" s="13" t="n">
        <v>0.17</v>
      </c>
      <c r="H7" s="13" t="inlineStr">
        <is>
          <t>Kaldheim (KHM)</t>
        </is>
      </c>
      <c r="I7" s="13" t="inlineStr">
        <is>
          <t>Não</t>
        </is>
      </c>
      <c r="J7" s="13" t="n">
        <v>2021</v>
      </c>
      <c r="L7" s="13" t="n">
        <v>1</v>
      </c>
    </row>
    <row r="8">
      <c r="A8" s="13" t="inlineStr">
        <is>
          <t>Dwarven Forge-Chanter / Cantor de Forja Anão</t>
        </is>
      </c>
      <c r="B8" s="13" t="inlineStr">
        <is>
          <t>Creature — Dwarf Wizard / Criatura — Anão Mago</t>
        </is>
      </c>
      <c r="C8" s="13" t="inlineStr">
        <is>
          <t>Common / Comum</t>
        </is>
      </c>
      <c r="D8" s="13" t="inlineStr">
        <is>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is>
      </c>
      <c r="E8" s="13" t="inlineStr">
        <is>
          <t>{1}{R}</t>
        </is>
      </c>
      <c r="F8" s="13" t="inlineStr">
        <is>
          <t>Vermelho</t>
        </is>
      </c>
      <c r="G8" s="13" t="n">
        <v>0.2</v>
      </c>
      <c r="H8" s="13" t="inlineStr">
        <is>
          <t>The Brothers' War (BRO)</t>
        </is>
      </c>
      <c r="I8" s="13" t="inlineStr">
        <is>
          <t>Não</t>
        </is>
      </c>
      <c r="J8" s="13" t="n">
        <v>2022</v>
      </c>
      <c r="K8" s="10" t="n">
        <v>46082</v>
      </c>
      <c r="L8" s="13" t="n">
        <v>1</v>
      </c>
    </row>
    <row r="9">
      <c r="A9" s="13" t="inlineStr">
        <is>
          <t>Rimrock Knight // Boulder Rush / Cavaleiro de Rochabeira // Carga do Pedregulho</t>
        </is>
      </c>
      <c r="B9" s="13" t="inlineStr">
        <is>
          <t>Creature — Dwarf Knight // Instant — Adventure / Criatura — Anão Cavaleiro</t>
        </is>
      </c>
      <c r="C9" s="13" t="inlineStr">
        <is>
          <t>Common / Comum</t>
        </is>
      </c>
      <c r="D9" s="13" t="inlineStr">
        <is>
          <t>Rimrock Knight: This creature can't block. // Boulder Rush: Target creature gets +2/+0 until end of turn. (Then exile this card. You may cast the creature later from exile.) / Cavaleiro de Rochabeira não pode bloquear.</t>
        </is>
      </c>
      <c r="E9" s="13" t="inlineStr">
        <is>
          <t>{1}{R} // {R}</t>
        </is>
      </c>
      <c r="F9" s="13" t="inlineStr">
        <is>
          <t>Vermelho</t>
        </is>
      </c>
      <c r="G9" s="13" t="n">
        <v>0.04</v>
      </c>
      <c r="H9" s="13" t="inlineStr">
        <is>
          <t>Throne of Eldraine (ELD)</t>
        </is>
      </c>
      <c r="I9" s="13" t="inlineStr">
        <is>
          <t>Não</t>
        </is>
      </c>
      <c r="J9" s="13" t="n">
        <v>2019</v>
      </c>
      <c r="K9" s="10" t="n">
        <v>46025</v>
      </c>
      <c r="L9" s="13" t="n">
        <v>1</v>
      </c>
    </row>
    <row r="10">
      <c r="A10" s="13" t="inlineStr">
        <is>
          <t>Dragon's Fire / Fogo do Dragão</t>
        </is>
      </c>
      <c r="B10" s="13" t="inlineStr">
        <is>
          <t>Instant / Mágica Instantânea</t>
        </is>
      </c>
      <c r="C10" s="13" t="inlineStr">
        <is>
          <t>Common / Comum</t>
        </is>
      </c>
      <c r="D10" s="13" t="inlineStr">
        <is>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is>
      </c>
      <c r="E10" s="13" t="inlineStr">
        <is>
          <t>{1}{R}</t>
        </is>
      </c>
      <c r="F10" s="13" t="inlineStr">
        <is>
          <t>Vermelho</t>
        </is>
      </c>
      <c r="G10" s="13" t="n">
        <v>0.1</v>
      </c>
      <c r="H10" s="13" t="inlineStr">
        <is>
          <t>Adventures in the Forgotten Realms (AFR)</t>
        </is>
      </c>
      <c r="I10" s="13" t="inlineStr">
        <is>
          <t>Não</t>
        </is>
      </c>
      <c r="J10" s="13" t="n">
        <v>2021</v>
      </c>
      <c r="L10" s="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2026-07-13T22:35:29Z</dcterms:created>
  <dcterms:modified xmlns:dcterms="http://purl.org/dc/terms/" xmlns:xsi="http://www.w3.org/2001/XMLSchema-instance" xsi:type="dcterms:W3CDTF">2026-07-14T00:55:57Z</dcterms:modified>
</cp:coreProperties>
</file>